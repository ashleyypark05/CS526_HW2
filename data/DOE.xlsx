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I:\RDBudget\Historical Tables\Hist Wesbite Files\"/>
    </mc:Choice>
  </mc:AlternateContent>
  <xr:revisionPtr revIDLastSave="0" documentId="13_ncr:1_{05004C58-D8F5-4164-AF41-A1121F99D524}" xr6:coauthVersionLast="47" xr6:coauthVersionMax="47" xr10:uidLastSave="{00000000-0000-0000-0000-000000000000}"/>
  <bookViews>
    <workbookView xWindow="38304" yWindow="0" windowWidth="15552" windowHeight="16656" xr2:uid="{00000000-000D-0000-FFFF-FFFF00000000}"/>
  </bookViews>
  <sheets>
    <sheet name="Data" sheetId="1" r:id="rId1"/>
  </sheets>
  <definedNames>
    <definedName name="HTML_CodePage" hidden="1">1252</definedName>
    <definedName name="HTML_Control" hidden="1">{"'full bas'!$A$7:$F$48"}</definedName>
    <definedName name="HTML_Description" hidden="1">""</definedName>
    <definedName name="HTML_Email" hidden="1">""</definedName>
    <definedName name="HTML_Header" hidden="1">"full pg"</definedName>
    <definedName name="HTML_LastUpdate" hidden="1">"03/14/2002"</definedName>
    <definedName name="HTML_LineAfter" hidden="1">FALSE</definedName>
    <definedName name="HTML_LineBefore" hidden="1">FALSE</definedName>
    <definedName name="HTML_Name" hidden="1">"Kei Koizumi"</definedName>
    <definedName name="HTML_OBDlg2" hidden="1">TRUE</definedName>
    <definedName name="HTML_OBDlg4" hidden="1">TRUE</definedName>
    <definedName name="HTML_OS" hidden="1">0</definedName>
    <definedName name="HTML_PathFile" hidden="1">"H:\www\temp2.htm"</definedName>
    <definedName name="HTML_Title" hidden="1">"TOTAL02P"</definedName>
    <definedName name="HTML1_1" hidden="1">"'[TOTAL97C.XLS]Tbl 1'!$A$10:$H$46"</definedName>
    <definedName name="HTML1_10" hidden="1">""</definedName>
    <definedName name="HTML1_11" hidden="1">1</definedName>
    <definedName name="HTML1_12" hidden="1">"h:\spp\www\dspp\rd\congact1.htm"</definedName>
    <definedName name="HTML1_2" hidden="1">1</definedName>
    <definedName name="HTML1_3" hidden="1">"Table 1. Total R&amp;D by Agency"</definedName>
    <definedName name="HTML1_4" hidden="1">"Congressional Action on R&amp;D in the FY 1997 Budget "</definedName>
    <definedName name="HTML1_5" hidden="1">"(budget authority in millions of dollars)*"</definedName>
    <definedName name="HTML1_6" hidden="1">1</definedName>
    <definedName name="HTML1_7" hidden="1">1</definedName>
    <definedName name="HTML1_8" hidden="1">""</definedName>
    <definedName name="HTML1_9" hidden="1">" "</definedName>
    <definedName name="HTML2_1" hidden="1">"'[TOTAL97C.XLS]FY 94-97'!$A$9:$O$28"</definedName>
    <definedName name="HTML2_10" hidden="1">""</definedName>
    <definedName name="HTML2_11" hidden="1">1</definedName>
    <definedName name="HTML2_12" hidden="1">"H:\SPP\WWW\DSPP\RD\CONGACTB.HTM"</definedName>
    <definedName name="HTML2_2" hidden="1">1</definedName>
    <definedName name="HTML2_3" hidden="1">"Special Table. R&amp;D by Agency, FYs 1994-97"</definedName>
    <definedName name="HTML2_4" hidden="1">"Final - Nov. 1, 1996"</definedName>
    <definedName name="HTML2_5" hidden="1">"(budget authority in millions of dollars)"</definedName>
    <definedName name="HTML2_6" hidden="1">1</definedName>
    <definedName name="HTML2_7" hidden="1">1</definedName>
    <definedName name="HTML2_8" hidden="1">""</definedName>
    <definedName name="HTML2_9" hidden="1">" "</definedName>
    <definedName name="HTML3_1" hidden="1">"[TOTAL97C.XLS]bdgres!$A$10:$I$22"</definedName>
    <definedName name="HTML3_10" hidden="1">""</definedName>
    <definedName name="HTML3_11" hidden="1">1</definedName>
    <definedName name="HTML3_12" hidden="1">"H:\SPP\WWW\DSPP\RD\CONGACTA.HTM"</definedName>
    <definedName name="HTML3_2" hidden="1">1</definedName>
    <definedName name="HTML3_3" hidden="1">"Table A. Nondefense R&amp;D: Comparisons between Budget Resolution Projections"</definedName>
    <definedName name="HTML3_4" hidden="1">"and Appropriations, FY 1996 and 1997"</definedName>
    <definedName name="HTML3_5" hidden="1">"(budget authority in millions of dollars)"</definedName>
    <definedName name="HTML3_6" hidden="1">1</definedName>
    <definedName name="HTML3_7" hidden="1">1</definedName>
    <definedName name="HTML3_8" hidden="1">""</definedName>
    <definedName name="HTML3_9" hidden="1">" "</definedName>
    <definedName name="HTML4_1" hidden="1">"[HIST297.XLS]Sheet1!$A$1:$E$21"</definedName>
    <definedName name="HTML4_10" hidden="1">""</definedName>
    <definedName name="HTML4_11" hidden="1">1</definedName>
    <definedName name="HTML4_12" hidden="1">"H:\SPP\KKOIZUMI\98P\anlytbl2.htm"</definedName>
    <definedName name="HTML4_2" hidden="1">1</definedName>
    <definedName name="HTML4_3" hidden="1">"Table 2. Trends in R&amp;D, FY 1994-1998"</definedName>
    <definedName name="HTML4_4" hidden="1">"Table 2. Trends in R&amp;D, FY 1994-1998"</definedName>
    <definedName name="HTML4_5" hidden="1">"(budget authority in millions of dollars)"</definedName>
    <definedName name="HTML4_6" hidden="1">1</definedName>
    <definedName name="HTML4_7" hidden="1">1</definedName>
    <definedName name="HTML4_8" hidden="1">""</definedName>
    <definedName name="HTML4_9" hidden="1">""</definedName>
    <definedName name="HTML5_1" hidden="1">"[HIST297.XLS]Sheet1!$A$4:$F$23"</definedName>
    <definedName name="HTML5_10" hidden="1">""</definedName>
    <definedName name="HTML5_11" hidden="1">1</definedName>
    <definedName name="HTML5_12" hidden="1">"h:\spp\WWW\DSPP\RD\anlytbl2.htm"</definedName>
    <definedName name="HTML5_2" hidden="1">1</definedName>
    <definedName name="HTML5_3" hidden="1">"Table 2. Trends in R&amp;D, FY 1994-1998"</definedName>
    <definedName name="HTML5_4" hidden="1">"Table 2. Trends in R&amp;D, FY 1994-1998"</definedName>
    <definedName name="HTML5_5" hidden="1">"Change in constant dollars"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Count" hidden="1">5</definedName>
    <definedName name="_xlnm.Print_Area" localSheetId="0">Data!#REF!</definedName>
    <definedName name="_xlnm.Print_Titles" localSheetId="0">Data!$A:$A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K21" i="1" l="1"/>
  <c r="AJ21" i="1"/>
</calcChain>
</file>

<file path=xl/sharedStrings.xml><?xml version="1.0" encoding="utf-8"?>
<sst xmlns="http://schemas.openxmlformats.org/spreadsheetml/2006/main" count="24" uniqueCount="24">
  <si>
    <t>Fiscal Years</t>
  </si>
  <si>
    <t>Office of Science R&amp;D</t>
  </si>
  <si>
    <t>Basic Energy Sciences*</t>
  </si>
  <si>
    <t>Fusion Energy Sciences*</t>
  </si>
  <si>
    <t>Nuclear Physics*</t>
  </si>
  <si>
    <t>Nuclear Energy</t>
  </si>
  <si>
    <t>Fossil Energy</t>
  </si>
  <si>
    <t>Atomic Energy Defense</t>
  </si>
  <si>
    <t>DOE Total R&amp;D</t>
  </si>
  <si>
    <t>Electricity Delivery and Energy Reliability</t>
  </si>
  <si>
    <t>Advanced Scientific Computing Research*</t>
  </si>
  <si>
    <t>Biological and Environmental Research*</t>
  </si>
  <si>
    <t>High Energy Physics**</t>
  </si>
  <si>
    <t>Energy Efficiency and Renewable Energy</t>
  </si>
  <si>
    <t>Advanced Research Projects Agency-Energy (ARPA-E)</t>
  </si>
  <si>
    <t>National Nuclear Security Admin (NNSA)</t>
  </si>
  <si>
    <t>All Other</t>
  </si>
  <si>
    <t>Recovery Act</t>
  </si>
  <si>
    <t>Note that the Department revised how it calculates R&amp;D such that the years after FY 2014 are elevated and not directly comparable to prior years.</t>
  </si>
  <si>
    <t>* Discretionary budgets, include non-R&amp;D components.</t>
  </si>
  <si>
    <t>2025 Request</t>
  </si>
  <si>
    <t>Source: Agency budget data. Constant dollar conversions based on OMB's GDP deflators from the FY 2025 budget.</t>
  </si>
  <si>
    <t>Department of Energy R&amp;D, FY 1990-2025</t>
  </si>
  <si>
    <t>(budget authority in millions of constant 2024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</si>
</sst>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  <numFmt numFmtId="165" formatCode="0.0000"/>
  </numFmts>
  <fonts count="9" x14ac:knownFonts="1"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>
      <alignment horizontal="left" wrapText="1"/>
    </xf>
    <xf numFmtId="43" fontId="2" fillId="0" borderId="0" applyFont="0" applyFill="0" applyBorder="0" applyAlignment="0" applyProtection="0"/>
    <xf numFmtId="0" fontId="1" fillId="0" borderId="0">
      <alignment horizontal="left" wrapText="1"/>
    </xf>
    <xf numFmtId="9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0">
    <xf numFmtId="0" fontId="0" fillId="0" borderId="0" xfId="0">
      <alignment horizontal="left" wrapText="1"/>
    </xf>
    <xf numFmtId="0" fontId="3" fillId="0" borderId="0" xfId="0" applyFont="1">
      <alignment horizontal="left" wrapText="1"/>
    </xf>
    <xf numFmtId="0" fontId="3" fillId="0" borderId="0" xfId="0" applyFont="1" applyAlignment="1"/>
    <xf numFmtId="0" fontId="3" fillId="0" borderId="3" xfId="0" applyFont="1" applyBorder="1" applyAlignment="1"/>
    <xf numFmtId="0" fontId="3" fillId="0" borderId="4" xfId="0" applyFont="1" applyBorder="1" applyAlignment="1">
      <alignment horizontal="right" wrapText="1"/>
    </xf>
    <xf numFmtId="0" fontId="3" fillId="0" borderId="4" xfId="0" applyFont="1" applyBorder="1" applyAlignment="1">
      <alignment horizontal="right"/>
    </xf>
    <xf numFmtId="0" fontId="3" fillId="0" borderId="6" xfId="0" applyFont="1" applyBorder="1" applyAlignment="1">
      <alignment horizontal="right" wrapText="1"/>
    </xf>
    <xf numFmtId="2" fontId="3" fillId="0" borderId="0" xfId="0" applyNumberFormat="1" applyFont="1">
      <alignment horizontal="left" wrapText="1"/>
    </xf>
    <xf numFmtId="0" fontId="3" fillId="0" borderId="1" xfId="0" applyFont="1" applyBorder="1">
      <alignment horizontal="left" wrapText="1"/>
    </xf>
    <xf numFmtId="0" fontId="4" fillId="0" borderId="0" xfId="0" applyFont="1">
      <alignment horizontal="left" wrapText="1"/>
    </xf>
    <xf numFmtId="0" fontId="5" fillId="0" borderId="0" xfId="0" applyFont="1" applyAlignment="1"/>
    <xf numFmtId="0" fontId="6" fillId="0" borderId="4" xfId="0" applyFont="1" applyBorder="1" applyAlignment="1"/>
    <xf numFmtId="44" fontId="6" fillId="0" borderId="4" xfId="4" applyFont="1" applyBorder="1" applyAlignment="1">
      <alignment horizontal="right" wrapText="1"/>
    </xf>
    <xf numFmtId="0" fontId="6" fillId="0" borderId="0" xfId="0" applyFont="1">
      <alignment horizontal="left" wrapText="1"/>
    </xf>
    <xf numFmtId="0" fontId="7" fillId="0" borderId="0" xfId="0" applyFont="1" applyAlignment="1"/>
    <xf numFmtId="0" fontId="7" fillId="0" borderId="0" xfId="0" applyFont="1">
      <alignment horizontal="left" wrapText="1"/>
    </xf>
    <xf numFmtId="0" fontId="7" fillId="0" borderId="7" xfId="0" applyFont="1" applyBorder="1">
      <alignment horizontal="left" wrapText="1"/>
    </xf>
    <xf numFmtId="0" fontId="7" fillId="0" borderId="0" xfId="0" applyFont="1" applyAlignment="1">
      <alignment horizontal="left"/>
    </xf>
    <xf numFmtId="44" fontId="7" fillId="0" borderId="0" xfId="4" applyFont="1" applyAlignment="1">
      <alignment horizontal="right" wrapText="1"/>
    </xf>
    <xf numFmtId="44" fontId="7" fillId="0" borderId="0" xfId="4" applyFont="1" applyBorder="1" applyAlignment="1"/>
    <xf numFmtId="44" fontId="7" fillId="0" borderId="7" xfId="4" applyFont="1" applyBorder="1" applyAlignment="1">
      <alignment horizontal="right" wrapText="1"/>
    </xf>
    <xf numFmtId="0" fontId="7" fillId="0" borderId="0" xfId="0" applyFont="1" applyAlignment="1">
      <alignment horizontal="left" indent="1"/>
    </xf>
    <xf numFmtId="44" fontId="7" fillId="0" borderId="0" xfId="4" applyFont="1" applyAlignment="1">
      <alignment horizontal="left" wrapText="1"/>
    </xf>
    <xf numFmtId="44" fontId="7" fillId="0" borderId="7" xfId="4" applyFont="1" applyBorder="1" applyAlignment="1">
      <alignment horizontal="left" wrapText="1"/>
    </xf>
    <xf numFmtId="44" fontId="7" fillId="0" borderId="0" xfId="4" applyFont="1" applyAlignment="1">
      <alignment horizontal="right"/>
    </xf>
    <xf numFmtId="44" fontId="7" fillId="0" borderId="7" xfId="4" applyFont="1" applyBorder="1" applyAlignment="1">
      <alignment horizontal="right"/>
    </xf>
    <xf numFmtId="44" fontId="7" fillId="0" borderId="0" xfId="4" applyFont="1" applyAlignment="1"/>
    <xf numFmtId="44" fontId="7" fillId="0" borderId="7" xfId="4" applyFont="1" applyBorder="1" applyAlignment="1"/>
    <xf numFmtId="0" fontId="7" fillId="0" borderId="2" xfId="0" applyFont="1" applyBorder="1" applyAlignment="1"/>
    <xf numFmtId="44" fontId="7" fillId="0" borderId="2" xfId="4" applyFont="1" applyBorder="1" applyAlignment="1">
      <alignment horizontal="left" wrapText="1"/>
    </xf>
    <xf numFmtId="44" fontId="7" fillId="0" borderId="5" xfId="4" applyFont="1" applyBorder="1" applyAlignment="1">
      <alignment horizontal="left" wrapText="1"/>
    </xf>
    <xf numFmtId="0" fontId="3" fillId="0" borderId="0" xfId="0" applyFont="1" applyFill="1">
      <alignment horizontal="left" wrapText="1"/>
    </xf>
    <xf numFmtId="0" fontId="3" fillId="0" borderId="0" xfId="0" applyFont="1" applyFill="1" applyAlignment="1"/>
    <xf numFmtId="2" fontId="3" fillId="0" borderId="0" xfId="0" applyNumberFormat="1" applyFont="1" applyFill="1">
      <alignment horizontal="left" wrapText="1"/>
    </xf>
    <xf numFmtId="164" fontId="3" fillId="0" borderId="0" xfId="0" applyNumberFormat="1" applyFont="1" applyFill="1">
      <alignment horizontal="left" wrapText="1"/>
    </xf>
    <xf numFmtId="164" fontId="4" fillId="0" borderId="0" xfId="0" applyNumberFormat="1" applyFont="1" applyFill="1">
      <alignment horizontal="left" wrapText="1"/>
    </xf>
    <xf numFmtId="0" fontId="4" fillId="0" borderId="0" xfId="0" applyFont="1" applyFill="1">
      <alignment horizontal="left" wrapText="1"/>
    </xf>
    <xf numFmtId="165" fontId="2" fillId="0" borderId="0" xfId="0" applyNumberFormat="1" applyFont="1" applyFill="1" applyAlignment="1">
      <alignment horizontal="right" wrapText="1"/>
    </xf>
    <xf numFmtId="44" fontId="3" fillId="0" borderId="0" xfId="0" applyNumberFormat="1" applyFont="1" applyFill="1">
      <alignment horizontal="left" wrapText="1"/>
    </xf>
    <xf numFmtId="0" fontId="8" fillId="0" borderId="0" xfId="0" applyFont="1" applyAlignment="1"/>
  </cellXfs>
  <cellStyles count="5">
    <cellStyle name="Comma 2" xfId="1" xr:uid="{00000000-0005-0000-0000-000000000000}"/>
    <cellStyle name="Currency" xfId="4" builtinId="4"/>
    <cellStyle name="Normal" xfId="0" builtinId="0"/>
    <cellStyle name="Normal 2" xfId="2" xr:uid="{00000000-0005-0000-0000-000002000000}"/>
    <cellStyle name="Percent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AAS Official">
      <a:dk1>
        <a:sysClr val="windowText" lastClr="000000"/>
      </a:dk1>
      <a:lt1>
        <a:srgbClr val="FFFFFF"/>
      </a:lt1>
      <a:dk2>
        <a:srgbClr val="A8D08D"/>
      </a:dk2>
      <a:lt2>
        <a:srgbClr val="F16F6F"/>
      </a:lt2>
      <a:accent1>
        <a:srgbClr val="005699"/>
      </a:accent1>
      <a:accent2>
        <a:srgbClr val="66C3C8"/>
      </a:accent2>
      <a:accent3>
        <a:srgbClr val="C00000"/>
      </a:accent3>
      <a:accent4>
        <a:srgbClr val="895C93"/>
      </a:accent4>
      <a:accent5>
        <a:srgbClr val="E7BC47"/>
      </a:accent5>
      <a:accent6>
        <a:srgbClr val="DA8451"/>
      </a:accent6>
      <a:hlink>
        <a:srgbClr val="005699"/>
      </a:hlink>
      <a:folHlink>
        <a:srgbClr val="66C3C8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8"/>
  <sheetViews>
    <sheetView showGridLines="0" tabSelected="1" zoomScaleNormal="100" workbookViewId="0">
      <pane xSplit="1" topLeftCell="B1" activePane="topRight" state="frozen"/>
      <selection pane="topRight" activeCell="A50" sqref="A50"/>
    </sheetView>
  </sheetViews>
  <sheetFormatPr defaultColWidth="9.33203125" defaultRowHeight="13" x14ac:dyDescent="0.3"/>
  <cols>
    <col min="1" max="1" width="40.109375" style="2" customWidth="1"/>
    <col min="2" max="36" width="12.6640625" style="1" customWidth="1"/>
    <col min="37" max="37" width="15.77734375" style="1" customWidth="1"/>
    <col min="38" max="16384" width="9.33203125" style="1"/>
  </cols>
  <sheetData>
    <row r="1" spans="1:37" ht="14.5" x14ac:dyDescent="0.35">
      <c r="A1" s="10" t="s">
        <v>22</v>
      </c>
    </row>
    <row r="2" spans="1:37" x14ac:dyDescent="0.3">
      <c r="A2" s="2" t="s">
        <v>23</v>
      </c>
    </row>
    <row r="3" spans="1:37" x14ac:dyDescent="0.3">
      <c r="A3" s="3" t="s">
        <v>0</v>
      </c>
      <c r="B3" s="4">
        <v>1990</v>
      </c>
      <c r="C3" s="4">
        <v>1991</v>
      </c>
      <c r="D3" s="4">
        <v>1992</v>
      </c>
      <c r="E3" s="4">
        <v>1993</v>
      </c>
      <c r="F3" s="4">
        <v>1994</v>
      </c>
      <c r="G3" s="4">
        <v>1995</v>
      </c>
      <c r="H3" s="4">
        <v>1996</v>
      </c>
      <c r="I3" s="5">
        <v>1997</v>
      </c>
      <c r="J3" s="5">
        <v>1998</v>
      </c>
      <c r="K3" s="5">
        <v>1999</v>
      </c>
      <c r="L3" s="5">
        <v>2000</v>
      </c>
      <c r="M3" s="5">
        <v>2001</v>
      </c>
      <c r="N3" s="5">
        <v>2002</v>
      </c>
      <c r="O3" s="5">
        <v>2003</v>
      </c>
      <c r="P3" s="5">
        <v>2004</v>
      </c>
      <c r="Q3" s="5">
        <v>2005</v>
      </c>
      <c r="R3" s="5">
        <v>2006</v>
      </c>
      <c r="S3" s="5">
        <v>2007</v>
      </c>
      <c r="T3" s="5">
        <v>2008</v>
      </c>
      <c r="U3" s="5">
        <v>2009</v>
      </c>
      <c r="V3" s="5">
        <v>2010</v>
      </c>
      <c r="W3" s="5">
        <v>2011</v>
      </c>
      <c r="X3" s="4">
        <v>2012</v>
      </c>
      <c r="Y3" s="4">
        <v>2013</v>
      </c>
      <c r="Z3" s="4">
        <v>2014</v>
      </c>
      <c r="AA3" s="4">
        <v>2015</v>
      </c>
      <c r="AB3" s="4">
        <v>2016</v>
      </c>
      <c r="AC3" s="4">
        <v>2017</v>
      </c>
      <c r="AD3" s="4">
        <v>2018</v>
      </c>
      <c r="AE3" s="4">
        <v>2019</v>
      </c>
      <c r="AF3" s="4">
        <v>2020</v>
      </c>
      <c r="AG3" s="4">
        <v>2021</v>
      </c>
      <c r="AH3" s="4">
        <v>2022</v>
      </c>
      <c r="AI3" s="4">
        <v>2023</v>
      </c>
      <c r="AJ3" s="4">
        <v>2024</v>
      </c>
      <c r="AK3" s="6" t="s">
        <v>20</v>
      </c>
    </row>
    <row r="4" spans="1:37" s="15" customFormat="1" ht="12" x14ac:dyDescent="0.3">
      <c r="A4" s="14"/>
      <c r="AK4" s="16"/>
    </row>
    <row r="5" spans="1:37" s="15" customFormat="1" ht="12" x14ac:dyDescent="0.3">
      <c r="A5" s="17" t="s">
        <v>1</v>
      </c>
      <c r="B5" s="18">
        <v>4932.68</v>
      </c>
      <c r="C5" s="18">
        <v>5337.7</v>
      </c>
      <c r="D5" s="18">
        <v>6013.2</v>
      </c>
      <c r="E5" s="18">
        <v>5884.65</v>
      </c>
      <c r="F5" s="18">
        <v>5098.1499999999996</v>
      </c>
      <c r="G5" s="18">
        <v>5020.7299999999996</v>
      </c>
      <c r="H5" s="18">
        <v>4601.1400000000003</v>
      </c>
      <c r="I5" s="18">
        <v>4480.3599999999997</v>
      </c>
      <c r="J5" s="18">
        <v>4501.26</v>
      </c>
      <c r="K5" s="18">
        <v>4790.51</v>
      </c>
      <c r="L5" s="18">
        <v>4676.53</v>
      </c>
      <c r="M5" s="18">
        <v>5129.21</v>
      </c>
      <c r="N5" s="18">
        <v>5126.2299999999996</v>
      </c>
      <c r="O5" s="18">
        <v>5097.2</v>
      </c>
      <c r="P5" s="18">
        <v>5230.3999999999996</v>
      </c>
      <c r="Q5" s="18">
        <v>5305.08</v>
      </c>
      <c r="R5" s="18">
        <v>5112.01</v>
      </c>
      <c r="S5" s="18">
        <v>5278.67</v>
      </c>
      <c r="T5" s="18">
        <v>5530.76</v>
      </c>
      <c r="U5" s="18">
        <v>6279.02</v>
      </c>
      <c r="V5" s="18">
        <v>6447.6</v>
      </c>
      <c r="W5" s="18">
        <v>6227.89</v>
      </c>
      <c r="X5" s="18">
        <v>6114.86</v>
      </c>
      <c r="Y5" s="18">
        <v>5773.54</v>
      </c>
      <c r="Z5" s="18">
        <v>6235.17</v>
      </c>
      <c r="AA5" s="18">
        <v>6652.97</v>
      </c>
      <c r="AB5" s="18">
        <v>6862.05</v>
      </c>
      <c r="AC5" s="18">
        <v>6789.53</v>
      </c>
      <c r="AD5" s="18">
        <v>7700.99</v>
      </c>
      <c r="AE5" s="18">
        <v>7939.82</v>
      </c>
      <c r="AF5" s="19">
        <v>7815.99</v>
      </c>
      <c r="AG5" s="18">
        <v>7845.02</v>
      </c>
      <c r="AH5" s="18">
        <v>8346.36</v>
      </c>
      <c r="AI5" s="18">
        <v>8482.56</v>
      </c>
      <c r="AJ5" s="18">
        <v>8240</v>
      </c>
      <c r="AK5" s="20">
        <v>8583</v>
      </c>
    </row>
    <row r="6" spans="1:37" s="15" customFormat="1" ht="12" x14ac:dyDescent="0.3">
      <c r="A6" s="21" t="s">
        <v>10</v>
      </c>
      <c r="B6" s="18"/>
      <c r="C6" s="18"/>
      <c r="D6" s="18"/>
      <c r="E6" s="18"/>
      <c r="F6" s="18"/>
      <c r="G6" s="18"/>
      <c r="H6" s="18"/>
      <c r="I6" s="18">
        <v>270.72000000000003</v>
      </c>
      <c r="J6" s="18">
        <v>266.55</v>
      </c>
      <c r="K6" s="18">
        <v>275.14999999999998</v>
      </c>
      <c r="L6" s="18">
        <v>219.6</v>
      </c>
      <c r="M6" s="18">
        <v>276.33999999999997</v>
      </c>
      <c r="N6" s="18">
        <v>253.41</v>
      </c>
      <c r="O6" s="18">
        <v>275.39</v>
      </c>
      <c r="P6" s="18">
        <v>319.12</v>
      </c>
      <c r="Q6" s="18">
        <v>355.31</v>
      </c>
      <c r="R6" s="18">
        <v>347.31</v>
      </c>
      <c r="S6" s="18">
        <v>409.31</v>
      </c>
      <c r="T6" s="18">
        <v>496.88</v>
      </c>
      <c r="U6" s="18">
        <v>515.64</v>
      </c>
      <c r="V6" s="18">
        <v>545.4</v>
      </c>
      <c r="W6" s="18">
        <v>572.88</v>
      </c>
      <c r="X6" s="18">
        <v>586.85</v>
      </c>
      <c r="Y6" s="18">
        <v>544.91999999999996</v>
      </c>
      <c r="Z6" s="18">
        <v>611.82000000000005</v>
      </c>
      <c r="AA6" s="18">
        <v>683.03</v>
      </c>
      <c r="AB6" s="18">
        <v>803.22</v>
      </c>
      <c r="AC6" s="18">
        <v>822.21</v>
      </c>
      <c r="AD6" s="18">
        <v>1005.96</v>
      </c>
      <c r="AE6" s="18">
        <v>1139.77</v>
      </c>
      <c r="AF6" s="18">
        <v>1094.24</v>
      </c>
      <c r="AG6" s="18">
        <v>1133.32</v>
      </c>
      <c r="AH6" s="18">
        <v>1155.6500000000001</v>
      </c>
      <c r="AI6" s="18">
        <v>1118.44</v>
      </c>
      <c r="AJ6" s="18">
        <v>1016</v>
      </c>
      <c r="AK6" s="20">
        <v>1153</v>
      </c>
    </row>
    <row r="7" spans="1:37" s="15" customFormat="1" ht="12" x14ac:dyDescent="0.3">
      <c r="A7" s="21" t="s">
        <v>2</v>
      </c>
      <c r="B7" s="18">
        <v>1219.0999999999999</v>
      </c>
      <c r="C7" s="18">
        <v>1472.74</v>
      </c>
      <c r="D7" s="18">
        <v>1548.01</v>
      </c>
      <c r="E7" s="18">
        <v>1694.48</v>
      </c>
      <c r="F7" s="18">
        <v>1475.26</v>
      </c>
      <c r="G7" s="18">
        <v>1137.3800000000001</v>
      </c>
      <c r="H7" s="18">
        <v>1448.73</v>
      </c>
      <c r="I7" s="18">
        <v>1163.67</v>
      </c>
      <c r="J7" s="18">
        <v>1183.5</v>
      </c>
      <c r="K7" s="18">
        <v>1403.93</v>
      </c>
      <c r="L7" s="18">
        <v>1338.45</v>
      </c>
      <c r="M7" s="18">
        <v>1671.43</v>
      </c>
      <c r="N7" s="18">
        <v>1656.86</v>
      </c>
      <c r="O7" s="18">
        <v>1655.42</v>
      </c>
      <c r="P7" s="18">
        <v>1608.59</v>
      </c>
      <c r="Q7" s="18">
        <v>1697.71</v>
      </c>
      <c r="R7" s="18">
        <v>1695.32</v>
      </c>
      <c r="S7" s="18">
        <v>1813.48</v>
      </c>
      <c r="T7" s="18">
        <v>1820.29</v>
      </c>
      <c r="U7" s="18">
        <v>2205.9499999999998</v>
      </c>
      <c r="V7" s="18">
        <v>2276.92</v>
      </c>
      <c r="W7" s="18">
        <v>2287.5500000000002</v>
      </c>
      <c r="X7" s="18">
        <v>2253.4899999999998</v>
      </c>
      <c r="Y7" s="18">
        <v>2086.96</v>
      </c>
      <c r="Z7" s="18">
        <v>2194.7199999999998</v>
      </c>
      <c r="AA7" s="18">
        <v>2196.04</v>
      </c>
      <c r="AB7" s="18">
        <v>2391.4899999999998</v>
      </c>
      <c r="AC7" s="18">
        <v>2378.4699999999998</v>
      </c>
      <c r="AD7" s="18">
        <v>2595.67</v>
      </c>
      <c r="AE7" s="18">
        <v>2638.92</v>
      </c>
      <c r="AF7" s="18">
        <v>2470.9699999999998</v>
      </c>
      <c r="AG7" s="18">
        <v>2506.6999999999998</v>
      </c>
      <c r="AH7" s="18">
        <v>2577.04</v>
      </c>
      <c r="AI7" s="18">
        <v>2653.68</v>
      </c>
      <c r="AJ7" s="18">
        <v>2625.63</v>
      </c>
      <c r="AK7" s="20">
        <v>2582</v>
      </c>
    </row>
    <row r="8" spans="1:37" s="15" customFormat="1" ht="12" x14ac:dyDescent="0.3">
      <c r="A8" s="21" t="s">
        <v>11</v>
      </c>
      <c r="B8" s="18">
        <v>659.97</v>
      </c>
      <c r="C8" s="18">
        <v>815.04</v>
      </c>
      <c r="D8" s="18">
        <v>717.44</v>
      </c>
      <c r="E8" s="18">
        <v>700.59</v>
      </c>
      <c r="F8" s="18">
        <v>769.41</v>
      </c>
      <c r="G8" s="18">
        <v>778.13</v>
      </c>
      <c r="H8" s="18">
        <v>768.93</v>
      </c>
      <c r="I8" s="18">
        <v>686.61</v>
      </c>
      <c r="J8" s="18">
        <v>718.39</v>
      </c>
      <c r="K8" s="18">
        <v>763.43</v>
      </c>
      <c r="L8" s="18">
        <v>725.44</v>
      </c>
      <c r="M8" s="18">
        <v>818.51</v>
      </c>
      <c r="N8" s="18">
        <v>864.75</v>
      </c>
      <c r="O8" s="18">
        <v>816.12</v>
      </c>
      <c r="P8" s="18">
        <v>1012.42</v>
      </c>
      <c r="Q8" s="18">
        <v>874.06</v>
      </c>
      <c r="R8" s="18">
        <v>859.13</v>
      </c>
      <c r="S8" s="18">
        <v>711.7</v>
      </c>
      <c r="T8" s="18">
        <v>710.38</v>
      </c>
      <c r="U8" s="18">
        <v>840.13</v>
      </c>
      <c r="V8" s="18">
        <v>837.27</v>
      </c>
      <c r="W8" s="18">
        <v>831.05</v>
      </c>
      <c r="X8" s="18">
        <v>811.7</v>
      </c>
      <c r="Y8" s="18">
        <v>754.23</v>
      </c>
      <c r="Z8" s="18">
        <v>783.51</v>
      </c>
      <c r="AA8" s="18">
        <v>747.19</v>
      </c>
      <c r="AB8" s="18">
        <v>787.68</v>
      </c>
      <c r="AC8" s="18">
        <v>777.77</v>
      </c>
      <c r="AD8" s="18">
        <v>835.83</v>
      </c>
      <c r="AE8" s="18">
        <v>858.89</v>
      </c>
      <c r="AF8" s="18">
        <v>837.43</v>
      </c>
      <c r="AG8" s="18">
        <v>840.78</v>
      </c>
      <c r="AH8" s="18">
        <v>910</v>
      </c>
      <c r="AI8" s="18">
        <v>951.93</v>
      </c>
      <c r="AJ8" s="18">
        <v>900</v>
      </c>
      <c r="AK8" s="20">
        <v>945</v>
      </c>
    </row>
    <row r="9" spans="1:37" s="15" customFormat="1" ht="12" x14ac:dyDescent="0.3">
      <c r="A9" s="21" t="s">
        <v>3</v>
      </c>
      <c r="B9" s="18">
        <v>684.46</v>
      </c>
      <c r="C9" s="18">
        <v>597.97</v>
      </c>
      <c r="D9" s="18">
        <v>676.34</v>
      </c>
      <c r="E9" s="18">
        <v>666.54</v>
      </c>
      <c r="F9" s="18">
        <v>639.66</v>
      </c>
      <c r="G9" s="18">
        <v>635.24</v>
      </c>
      <c r="H9" s="18">
        <v>447.06</v>
      </c>
      <c r="I9" s="18">
        <v>413.14</v>
      </c>
      <c r="J9" s="18">
        <v>407.05</v>
      </c>
      <c r="K9" s="18">
        <v>389.48</v>
      </c>
      <c r="L9" s="18">
        <v>425.09</v>
      </c>
      <c r="M9" s="18">
        <v>415.29</v>
      </c>
      <c r="N9" s="18">
        <v>407.05</v>
      </c>
      <c r="O9" s="18">
        <v>396.42</v>
      </c>
      <c r="P9" s="18">
        <v>416.37</v>
      </c>
      <c r="Q9" s="18">
        <v>416.6</v>
      </c>
      <c r="R9" s="18">
        <v>429.51</v>
      </c>
      <c r="S9" s="18">
        <v>462.59</v>
      </c>
      <c r="T9" s="18">
        <v>428.55</v>
      </c>
      <c r="U9" s="18">
        <v>567.26</v>
      </c>
      <c r="V9" s="18">
        <v>595.21</v>
      </c>
      <c r="W9" s="18">
        <v>512.77</v>
      </c>
      <c r="X9" s="18">
        <v>538.34</v>
      </c>
      <c r="Y9" s="18">
        <v>508.24</v>
      </c>
      <c r="Z9" s="18">
        <v>654.48</v>
      </c>
      <c r="AA9" s="18">
        <v>596.77</v>
      </c>
      <c r="AB9" s="18">
        <v>566.54</v>
      </c>
      <c r="AC9" s="18">
        <v>482.91</v>
      </c>
      <c r="AD9" s="18">
        <v>660.81</v>
      </c>
      <c r="AE9" s="18">
        <v>687.09</v>
      </c>
      <c r="AF9" s="18">
        <v>749.22</v>
      </c>
      <c r="AG9" s="18">
        <v>750.33</v>
      </c>
      <c r="AH9" s="18">
        <v>796.11</v>
      </c>
      <c r="AI9" s="18">
        <v>799.04</v>
      </c>
      <c r="AJ9" s="18">
        <v>790</v>
      </c>
      <c r="AK9" s="20">
        <v>844</v>
      </c>
    </row>
    <row r="10" spans="1:37" s="15" customFormat="1" ht="12" x14ac:dyDescent="0.3">
      <c r="A10" s="21" t="s">
        <v>12</v>
      </c>
      <c r="B10" s="18">
        <v>1245.3900000000001</v>
      </c>
      <c r="C10" s="18">
        <v>1216</v>
      </c>
      <c r="D10" s="18">
        <v>1259.01</v>
      </c>
      <c r="E10" s="18">
        <v>1205.6099999999999</v>
      </c>
      <c r="F10" s="18">
        <v>1187.92</v>
      </c>
      <c r="G10" s="18">
        <v>1205</v>
      </c>
      <c r="H10" s="18">
        <v>1228.06</v>
      </c>
      <c r="I10" s="18">
        <v>1207.99</v>
      </c>
      <c r="J10" s="18">
        <v>1213.97</v>
      </c>
      <c r="K10" s="18">
        <v>1220.3</v>
      </c>
      <c r="L10" s="18">
        <v>1210.26</v>
      </c>
      <c r="M10" s="18">
        <v>1194.3699999999999</v>
      </c>
      <c r="N10" s="18">
        <v>1177.29</v>
      </c>
      <c r="O10" s="18">
        <v>1161.1500000000001</v>
      </c>
      <c r="P10" s="18">
        <v>1163.08</v>
      </c>
      <c r="Q10" s="18">
        <v>1130.21</v>
      </c>
      <c r="R10" s="18">
        <v>1067.73</v>
      </c>
      <c r="S10" s="18">
        <v>1086.8499999999999</v>
      </c>
      <c r="T10" s="18">
        <v>1021.26</v>
      </c>
      <c r="U10" s="18">
        <v>1114.45</v>
      </c>
      <c r="V10" s="18">
        <v>1126.4000000000001</v>
      </c>
      <c r="W10" s="18">
        <v>1082.78</v>
      </c>
      <c r="X10" s="18">
        <v>1055.6600000000001</v>
      </c>
      <c r="Y10" s="18">
        <v>978.72</v>
      </c>
      <c r="Z10" s="18">
        <v>1022.81</v>
      </c>
      <c r="AA10" s="18">
        <v>972.39</v>
      </c>
      <c r="AB10" s="18">
        <v>1028.31</v>
      </c>
      <c r="AC10" s="18">
        <v>1048.49</v>
      </c>
      <c r="AD10" s="18">
        <v>1127.7</v>
      </c>
      <c r="AE10" s="18">
        <v>1193.8900000000001</v>
      </c>
      <c r="AF10" s="18">
        <v>1166.82</v>
      </c>
      <c r="AG10" s="18">
        <v>1167.93</v>
      </c>
      <c r="AH10" s="18">
        <v>1203.6600000000001</v>
      </c>
      <c r="AI10" s="18">
        <v>1221.07</v>
      </c>
      <c r="AJ10" s="18">
        <v>1200</v>
      </c>
      <c r="AK10" s="20">
        <v>1232</v>
      </c>
    </row>
    <row r="11" spans="1:37" s="15" customFormat="1" ht="12" x14ac:dyDescent="0.3">
      <c r="A11" s="21" t="s">
        <v>4</v>
      </c>
      <c r="B11" s="18">
        <v>620.66999999999996</v>
      </c>
      <c r="C11" s="18">
        <v>648.38</v>
      </c>
      <c r="D11" s="18">
        <v>715.41</v>
      </c>
      <c r="E11" s="18">
        <v>609.91999999999996</v>
      </c>
      <c r="F11" s="18">
        <v>672.15</v>
      </c>
      <c r="G11" s="18">
        <v>622.92999999999995</v>
      </c>
      <c r="H11" s="18">
        <v>561.16999999999996</v>
      </c>
      <c r="I11" s="18">
        <v>569.76</v>
      </c>
      <c r="J11" s="18">
        <v>571.44000000000005</v>
      </c>
      <c r="K11" s="18">
        <v>586.49</v>
      </c>
      <c r="L11" s="18">
        <v>611.22</v>
      </c>
      <c r="M11" s="18">
        <v>604.04999999999995</v>
      </c>
      <c r="N11" s="18">
        <v>592.82000000000005</v>
      </c>
      <c r="O11" s="18">
        <v>612.05999999999995</v>
      </c>
      <c r="P11" s="18">
        <v>615.52</v>
      </c>
      <c r="Q11" s="18">
        <v>619.35</v>
      </c>
      <c r="R11" s="18">
        <v>545.28</v>
      </c>
      <c r="S11" s="18">
        <v>612.41999999999996</v>
      </c>
      <c r="T11" s="18">
        <v>616</v>
      </c>
      <c r="U11" s="18">
        <v>718.03</v>
      </c>
      <c r="V11" s="18">
        <v>743.24</v>
      </c>
      <c r="W11" s="18">
        <v>736.67</v>
      </c>
      <c r="X11" s="18">
        <v>732.49</v>
      </c>
      <c r="Y11" s="18">
        <v>682.43</v>
      </c>
      <c r="Z11" s="18">
        <v>732.37</v>
      </c>
      <c r="AA11" s="18">
        <v>757.82</v>
      </c>
      <c r="AB11" s="18">
        <v>798.2</v>
      </c>
      <c r="AC11" s="18">
        <v>790.43</v>
      </c>
      <c r="AD11" s="18">
        <v>849.45</v>
      </c>
      <c r="AE11" s="18">
        <v>840.61</v>
      </c>
      <c r="AF11" s="18">
        <v>796.11</v>
      </c>
      <c r="AG11" s="18">
        <v>796.11</v>
      </c>
      <c r="AH11" s="18">
        <v>812.86</v>
      </c>
      <c r="AI11" s="18">
        <v>843.02</v>
      </c>
      <c r="AJ11" s="18">
        <v>804</v>
      </c>
      <c r="AK11" s="20">
        <v>833</v>
      </c>
    </row>
    <row r="12" spans="1:37" s="15" customFormat="1" ht="12" x14ac:dyDescent="0.3">
      <c r="A12" s="21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22"/>
      <c r="AE12" s="22"/>
      <c r="AF12" s="22"/>
      <c r="AG12" s="22"/>
      <c r="AH12" s="22"/>
      <c r="AI12" s="22"/>
      <c r="AJ12" s="22"/>
      <c r="AK12" s="23"/>
    </row>
    <row r="13" spans="1:37" s="15" customFormat="1" ht="12" x14ac:dyDescent="0.3">
      <c r="A13" s="17" t="s">
        <v>13</v>
      </c>
      <c r="B13" s="24"/>
      <c r="C13" s="24"/>
      <c r="D13" s="24"/>
      <c r="E13" s="24"/>
      <c r="F13" s="24"/>
      <c r="G13" s="24"/>
      <c r="H13" s="24"/>
      <c r="I13" s="24">
        <v>1022.45</v>
      </c>
      <c r="J13" s="24">
        <v>1080.27</v>
      </c>
      <c r="K13" s="24">
        <v>1195.69</v>
      </c>
      <c r="L13" s="24">
        <v>1189.24</v>
      </c>
      <c r="M13" s="24">
        <v>1369.39</v>
      </c>
      <c r="N13" s="24">
        <v>1104.6400000000001</v>
      </c>
      <c r="O13" s="24">
        <v>1144.55</v>
      </c>
      <c r="P13" s="24">
        <v>976.81</v>
      </c>
      <c r="Q13" s="24">
        <v>870.84</v>
      </c>
      <c r="R13" s="24">
        <v>699.15</v>
      </c>
      <c r="S13" s="24">
        <v>1390.9</v>
      </c>
      <c r="T13" s="24">
        <v>1153.52</v>
      </c>
      <c r="U13" s="24">
        <v>1220.78</v>
      </c>
      <c r="V13" s="24">
        <v>1656.02</v>
      </c>
      <c r="W13" s="24">
        <v>1221.6199999999999</v>
      </c>
      <c r="X13" s="24">
        <v>1374.17</v>
      </c>
      <c r="Y13" s="24">
        <v>1110.6199999999999</v>
      </c>
      <c r="Z13" s="24">
        <v>1148.3699999999999</v>
      </c>
      <c r="AA13" s="24">
        <v>1737.85</v>
      </c>
      <c r="AB13" s="24">
        <v>1854.82</v>
      </c>
      <c r="AC13" s="24">
        <v>1889.58</v>
      </c>
      <c r="AD13" s="24">
        <v>2182.06</v>
      </c>
      <c r="AE13" s="24">
        <v>2279.19</v>
      </c>
      <c r="AF13" s="24">
        <v>3101.05</v>
      </c>
      <c r="AG13" s="24">
        <v>3197.86</v>
      </c>
      <c r="AH13" s="24">
        <v>3573.02</v>
      </c>
      <c r="AI13" s="24">
        <v>3040.11</v>
      </c>
      <c r="AJ13" s="24">
        <v>3460</v>
      </c>
      <c r="AK13" s="25">
        <v>3118</v>
      </c>
    </row>
    <row r="14" spans="1:37" s="15" customFormat="1" ht="12" x14ac:dyDescent="0.3">
      <c r="A14" s="17" t="s">
        <v>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>
        <v>132.74</v>
      </c>
      <c r="P14" s="24">
        <v>115.05</v>
      </c>
      <c r="Q14" s="24">
        <v>132.02000000000001</v>
      </c>
      <c r="R14" s="24">
        <v>197.97</v>
      </c>
      <c r="S14" s="24">
        <v>143.85</v>
      </c>
      <c r="T14" s="24">
        <v>120.54</v>
      </c>
      <c r="U14" s="24">
        <v>107.76</v>
      </c>
      <c r="V14" s="24">
        <v>173.72</v>
      </c>
      <c r="W14" s="24">
        <v>143.85</v>
      </c>
      <c r="X14" s="24">
        <v>134.29</v>
      </c>
      <c r="Y14" s="24">
        <v>122.22</v>
      </c>
      <c r="Z14" s="24">
        <v>121.27</v>
      </c>
      <c r="AA14" s="24">
        <v>145.52000000000001</v>
      </c>
      <c r="AB14" s="24">
        <v>183.03</v>
      </c>
      <c r="AC14" s="24">
        <v>190.8</v>
      </c>
      <c r="AD14" s="24">
        <v>160.93</v>
      </c>
      <c r="AE14" s="24">
        <v>165.35</v>
      </c>
      <c r="AF14" s="24">
        <v>212.15</v>
      </c>
      <c r="AG14" s="24">
        <v>225.21</v>
      </c>
      <c r="AH14" s="24">
        <v>309.29000000000002</v>
      </c>
      <c r="AI14" s="24">
        <v>834.64</v>
      </c>
      <c r="AJ14" s="24">
        <v>280</v>
      </c>
      <c r="AK14" s="25">
        <v>293</v>
      </c>
    </row>
    <row r="15" spans="1:37" s="15" customFormat="1" ht="12" x14ac:dyDescent="0.3">
      <c r="A15" s="17" t="s">
        <v>5</v>
      </c>
      <c r="B15" s="24"/>
      <c r="C15" s="24"/>
      <c r="D15" s="24"/>
      <c r="E15" s="24"/>
      <c r="F15" s="24"/>
      <c r="G15" s="24"/>
      <c r="H15" s="24"/>
      <c r="I15" s="24">
        <v>239.55</v>
      </c>
      <c r="J15" s="24">
        <v>74.430000000000007</v>
      </c>
      <c r="K15" s="24">
        <v>130.83000000000001</v>
      </c>
      <c r="L15" s="24">
        <v>115.89</v>
      </c>
      <c r="M15" s="24">
        <v>75.5</v>
      </c>
      <c r="N15" s="24">
        <v>70.97</v>
      </c>
      <c r="O15" s="24">
        <v>215.65</v>
      </c>
      <c r="P15" s="24">
        <v>140.97999999999999</v>
      </c>
      <c r="Q15" s="24">
        <v>128.91</v>
      </c>
      <c r="R15" s="24">
        <v>141.69</v>
      </c>
      <c r="S15" s="24">
        <v>444.8</v>
      </c>
      <c r="T15" s="24">
        <v>804.89</v>
      </c>
      <c r="U15" s="24">
        <v>904.77</v>
      </c>
      <c r="V15" s="24">
        <v>892.82</v>
      </c>
      <c r="W15" s="24">
        <v>801.31</v>
      </c>
      <c r="X15" s="24">
        <v>704.3</v>
      </c>
      <c r="Y15" s="24">
        <v>884.58</v>
      </c>
      <c r="Z15" s="24">
        <v>836.91</v>
      </c>
      <c r="AA15" s="24">
        <v>1060.56</v>
      </c>
      <c r="AB15" s="24">
        <v>1148.8499999999999</v>
      </c>
      <c r="AC15" s="24">
        <v>1132.5999999999999</v>
      </c>
      <c r="AD15" s="24">
        <v>1456.02</v>
      </c>
      <c r="AE15" s="24">
        <v>1576.08</v>
      </c>
      <c r="AF15" s="24">
        <v>1667.49</v>
      </c>
      <c r="AG15" s="24">
        <v>1683.34</v>
      </c>
      <c r="AH15" s="24">
        <v>1847.7</v>
      </c>
      <c r="AI15" s="24">
        <v>2439</v>
      </c>
      <c r="AJ15" s="24">
        <v>1685</v>
      </c>
      <c r="AK15" s="25">
        <v>1591</v>
      </c>
    </row>
    <row r="16" spans="1:37" s="15" customFormat="1" ht="12" x14ac:dyDescent="0.3">
      <c r="A16" s="17" t="s">
        <v>6</v>
      </c>
      <c r="B16" s="24"/>
      <c r="C16" s="24"/>
      <c r="D16" s="24"/>
      <c r="E16" s="24"/>
      <c r="F16" s="24"/>
      <c r="G16" s="24"/>
      <c r="H16" s="24"/>
      <c r="I16" s="24">
        <v>523.05999999999995</v>
      </c>
      <c r="J16" s="24">
        <v>317.8</v>
      </c>
      <c r="K16" s="24">
        <v>528.79</v>
      </c>
      <c r="L16" s="24">
        <v>509.44</v>
      </c>
      <c r="M16" s="24">
        <v>604.04999999999995</v>
      </c>
      <c r="N16" s="24">
        <v>753.28</v>
      </c>
      <c r="O16" s="24">
        <v>690.07</v>
      </c>
      <c r="P16" s="24">
        <v>886.13</v>
      </c>
      <c r="Q16" s="24">
        <v>704.3</v>
      </c>
      <c r="R16" s="24">
        <v>659.49</v>
      </c>
      <c r="S16" s="24">
        <v>713.25</v>
      </c>
      <c r="T16" s="24">
        <v>800.47</v>
      </c>
      <c r="U16" s="24">
        <v>775.5</v>
      </c>
      <c r="V16" s="24">
        <v>756.14</v>
      </c>
      <c r="W16" s="24">
        <v>558.41999999999996</v>
      </c>
      <c r="X16" s="24">
        <v>282.19</v>
      </c>
      <c r="Y16" s="24">
        <v>498.2</v>
      </c>
      <c r="Z16" s="24">
        <v>583.03</v>
      </c>
      <c r="AA16" s="24">
        <v>704.3</v>
      </c>
      <c r="AB16" s="24">
        <v>807.76</v>
      </c>
      <c r="AC16" s="24">
        <v>791.87</v>
      </c>
      <c r="AD16" s="24">
        <v>848.14</v>
      </c>
      <c r="AE16" s="24">
        <v>829.86</v>
      </c>
      <c r="AF16" s="24">
        <v>837.43</v>
      </c>
      <c r="AG16" s="24">
        <v>837.43</v>
      </c>
      <c r="AH16" s="24">
        <v>921.17</v>
      </c>
      <c r="AI16" s="24">
        <v>932.03</v>
      </c>
      <c r="AJ16" s="24">
        <v>865</v>
      </c>
      <c r="AK16" s="25">
        <v>900</v>
      </c>
    </row>
    <row r="17" spans="1:37" s="15" customFormat="1" ht="12" x14ac:dyDescent="0.3">
      <c r="A17" s="17" t="s">
        <v>14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>
        <v>231.78</v>
      </c>
      <c r="X17" s="24">
        <v>349.34</v>
      </c>
      <c r="Y17" s="24">
        <v>304.89</v>
      </c>
      <c r="Z17" s="24">
        <v>332.62</v>
      </c>
      <c r="AA17" s="24">
        <v>365.35</v>
      </c>
      <c r="AB17" s="24">
        <v>376.34</v>
      </c>
      <c r="AC17" s="24">
        <v>388.89</v>
      </c>
      <c r="AD17" s="24">
        <v>439.66</v>
      </c>
      <c r="AE17" s="24">
        <v>445.87</v>
      </c>
      <c r="AF17" s="26">
        <v>474.54</v>
      </c>
      <c r="AG17" s="24">
        <v>476.78</v>
      </c>
      <c r="AH17" s="24">
        <v>502.46</v>
      </c>
      <c r="AI17" s="24">
        <v>492.2</v>
      </c>
      <c r="AJ17" s="24">
        <v>460</v>
      </c>
      <c r="AK17" s="25">
        <v>450</v>
      </c>
    </row>
    <row r="18" spans="1:37" s="15" customFormat="1" ht="12" x14ac:dyDescent="0.3">
      <c r="A18" s="17" t="s">
        <v>7</v>
      </c>
      <c r="B18" s="24">
        <v>6719.16</v>
      </c>
      <c r="C18" s="24">
        <v>6607.46</v>
      </c>
      <c r="D18" s="24">
        <v>7028.36</v>
      </c>
      <c r="E18" s="24">
        <v>6495.15</v>
      </c>
      <c r="F18" s="24">
        <v>5430.4</v>
      </c>
      <c r="G18" s="24">
        <v>4734.84</v>
      </c>
      <c r="H18" s="24">
        <v>5018.47</v>
      </c>
      <c r="I18" s="24">
        <v>5164.2299999999996</v>
      </c>
      <c r="J18" s="24">
        <v>5451.43</v>
      </c>
      <c r="K18" s="24">
        <v>5731.72</v>
      </c>
      <c r="L18" s="24">
        <v>5623.11</v>
      </c>
      <c r="M18" s="24">
        <v>5940.55</v>
      </c>
      <c r="N18" s="24">
        <v>6351.79</v>
      </c>
      <c r="O18" s="24">
        <v>6716.18</v>
      </c>
      <c r="P18" s="24">
        <v>6800.88</v>
      </c>
      <c r="Q18" s="24">
        <v>6301.97</v>
      </c>
      <c r="R18" s="24">
        <v>6202.45</v>
      </c>
      <c r="S18" s="24">
        <v>5410.81</v>
      </c>
      <c r="T18" s="24">
        <v>5757.4</v>
      </c>
      <c r="U18" s="24">
        <v>5493.37</v>
      </c>
      <c r="V18" s="24">
        <v>5487.87</v>
      </c>
      <c r="W18" s="24">
        <v>5697.43</v>
      </c>
      <c r="X18" s="24">
        <v>5832.55</v>
      </c>
      <c r="Y18" s="24">
        <v>5685.84</v>
      </c>
      <c r="Z18" s="24">
        <v>6552.86</v>
      </c>
      <c r="AA18" s="24">
        <v>8086.77</v>
      </c>
      <c r="AB18" s="24">
        <v>8158.1</v>
      </c>
      <c r="AC18" s="24">
        <v>8209.9500000000007</v>
      </c>
      <c r="AD18" s="24">
        <v>8856.77</v>
      </c>
      <c r="AE18" s="24">
        <v>8900.9699999999993</v>
      </c>
      <c r="AF18" s="24">
        <v>8656.1</v>
      </c>
      <c r="AG18" s="24">
        <v>7004.24</v>
      </c>
      <c r="AH18" s="24">
        <v>7249.89</v>
      </c>
      <c r="AI18" s="24">
        <v>6745.21</v>
      </c>
      <c r="AJ18" s="24">
        <v>6030</v>
      </c>
      <c r="AK18" s="25">
        <v>6635</v>
      </c>
    </row>
    <row r="19" spans="1:37" s="15" customFormat="1" ht="12" x14ac:dyDescent="0.3">
      <c r="A19" s="21" t="s">
        <v>15</v>
      </c>
      <c r="B19" s="26"/>
      <c r="C19" s="26"/>
      <c r="D19" s="26"/>
      <c r="E19" s="26"/>
      <c r="F19" s="26"/>
      <c r="G19" s="26"/>
      <c r="H19" s="26"/>
      <c r="I19" s="26"/>
      <c r="J19" s="26"/>
      <c r="K19" s="26">
        <v>5435.31</v>
      </c>
      <c r="L19" s="26">
        <v>5311.89</v>
      </c>
      <c r="M19" s="26">
        <v>5714.52</v>
      </c>
      <c r="N19" s="26">
        <v>6028.01</v>
      </c>
      <c r="O19" s="26">
        <v>6553.7</v>
      </c>
      <c r="P19" s="26">
        <v>6717.73</v>
      </c>
      <c r="Q19" s="26">
        <v>6215.46</v>
      </c>
      <c r="R19" s="26">
        <v>6144.62</v>
      </c>
      <c r="S19" s="26">
        <v>5375.21</v>
      </c>
      <c r="T19" s="26">
        <v>5721.08</v>
      </c>
      <c r="U19" s="26">
        <v>5445.94</v>
      </c>
      <c r="V19" s="26">
        <v>5388.23</v>
      </c>
      <c r="W19" s="26">
        <v>5596.95</v>
      </c>
      <c r="X19" s="26">
        <v>5801.13</v>
      </c>
      <c r="Y19" s="26">
        <v>5551.32</v>
      </c>
      <c r="Z19" s="26">
        <v>6358.95</v>
      </c>
      <c r="AA19" s="26">
        <v>7711.14</v>
      </c>
      <c r="AB19" s="26">
        <v>7762.16</v>
      </c>
      <c r="AC19" s="26">
        <v>7767.54</v>
      </c>
      <c r="AD19" s="26">
        <v>8122.97</v>
      </c>
      <c r="AE19" s="26">
        <v>8129.06</v>
      </c>
      <c r="AF19" s="26">
        <v>7592.68</v>
      </c>
      <c r="AG19" s="26">
        <v>7593.35</v>
      </c>
      <c r="AH19" s="26">
        <v>7213.04</v>
      </c>
      <c r="AI19" s="26">
        <v>6700.18</v>
      </c>
      <c r="AJ19" s="26">
        <v>5987</v>
      </c>
      <c r="AK19" s="27">
        <v>6601</v>
      </c>
    </row>
    <row r="20" spans="1:37" s="15" customFormat="1" ht="11.25" hidden="1" customHeight="1" x14ac:dyDescent="0.3">
      <c r="A20" s="15" t="s">
        <v>16</v>
      </c>
      <c r="B20" s="24">
        <v>3449.54</v>
      </c>
      <c r="C20" s="24">
        <v>3368.3</v>
      </c>
      <c r="D20" s="24">
        <v>3516.69</v>
      </c>
      <c r="E20" s="24">
        <v>2427.33</v>
      </c>
      <c r="F20" s="24">
        <v>2653.26</v>
      </c>
      <c r="G20" s="24">
        <v>2474.16</v>
      </c>
      <c r="H20" s="24">
        <v>2117.42</v>
      </c>
      <c r="I20" s="24">
        <v>0</v>
      </c>
      <c r="J20" s="24">
        <v>106.21</v>
      </c>
      <c r="K20" s="24">
        <v>110.27</v>
      </c>
      <c r="L20" s="24">
        <v>104.78</v>
      </c>
      <c r="M20" s="24">
        <v>151.37</v>
      </c>
      <c r="N20" s="24">
        <v>237.52</v>
      </c>
      <c r="O20" s="24">
        <v>25.93</v>
      </c>
      <c r="P20" s="24">
        <v>-36.44</v>
      </c>
      <c r="Q20" s="24">
        <v>106.93</v>
      </c>
      <c r="R20" s="24">
        <v>62.48</v>
      </c>
      <c r="S20" s="24">
        <v>14.82</v>
      </c>
      <c r="T20" s="24">
        <v>24.73</v>
      </c>
      <c r="U20" s="24">
        <v>12.91</v>
      </c>
      <c r="V20" s="24">
        <v>15.65</v>
      </c>
      <c r="W20" s="24">
        <v>18.16</v>
      </c>
      <c r="X20" s="24">
        <v>20.54</v>
      </c>
      <c r="Y20" s="24">
        <v>21.74</v>
      </c>
      <c r="Z20" s="24">
        <v>21.03</v>
      </c>
      <c r="AA20" s="24">
        <v>16.96</v>
      </c>
      <c r="AB20" s="24">
        <v>19.350000000000001</v>
      </c>
      <c r="AC20" s="24">
        <v>75.75</v>
      </c>
      <c r="AD20" s="24">
        <v>16.13</v>
      </c>
      <c r="AE20" s="24">
        <v>122.58</v>
      </c>
      <c r="AF20" s="24">
        <v>0</v>
      </c>
      <c r="AG20" s="24">
        <v>0</v>
      </c>
      <c r="AH20" s="24">
        <v>0</v>
      </c>
      <c r="AI20" s="24">
        <v>0</v>
      </c>
      <c r="AJ20" s="24"/>
      <c r="AK20" s="24"/>
    </row>
    <row r="21" spans="1:37" s="13" customFormat="1" ht="12" x14ac:dyDescent="0.3">
      <c r="A21" s="11" t="s">
        <v>8</v>
      </c>
      <c r="B21" s="12">
        <v>15101.26</v>
      </c>
      <c r="C21" s="12">
        <v>15313.57</v>
      </c>
      <c r="D21" s="12">
        <v>16558.240000000002</v>
      </c>
      <c r="E21" s="12">
        <v>14807.12</v>
      </c>
      <c r="F21" s="12">
        <v>13181.81</v>
      </c>
      <c r="G21" s="12">
        <v>12229.61</v>
      </c>
      <c r="H21" s="12">
        <v>11737.03</v>
      </c>
      <c r="I21" s="12">
        <v>11429.75</v>
      </c>
      <c r="J21" s="12">
        <v>11531.41</v>
      </c>
      <c r="K21" s="12">
        <v>12487.92</v>
      </c>
      <c r="L21" s="12">
        <v>12218.86</v>
      </c>
      <c r="M21" s="12">
        <v>13269.99</v>
      </c>
      <c r="N21" s="12">
        <v>13644.42</v>
      </c>
      <c r="O21" s="12">
        <v>14022.31</v>
      </c>
      <c r="P21" s="12">
        <v>14113.7</v>
      </c>
      <c r="Q21" s="12">
        <v>13549.91</v>
      </c>
      <c r="R21" s="12">
        <v>13075.25</v>
      </c>
      <c r="S21" s="12">
        <v>13396.99</v>
      </c>
      <c r="T21" s="12">
        <v>14192.2</v>
      </c>
      <c r="U21" s="12">
        <v>14794.1</v>
      </c>
      <c r="V21" s="12">
        <v>15429.81</v>
      </c>
      <c r="W21" s="12">
        <v>14900.44</v>
      </c>
      <c r="X21" s="12">
        <v>14812.38</v>
      </c>
      <c r="Y21" s="12">
        <v>14401.75</v>
      </c>
      <c r="Z21" s="12">
        <v>15831.24</v>
      </c>
      <c r="AA21" s="12">
        <v>18770.04</v>
      </c>
      <c r="AB21" s="12">
        <v>19410.29</v>
      </c>
      <c r="AC21" s="12">
        <v>19468.96</v>
      </c>
      <c r="AD21" s="12">
        <v>21660.69</v>
      </c>
      <c r="AE21" s="12">
        <v>22259.85</v>
      </c>
      <c r="AF21" s="12">
        <v>21368.02</v>
      </c>
      <c r="AG21" s="12">
        <v>19829.16</v>
      </c>
      <c r="AH21" s="12">
        <v>22713.040000000001</v>
      </c>
      <c r="AI21" s="12">
        <v>22920.720000000001</v>
      </c>
      <c r="AJ21" s="12">
        <f>AJ19+AJ17+AJ16+AJ15+AJ14+AJ13+AJ5</f>
        <v>20977</v>
      </c>
      <c r="AK21" s="12">
        <f>AK19+AK17+AK16+AK15+AK14+AK13+AK5</f>
        <v>21536</v>
      </c>
    </row>
    <row r="22" spans="1:37" s="15" customFormat="1" ht="12" x14ac:dyDescent="0.3">
      <c r="A22" s="28" t="s">
        <v>17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2"/>
      <c r="M22" s="22"/>
      <c r="N22" s="22"/>
      <c r="O22" s="22"/>
      <c r="P22" s="22"/>
      <c r="Q22" s="22"/>
      <c r="R22" s="22"/>
      <c r="S22" s="22"/>
      <c r="T22" s="22"/>
      <c r="U22" s="18">
        <v>3816.26</v>
      </c>
      <c r="V22" s="22"/>
      <c r="W22" s="22"/>
      <c r="X22" s="22"/>
      <c r="Y22" s="22"/>
      <c r="Z22" s="22"/>
      <c r="AA22" s="22"/>
      <c r="AB22" s="22"/>
      <c r="AC22" s="22"/>
      <c r="AD22" s="22"/>
      <c r="AE22" s="29"/>
      <c r="AF22" s="29"/>
      <c r="AG22" s="29"/>
      <c r="AH22" s="29"/>
      <c r="AI22" s="29"/>
      <c r="AJ22" s="29"/>
      <c r="AK22" s="30"/>
    </row>
    <row r="23" spans="1:37" x14ac:dyDescent="0.3">
      <c r="A23" s="14" t="s">
        <v>21</v>
      </c>
      <c r="C23" s="7"/>
      <c r="D23" s="7"/>
      <c r="E23" s="7"/>
      <c r="F23" s="7"/>
      <c r="G23" s="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7" x14ac:dyDescent="0.3">
      <c r="A24" s="14" t="s">
        <v>18</v>
      </c>
      <c r="C24" s="7"/>
      <c r="D24" s="7"/>
      <c r="E24" s="7"/>
      <c r="F24" s="7"/>
      <c r="G24" s="7"/>
    </row>
    <row r="25" spans="1:37" x14ac:dyDescent="0.3">
      <c r="A25" s="14" t="s">
        <v>19</v>
      </c>
      <c r="B25" s="31"/>
      <c r="C25" s="32"/>
      <c r="D25" s="33"/>
      <c r="E25" s="33"/>
      <c r="F25" s="33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4"/>
      <c r="AF25" s="34"/>
      <c r="AG25" s="34"/>
      <c r="AH25" s="34"/>
      <c r="AI25" s="34"/>
      <c r="AJ25" s="34"/>
      <c r="AK25" s="34"/>
    </row>
    <row r="26" spans="1:37" s="9" customFormat="1" x14ac:dyDescent="0.3">
      <c r="A26" s="39"/>
      <c r="B26" s="35"/>
      <c r="C26" s="35"/>
      <c r="D26" s="35"/>
      <c r="E26" s="35"/>
      <c r="F26" s="35"/>
      <c r="G26" s="35"/>
      <c r="H26" s="35"/>
      <c r="I26" s="35"/>
      <c r="J26" s="35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</row>
    <row r="27" spans="1:37" x14ac:dyDescent="0.3">
      <c r="A27" s="14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1"/>
    </row>
    <row r="28" spans="1:37" x14ac:dyDescent="0.3">
      <c r="A28" s="14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1"/>
      <c r="AG28" s="31"/>
      <c r="AH28" s="31"/>
      <c r="AI28" s="31"/>
      <c r="AJ28" s="31"/>
      <c r="AK28" s="31"/>
    </row>
    <row r="29" spans="1:37" x14ac:dyDescent="0.3">
      <c r="A29" s="14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1"/>
      <c r="AG29" s="31"/>
      <c r="AH29" s="31"/>
      <c r="AI29" s="31"/>
      <c r="AJ29" s="31"/>
      <c r="AK29" s="31"/>
    </row>
    <row r="30" spans="1:37" x14ac:dyDescent="0.3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1"/>
      <c r="AK30" s="31"/>
    </row>
    <row r="31" spans="1:37" x14ac:dyDescent="0.3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1"/>
      <c r="AK31" s="31"/>
    </row>
    <row r="32" spans="1:37" x14ac:dyDescent="0.3"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1"/>
      <c r="AK32" s="31"/>
    </row>
    <row r="33" spans="2:37" x14ac:dyDescent="0.3"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1"/>
      <c r="AK33" s="31"/>
    </row>
    <row r="34" spans="2:37" x14ac:dyDescent="0.3"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1"/>
      <c r="AK34" s="31"/>
    </row>
    <row r="35" spans="2:37" x14ac:dyDescent="0.3"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1"/>
      <c r="AK35" s="31"/>
    </row>
    <row r="36" spans="2:37" x14ac:dyDescent="0.3"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1"/>
      <c r="AK36" s="31"/>
    </row>
    <row r="37" spans="2:37" x14ac:dyDescent="0.3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1"/>
      <c r="AK37" s="31"/>
    </row>
    <row r="38" spans="2:37" x14ac:dyDescent="0.3"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1"/>
      <c r="AK38" s="31"/>
    </row>
    <row r="39" spans="2:37" x14ac:dyDescent="0.3"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1"/>
      <c r="AK39" s="31"/>
    </row>
    <row r="40" spans="2:37" x14ac:dyDescent="0.3"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1"/>
      <c r="AK40" s="31"/>
    </row>
    <row r="41" spans="2:37" x14ac:dyDescent="0.3"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1"/>
      <c r="AK41" s="31"/>
    </row>
    <row r="42" spans="2:37" x14ac:dyDescent="0.3"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1"/>
      <c r="AK42" s="31"/>
    </row>
    <row r="43" spans="2:37" x14ac:dyDescent="0.3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1"/>
      <c r="AK43" s="31"/>
    </row>
    <row r="44" spans="2:37" x14ac:dyDescent="0.3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1"/>
      <c r="AK44" s="31"/>
    </row>
    <row r="45" spans="2:37" x14ac:dyDescent="0.3"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1"/>
      <c r="AK45" s="31"/>
    </row>
    <row r="46" spans="2:37" x14ac:dyDescent="0.3"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1"/>
      <c r="AK46" s="31"/>
    </row>
    <row r="47" spans="2:37" x14ac:dyDescent="0.3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</row>
    <row r="48" spans="2:37" x14ac:dyDescent="0.3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</row>
  </sheetData>
  <pageMargins left="0.7" right="0.7" top="0.75" bottom="0.75" header="0.3" footer="0.3"/>
  <pageSetup scale="110" fitToWidth="0" fitToHeight="0" orientation="landscape" r:id="rId1"/>
  <headerFooter alignWithMargins="0">
    <oddHeader>&amp;CTable. Historical Data on Federal Research and Development</oddHeader>
    <oddFooter>&amp;CAAAS - APRIL 2012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Hourihan</dc:creator>
  <cp:lastModifiedBy>Alessandra C. Zimmermann</cp:lastModifiedBy>
  <dcterms:created xsi:type="dcterms:W3CDTF">2014-05-05T20:48:21Z</dcterms:created>
  <dcterms:modified xsi:type="dcterms:W3CDTF">2025-02-06T16:09:59Z</dcterms:modified>
</cp:coreProperties>
</file>