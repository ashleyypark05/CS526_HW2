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I:\RDBudget\Historical Tables\"/>
    </mc:Choice>
  </mc:AlternateContent>
  <xr:revisionPtr revIDLastSave="0" documentId="13_ncr:1_{DF7FF89C-F1E7-4DD0-911C-49212ECB2181}" xr6:coauthVersionLast="47" xr6:coauthVersionMax="47" xr10:uidLastSave="{00000000-0000-0000-0000-000000000000}"/>
  <bookViews>
    <workbookView xWindow="22932" yWindow="-108" windowWidth="30936" windowHeight="16776" activeTab="2" xr2:uid="{1BB9078C-7227-4FFB-B108-12FB06400146}"/>
  </bookViews>
  <sheets>
    <sheet name="Intro+Sources" sheetId="8" r:id="rId1"/>
    <sheet name="Totals" sheetId="2" r:id="rId2"/>
    <sheet name="Agency" sheetId="1" r:id="rId3"/>
    <sheet name="Type" sheetId="4" r:id="rId4"/>
    <sheet name="Function" sheetId="5" r:id="rId5"/>
    <sheet name="Field" sheetId="7" r:id="rId6"/>
    <sheet name="Funder" sheetId="6" r:id="rId7"/>
    <sheet name="Discipline" sheetId="3" state="hidden" r:id="rId8"/>
  </sheets>
  <definedNames>
    <definedName name="_xlnm._FilterDatabase" localSheetId="7" hidden="1">Discipline!$A$1:$P$379</definedName>
    <definedName name="_xlnm._FilterDatabase" localSheetId="6" hidden="1">Funder!$A$1:$BY$1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7" i="1" l="1"/>
  <c r="K177" i="1"/>
  <c r="L177" i="1"/>
  <c r="M177" i="1"/>
  <c r="N177" i="1"/>
  <c r="O177" i="1"/>
  <c r="P177" i="1"/>
  <c r="Q177" i="1"/>
  <c r="R177" i="1"/>
  <c r="S177" i="1"/>
  <c r="T177" i="1"/>
  <c r="U177" i="1"/>
  <c r="V177" i="1"/>
  <c r="W177" i="1"/>
  <c r="X177" i="1"/>
  <c r="Y177" i="1"/>
  <c r="Z177" i="1"/>
  <c r="AA177" i="1"/>
  <c r="AB177" i="1"/>
  <c r="AC177" i="1"/>
  <c r="AD177" i="1"/>
  <c r="AE177" i="1"/>
  <c r="AF177" i="1"/>
  <c r="AG177" i="1"/>
  <c r="AH177" i="1"/>
  <c r="AI177" i="1"/>
  <c r="AJ177" i="1"/>
  <c r="AK177" i="1"/>
  <c r="AL177" i="1"/>
  <c r="AM177" i="1"/>
  <c r="AN177" i="1"/>
  <c r="AO177" i="1"/>
  <c r="AP177" i="1"/>
  <c r="AQ177" i="1"/>
  <c r="AR177" i="1"/>
  <c r="AS177" i="1"/>
  <c r="AT177" i="1"/>
  <c r="AU177" i="1"/>
  <c r="AV177" i="1"/>
  <c r="AW177" i="1"/>
  <c r="AX177" i="1"/>
  <c r="AY177" i="1"/>
  <c r="AZ177" i="1"/>
  <c r="BA177" i="1"/>
  <c r="BB177" i="1"/>
  <c r="BC177" i="1"/>
  <c r="BD177" i="1"/>
  <c r="BE177" i="1"/>
  <c r="BF177" i="1"/>
  <c r="BG177" i="1"/>
  <c r="BH177" i="1"/>
  <c r="J178" i="1"/>
  <c r="K178"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K178" i="1"/>
  <c r="AL178" i="1"/>
  <c r="AM178" i="1"/>
  <c r="AN178" i="1"/>
  <c r="AO178" i="1"/>
  <c r="AP178" i="1"/>
  <c r="AQ178" i="1"/>
  <c r="AR178" i="1"/>
  <c r="AS178" i="1"/>
  <c r="AT178" i="1"/>
  <c r="AU178" i="1"/>
  <c r="AV178" i="1"/>
  <c r="AW178" i="1"/>
  <c r="AX178" i="1"/>
  <c r="AY178" i="1"/>
  <c r="AZ178" i="1"/>
  <c r="BA178" i="1"/>
  <c r="BB178" i="1"/>
  <c r="BC178" i="1"/>
  <c r="BD178" i="1"/>
  <c r="BE178" i="1"/>
  <c r="BF178" i="1"/>
  <c r="BG178" i="1"/>
  <c r="BH178" i="1"/>
  <c r="J179" i="1"/>
  <c r="K179" i="1"/>
  <c r="L179" i="1"/>
  <c r="M179" i="1"/>
  <c r="N179" i="1"/>
  <c r="O179" i="1"/>
  <c r="P179" i="1"/>
  <c r="Q179" i="1"/>
  <c r="R179" i="1"/>
  <c r="S179" i="1"/>
  <c r="T179" i="1"/>
  <c r="U179" i="1"/>
  <c r="V179" i="1"/>
  <c r="W179" i="1"/>
  <c r="X179" i="1"/>
  <c r="Y179" i="1"/>
  <c r="Z179" i="1"/>
  <c r="AA179" i="1"/>
  <c r="AB179" i="1"/>
  <c r="AC179" i="1"/>
  <c r="AD179" i="1"/>
  <c r="AE179" i="1"/>
  <c r="AF179" i="1"/>
  <c r="AG179" i="1"/>
  <c r="AH179" i="1"/>
  <c r="AI179" i="1"/>
  <c r="AJ179" i="1"/>
  <c r="AK179" i="1"/>
  <c r="AL179" i="1"/>
  <c r="AM179" i="1"/>
  <c r="AN179" i="1"/>
  <c r="AO179" i="1"/>
  <c r="AP179" i="1"/>
  <c r="AQ179" i="1"/>
  <c r="AR179" i="1"/>
  <c r="AS179" i="1"/>
  <c r="AT179" i="1"/>
  <c r="AU179" i="1"/>
  <c r="AV179" i="1"/>
  <c r="AW179" i="1"/>
  <c r="AX179" i="1"/>
  <c r="AY179" i="1"/>
  <c r="AZ179" i="1"/>
  <c r="BA179" i="1"/>
  <c r="BB179" i="1"/>
  <c r="BC179" i="1"/>
  <c r="BD179" i="1"/>
  <c r="BE179" i="1"/>
  <c r="BF179" i="1"/>
  <c r="BG179" i="1"/>
  <c r="BH179" i="1"/>
  <c r="J180" i="1"/>
  <c r="K180" i="1"/>
  <c r="L180" i="1"/>
  <c r="M180" i="1"/>
  <c r="N180" i="1"/>
  <c r="O180" i="1"/>
  <c r="P180" i="1"/>
  <c r="Q180" i="1"/>
  <c r="R180" i="1"/>
  <c r="S180" i="1"/>
  <c r="T180" i="1"/>
  <c r="U180" i="1"/>
  <c r="V180" i="1"/>
  <c r="W180" i="1"/>
  <c r="X180" i="1"/>
  <c r="Y180" i="1"/>
  <c r="Z180" i="1"/>
  <c r="AA180" i="1"/>
  <c r="AB180" i="1"/>
  <c r="AC180" i="1"/>
  <c r="AD180" i="1"/>
  <c r="AE180" i="1"/>
  <c r="AF180" i="1"/>
  <c r="AG180" i="1"/>
  <c r="AH180" i="1"/>
  <c r="AI180" i="1"/>
  <c r="AJ180" i="1"/>
  <c r="AK180" i="1"/>
  <c r="AL180" i="1"/>
  <c r="AM180" i="1"/>
  <c r="AN180" i="1"/>
  <c r="AO180" i="1"/>
  <c r="AP180" i="1"/>
  <c r="AQ180" i="1"/>
  <c r="AR180" i="1"/>
  <c r="AS180" i="1"/>
  <c r="AT180" i="1"/>
  <c r="AU180" i="1"/>
  <c r="AV180" i="1"/>
  <c r="AW180" i="1"/>
  <c r="AX180" i="1"/>
  <c r="AY180" i="1"/>
  <c r="AZ180" i="1"/>
  <c r="BA180" i="1"/>
  <c r="BB180" i="1"/>
  <c r="BC180" i="1"/>
  <c r="BD180" i="1"/>
  <c r="BE180" i="1"/>
  <c r="BF180" i="1"/>
  <c r="BG180" i="1"/>
  <c r="BH180" i="1"/>
  <c r="J181" i="1"/>
  <c r="K181"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K181" i="1"/>
  <c r="AL181" i="1"/>
  <c r="AM181" i="1"/>
  <c r="AN181" i="1"/>
  <c r="AO181" i="1"/>
  <c r="AP181" i="1"/>
  <c r="AQ181" i="1"/>
  <c r="AR181" i="1"/>
  <c r="AS181" i="1"/>
  <c r="AT181" i="1"/>
  <c r="AU181" i="1"/>
  <c r="AV181" i="1"/>
  <c r="AW181" i="1"/>
  <c r="AX181" i="1"/>
  <c r="AY181" i="1"/>
  <c r="AZ181" i="1"/>
  <c r="BA181" i="1"/>
  <c r="BB181" i="1"/>
  <c r="BC181" i="1"/>
  <c r="BD181" i="1"/>
  <c r="BE181" i="1"/>
  <c r="BF181" i="1"/>
  <c r="BG181" i="1"/>
  <c r="BH181" i="1"/>
  <c r="J182" i="1"/>
  <c r="K182"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K182" i="1"/>
  <c r="AL182" i="1"/>
  <c r="AM182" i="1"/>
  <c r="AN182" i="1"/>
  <c r="AO182" i="1"/>
  <c r="AP182" i="1"/>
  <c r="AQ182" i="1"/>
  <c r="AR182" i="1"/>
  <c r="AS182" i="1"/>
  <c r="AT182" i="1"/>
  <c r="AU182" i="1"/>
  <c r="AV182" i="1"/>
  <c r="AW182" i="1"/>
  <c r="AX182" i="1"/>
  <c r="AY182" i="1"/>
  <c r="AZ182" i="1"/>
  <c r="BA182" i="1"/>
  <c r="BB182" i="1"/>
  <c r="BC182" i="1"/>
  <c r="BD182" i="1"/>
  <c r="BE182" i="1"/>
  <c r="BF182" i="1"/>
  <c r="BG182" i="1"/>
  <c r="BH182" i="1"/>
  <c r="J183" i="1"/>
  <c r="K183" i="1"/>
  <c r="L183" i="1"/>
  <c r="M183" i="1"/>
  <c r="N183" i="1"/>
  <c r="O183" i="1"/>
  <c r="P183" i="1"/>
  <c r="Q183" i="1"/>
  <c r="R183" i="1"/>
  <c r="S183" i="1"/>
  <c r="T183" i="1"/>
  <c r="U183" i="1"/>
  <c r="V183" i="1"/>
  <c r="W183" i="1"/>
  <c r="X183" i="1"/>
  <c r="Y183" i="1"/>
  <c r="Z183" i="1"/>
  <c r="AA183" i="1"/>
  <c r="AB183" i="1"/>
  <c r="AC183" i="1"/>
  <c r="AD183" i="1"/>
  <c r="AE183" i="1"/>
  <c r="AF183" i="1"/>
  <c r="AG183" i="1"/>
  <c r="AH183" i="1"/>
  <c r="AI183" i="1"/>
  <c r="AJ183" i="1"/>
  <c r="AK183" i="1"/>
  <c r="AL183" i="1"/>
  <c r="AM183" i="1"/>
  <c r="AN183" i="1"/>
  <c r="AO183" i="1"/>
  <c r="AP183" i="1"/>
  <c r="AQ183" i="1"/>
  <c r="AR183" i="1"/>
  <c r="AS183" i="1"/>
  <c r="AT183" i="1"/>
  <c r="AU183" i="1"/>
  <c r="AV183" i="1"/>
  <c r="AW183" i="1"/>
  <c r="AX183" i="1"/>
  <c r="AY183" i="1"/>
  <c r="AZ183" i="1"/>
  <c r="BA183" i="1"/>
  <c r="BB183" i="1"/>
  <c r="BC183" i="1"/>
  <c r="BD183" i="1"/>
  <c r="BE183" i="1"/>
  <c r="BF183" i="1"/>
  <c r="BG183" i="1"/>
  <c r="BH183" i="1"/>
  <c r="J184" i="1"/>
  <c r="K184" i="1"/>
  <c r="L184" i="1"/>
  <c r="M184" i="1"/>
  <c r="N184" i="1"/>
  <c r="O184" i="1"/>
  <c r="P184" i="1"/>
  <c r="Q184" i="1"/>
  <c r="R184" i="1"/>
  <c r="S184" i="1"/>
  <c r="T184" i="1"/>
  <c r="U184" i="1"/>
  <c r="V184" i="1"/>
  <c r="W184" i="1"/>
  <c r="X184" i="1"/>
  <c r="Y184" i="1"/>
  <c r="Z184" i="1"/>
  <c r="AA184" i="1"/>
  <c r="AB184" i="1"/>
  <c r="AC184" i="1"/>
  <c r="AD184" i="1"/>
  <c r="AE184" i="1"/>
  <c r="AF184" i="1"/>
  <c r="AG184" i="1"/>
  <c r="AH184" i="1"/>
  <c r="AI184" i="1"/>
  <c r="AJ184" i="1"/>
  <c r="AK184" i="1"/>
  <c r="AL184" i="1"/>
  <c r="AM184" i="1"/>
  <c r="AN184" i="1"/>
  <c r="AO184" i="1"/>
  <c r="AP184" i="1"/>
  <c r="AQ184" i="1"/>
  <c r="AR184" i="1"/>
  <c r="AS184" i="1"/>
  <c r="AT184" i="1"/>
  <c r="AU184" i="1"/>
  <c r="AV184" i="1"/>
  <c r="AW184" i="1"/>
  <c r="AX184" i="1"/>
  <c r="AY184" i="1"/>
  <c r="AZ184" i="1"/>
  <c r="BA184" i="1"/>
  <c r="BB184" i="1"/>
  <c r="BC184" i="1"/>
  <c r="BD184" i="1"/>
  <c r="BE184" i="1"/>
  <c r="BF184" i="1"/>
  <c r="BG184" i="1"/>
  <c r="BH184" i="1"/>
  <c r="J185" i="1"/>
  <c r="K185"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K185" i="1"/>
  <c r="AL185" i="1"/>
  <c r="AM185" i="1"/>
  <c r="AN185" i="1"/>
  <c r="AO185" i="1"/>
  <c r="AP185" i="1"/>
  <c r="AQ185" i="1"/>
  <c r="AR185" i="1"/>
  <c r="AS185" i="1"/>
  <c r="AT185" i="1"/>
  <c r="AU185" i="1"/>
  <c r="AV185" i="1"/>
  <c r="AW185" i="1"/>
  <c r="AX185" i="1"/>
  <c r="AY185" i="1"/>
  <c r="AZ185" i="1"/>
  <c r="BA185" i="1"/>
  <c r="BB185" i="1"/>
  <c r="BC185" i="1"/>
  <c r="BD185" i="1"/>
  <c r="BE185" i="1"/>
  <c r="BF185" i="1"/>
  <c r="BG185" i="1"/>
  <c r="BH185" i="1"/>
  <c r="J186" i="1"/>
  <c r="K186" i="1"/>
  <c r="L186" i="1"/>
  <c r="M186" i="1"/>
  <c r="N186" i="1"/>
  <c r="O186" i="1"/>
  <c r="P186" i="1"/>
  <c r="Q186" i="1"/>
  <c r="R186" i="1"/>
  <c r="S186" i="1"/>
  <c r="T186" i="1"/>
  <c r="U186" i="1"/>
  <c r="V186" i="1"/>
  <c r="W186" i="1"/>
  <c r="X186" i="1"/>
  <c r="Y186" i="1"/>
  <c r="Z186" i="1"/>
  <c r="AA186" i="1"/>
  <c r="AB186" i="1"/>
  <c r="AC186" i="1"/>
  <c r="AD186" i="1"/>
  <c r="AE186" i="1"/>
  <c r="AF186" i="1"/>
  <c r="AG186" i="1"/>
  <c r="AH186" i="1"/>
  <c r="AI186" i="1"/>
  <c r="AJ186" i="1"/>
  <c r="AK186" i="1"/>
  <c r="AL186" i="1"/>
  <c r="AM186" i="1"/>
  <c r="AN186" i="1"/>
  <c r="AO186" i="1"/>
  <c r="AP186" i="1"/>
  <c r="AQ186" i="1"/>
  <c r="AR186" i="1"/>
  <c r="AS186" i="1"/>
  <c r="AT186" i="1"/>
  <c r="AU186" i="1"/>
  <c r="AV186" i="1"/>
  <c r="AW186" i="1"/>
  <c r="AX186" i="1"/>
  <c r="AY186" i="1"/>
  <c r="AZ186" i="1"/>
  <c r="BA186" i="1"/>
  <c r="BB186" i="1"/>
  <c r="BC186" i="1"/>
  <c r="BD186" i="1"/>
  <c r="BE186" i="1"/>
  <c r="BF186" i="1"/>
  <c r="BG186" i="1"/>
  <c r="BH186" i="1"/>
  <c r="J187" i="1"/>
  <c r="K187"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K187" i="1"/>
  <c r="AL187" i="1"/>
  <c r="AM187" i="1"/>
  <c r="AN187" i="1"/>
  <c r="AO187" i="1"/>
  <c r="AP187" i="1"/>
  <c r="AQ187" i="1"/>
  <c r="AR187" i="1"/>
  <c r="AS187" i="1"/>
  <c r="AT187" i="1"/>
  <c r="AU187" i="1"/>
  <c r="AV187" i="1"/>
  <c r="AW187" i="1"/>
  <c r="AX187" i="1"/>
  <c r="AY187" i="1"/>
  <c r="AZ187" i="1"/>
  <c r="BA187" i="1"/>
  <c r="BB187" i="1"/>
  <c r="BC187" i="1"/>
  <c r="BD187" i="1"/>
  <c r="BE187" i="1"/>
  <c r="BF187" i="1"/>
  <c r="BG187" i="1"/>
  <c r="BH187" i="1"/>
  <c r="J188" i="1"/>
  <c r="K188"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K188" i="1"/>
  <c r="AL188" i="1"/>
  <c r="AM188" i="1"/>
  <c r="AN188" i="1"/>
  <c r="AO188" i="1"/>
  <c r="AP188" i="1"/>
  <c r="AQ188" i="1"/>
  <c r="AR188" i="1"/>
  <c r="AS188" i="1"/>
  <c r="AT188" i="1"/>
  <c r="AU188" i="1"/>
  <c r="AV188" i="1"/>
  <c r="AW188" i="1"/>
  <c r="AX188" i="1"/>
  <c r="AY188" i="1"/>
  <c r="AZ188" i="1"/>
  <c r="BA188" i="1"/>
  <c r="BB188" i="1"/>
  <c r="BC188" i="1"/>
  <c r="BD188" i="1"/>
  <c r="BE188" i="1"/>
  <c r="BF188" i="1"/>
  <c r="BG188" i="1"/>
  <c r="BH188" i="1"/>
  <c r="J189" i="1"/>
  <c r="K189" i="1"/>
  <c r="L189" i="1"/>
  <c r="M189" i="1"/>
  <c r="N189" i="1"/>
  <c r="O189" i="1"/>
  <c r="P189" i="1"/>
  <c r="Q189" i="1"/>
  <c r="R189" i="1"/>
  <c r="S189" i="1"/>
  <c r="T189" i="1"/>
  <c r="U189" i="1"/>
  <c r="V189" i="1"/>
  <c r="W189" i="1"/>
  <c r="X189" i="1"/>
  <c r="Y189" i="1"/>
  <c r="Z189" i="1"/>
  <c r="AA189" i="1"/>
  <c r="AB189" i="1"/>
  <c r="AC189" i="1"/>
  <c r="AD189" i="1"/>
  <c r="AE189" i="1"/>
  <c r="AF189" i="1"/>
  <c r="AG189" i="1"/>
  <c r="AH189" i="1"/>
  <c r="AI189" i="1"/>
  <c r="AJ189" i="1"/>
  <c r="AK189" i="1"/>
  <c r="AL189" i="1"/>
  <c r="AM189" i="1"/>
  <c r="AN189" i="1"/>
  <c r="AO189" i="1"/>
  <c r="AP189" i="1"/>
  <c r="AQ189" i="1"/>
  <c r="AR189" i="1"/>
  <c r="AS189" i="1"/>
  <c r="AT189" i="1"/>
  <c r="AU189" i="1"/>
  <c r="AV189" i="1"/>
  <c r="AW189" i="1"/>
  <c r="AX189" i="1"/>
  <c r="AY189" i="1"/>
  <c r="AZ189" i="1"/>
  <c r="BA189" i="1"/>
  <c r="BB189" i="1"/>
  <c r="BC189" i="1"/>
  <c r="BD189" i="1"/>
  <c r="BE189" i="1"/>
  <c r="BF189" i="1"/>
  <c r="BG189" i="1"/>
  <c r="BH189" i="1"/>
  <c r="J190" i="1"/>
  <c r="K190" i="1"/>
  <c r="L190" i="1"/>
  <c r="M190" i="1"/>
  <c r="N190" i="1"/>
  <c r="O190" i="1"/>
  <c r="P190" i="1"/>
  <c r="Q190" i="1"/>
  <c r="R190" i="1"/>
  <c r="S190" i="1"/>
  <c r="T190" i="1"/>
  <c r="U190" i="1"/>
  <c r="V190" i="1"/>
  <c r="W190" i="1"/>
  <c r="X190" i="1"/>
  <c r="Y190" i="1"/>
  <c r="Z190" i="1"/>
  <c r="AA190" i="1"/>
  <c r="AB190" i="1"/>
  <c r="AC190" i="1"/>
  <c r="AD190" i="1"/>
  <c r="AE190" i="1"/>
  <c r="AF190" i="1"/>
  <c r="AG190" i="1"/>
  <c r="AH190" i="1"/>
  <c r="AI190" i="1"/>
  <c r="AJ190" i="1"/>
  <c r="AK190" i="1"/>
  <c r="AL190" i="1"/>
  <c r="AM190" i="1"/>
  <c r="AN190" i="1"/>
  <c r="AO190" i="1"/>
  <c r="AP190" i="1"/>
  <c r="AQ190" i="1"/>
  <c r="AR190" i="1"/>
  <c r="AS190" i="1"/>
  <c r="AT190" i="1"/>
  <c r="AU190" i="1"/>
  <c r="AV190" i="1"/>
  <c r="AW190" i="1"/>
  <c r="AX190" i="1"/>
  <c r="AY190" i="1"/>
  <c r="AZ190" i="1"/>
  <c r="BA190" i="1"/>
  <c r="BB190" i="1"/>
  <c r="BC190" i="1"/>
  <c r="BD190" i="1"/>
  <c r="BE190" i="1"/>
  <c r="BF190" i="1"/>
  <c r="BG190" i="1"/>
  <c r="BH190" i="1"/>
  <c r="J191" i="1"/>
  <c r="K191"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K191" i="1"/>
  <c r="AL191" i="1"/>
  <c r="AM191" i="1"/>
  <c r="AN191" i="1"/>
  <c r="AO191" i="1"/>
  <c r="AP191" i="1"/>
  <c r="AQ191" i="1"/>
  <c r="AR191" i="1"/>
  <c r="AS191" i="1"/>
  <c r="AT191" i="1"/>
  <c r="AU191" i="1"/>
  <c r="AV191" i="1"/>
  <c r="AW191" i="1"/>
  <c r="AX191" i="1"/>
  <c r="AY191" i="1"/>
  <c r="AZ191" i="1"/>
  <c r="BA191" i="1"/>
  <c r="BB191" i="1"/>
  <c r="BC191" i="1"/>
  <c r="BD191" i="1"/>
  <c r="BE191" i="1"/>
  <c r="BF191" i="1"/>
  <c r="BG191" i="1"/>
  <c r="BH191" i="1"/>
  <c r="J192" i="1"/>
  <c r="K192" i="1"/>
  <c r="L192" i="1"/>
  <c r="M192" i="1"/>
  <c r="N192" i="1"/>
  <c r="O192" i="1"/>
  <c r="P192" i="1"/>
  <c r="Q192" i="1"/>
  <c r="R192" i="1"/>
  <c r="S192" i="1"/>
  <c r="T192" i="1"/>
  <c r="U192" i="1"/>
  <c r="V192" i="1"/>
  <c r="W192" i="1"/>
  <c r="X192" i="1"/>
  <c r="Y192" i="1"/>
  <c r="Z192" i="1"/>
  <c r="AA192" i="1"/>
  <c r="AB192" i="1"/>
  <c r="AC192" i="1"/>
  <c r="AD192" i="1"/>
  <c r="AE192" i="1"/>
  <c r="AF192" i="1"/>
  <c r="AG192" i="1"/>
  <c r="AH192" i="1"/>
  <c r="AI192" i="1"/>
  <c r="AJ192" i="1"/>
  <c r="AK192" i="1"/>
  <c r="AL192" i="1"/>
  <c r="AM192" i="1"/>
  <c r="AN192" i="1"/>
  <c r="AO192" i="1"/>
  <c r="AP192" i="1"/>
  <c r="AQ192" i="1"/>
  <c r="AR192" i="1"/>
  <c r="AS192" i="1"/>
  <c r="AT192" i="1"/>
  <c r="AU192" i="1"/>
  <c r="AV192" i="1"/>
  <c r="AW192" i="1"/>
  <c r="AX192" i="1"/>
  <c r="AY192" i="1"/>
  <c r="AZ192" i="1"/>
  <c r="BA192" i="1"/>
  <c r="BB192" i="1"/>
  <c r="BC192" i="1"/>
  <c r="BD192" i="1"/>
  <c r="BE192" i="1"/>
  <c r="BF192" i="1"/>
  <c r="BG192" i="1"/>
  <c r="BH192" i="1"/>
  <c r="J193" i="1"/>
  <c r="K193"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K193" i="1"/>
  <c r="AL193" i="1"/>
  <c r="AM193" i="1"/>
  <c r="AN193" i="1"/>
  <c r="AO193" i="1"/>
  <c r="AP193" i="1"/>
  <c r="AQ193" i="1"/>
  <c r="AR193" i="1"/>
  <c r="AS193" i="1"/>
  <c r="AT193" i="1"/>
  <c r="AU193" i="1"/>
  <c r="AV193" i="1"/>
  <c r="AW193" i="1"/>
  <c r="AX193" i="1"/>
  <c r="AY193" i="1"/>
  <c r="AZ193" i="1"/>
  <c r="BA193" i="1"/>
  <c r="BB193" i="1"/>
  <c r="BC193" i="1"/>
  <c r="BD193" i="1"/>
  <c r="BE193" i="1"/>
  <c r="BF193" i="1"/>
  <c r="BG193" i="1"/>
  <c r="BH193" i="1"/>
  <c r="J194" i="1"/>
  <c r="K194" i="1"/>
  <c r="L194" i="1"/>
  <c r="M194" i="1"/>
  <c r="N194" i="1"/>
  <c r="O194" i="1"/>
  <c r="P194" i="1"/>
  <c r="Q194" i="1"/>
  <c r="R194" i="1"/>
  <c r="S194" i="1"/>
  <c r="T194" i="1"/>
  <c r="U194" i="1"/>
  <c r="V194" i="1"/>
  <c r="W194" i="1"/>
  <c r="X194" i="1"/>
  <c r="Y194" i="1"/>
  <c r="Z194" i="1"/>
  <c r="AA194" i="1"/>
  <c r="AB194" i="1"/>
  <c r="AC194" i="1"/>
  <c r="AD194" i="1"/>
  <c r="AE194" i="1"/>
  <c r="AF194" i="1"/>
  <c r="AG194" i="1"/>
  <c r="AH194" i="1"/>
  <c r="AI194" i="1"/>
  <c r="AJ194" i="1"/>
  <c r="AK194" i="1"/>
  <c r="AL194" i="1"/>
  <c r="AM194" i="1"/>
  <c r="AN194" i="1"/>
  <c r="AO194" i="1"/>
  <c r="AP194" i="1"/>
  <c r="AQ194" i="1"/>
  <c r="AR194" i="1"/>
  <c r="AS194" i="1"/>
  <c r="AT194" i="1"/>
  <c r="AU194" i="1"/>
  <c r="AV194" i="1"/>
  <c r="AW194" i="1"/>
  <c r="AX194" i="1"/>
  <c r="AY194" i="1"/>
  <c r="AZ194" i="1"/>
  <c r="BA194" i="1"/>
  <c r="BB194" i="1"/>
  <c r="BC194" i="1"/>
  <c r="BD194" i="1"/>
  <c r="BE194" i="1"/>
  <c r="BF194" i="1"/>
  <c r="BG194" i="1"/>
  <c r="BH194" i="1"/>
  <c r="J195" i="1"/>
  <c r="K195" i="1"/>
  <c r="L195" i="1"/>
  <c r="M195" i="1"/>
  <c r="N195" i="1"/>
  <c r="O195" i="1"/>
  <c r="P195" i="1"/>
  <c r="Q195" i="1"/>
  <c r="R195" i="1"/>
  <c r="S195" i="1"/>
  <c r="T195" i="1"/>
  <c r="U195" i="1"/>
  <c r="V195" i="1"/>
  <c r="W195" i="1"/>
  <c r="X195" i="1"/>
  <c r="Y195" i="1"/>
  <c r="Z195" i="1"/>
  <c r="AA195" i="1"/>
  <c r="AB195" i="1"/>
  <c r="AC195" i="1"/>
  <c r="AD195" i="1"/>
  <c r="AE195" i="1"/>
  <c r="AF195" i="1"/>
  <c r="AG195" i="1"/>
  <c r="AH195" i="1"/>
  <c r="AI195" i="1"/>
  <c r="AJ195" i="1"/>
  <c r="AK195" i="1"/>
  <c r="AL195" i="1"/>
  <c r="AM195" i="1"/>
  <c r="AN195" i="1"/>
  <c r="AO195" i="1"/>
  <c r="AP195" i="1"/>
  <c r="AQ195" i="1"/>
  <c r="AR195" i="1"/>
  <c r="AS195" i="1"/>
  <c r="AT195" i="1"/>
  <c r="AU195" i="1"/>
  <c r="AV195" i="1"/>
  <c r="AW195" i="1"/>
  <c r="AX195" i="1"/>
  <c r="AY195" i="1"/>
  <c r="AZ195" i="1"/>
  <c r="BA195" i="1"/>
  <c r="BB195" i="1"/>
  <c r="BC195" i="1"/>
  <c r="BD195" i="1"/>
  <c r="BE195" i="1"/>
  <c r="BF195" i="1"/>
  <c r="BG195" i="1"/>
  <c r="BH195" i="1"/>
  <c r="J196" i="1"/>
  <c r="K196" i="1"/>
  <c r="L196" i="1"/>
  <c r="M196" i="1"/>
  <c r="N196" i="1"/>
  <c r="O196" i="1"/>
  <c r="P196" i="1"/>
  <c r="Q196" i="1"/>
  <c r="R196" i="1"/>
  <c r="S196" i="1"/>
  <c r="T196" i="1"/>
  <c r="U196" i="1"/>
  <c r="V196" i="1"/>
  <c r="W196" i="1"/>
  <c r="X196" i="1"/>
  <c r="Y196" i="1"/>
  <c r="Z196" i="1"/>
  <c r="AA196" i="1"/>
  <c r="AB196" i="1"/>
  <c r="AC196" i="1"/>
  <c r="AD196" i="1"/>
  <c r="AE196" i="1"/>
  <c r="AF196" i="1"/>
  <c r="AG196" i="1"/>
  <c r="AH196" i="1"/>
  <c r="AI196" i="1"/>
  <c r="AJ196" i="1"/>
  <c r="AK196" i="1"/>
  <c r="AL196" i="1"/>
  <c r="AM196" i="1"/>
  <c r="AN196" i="1"/>
  <c r="AO196" i="1"/>
  <c r="AP196" i="1"/>
  <c r="AQ196" i="1"/>
  <c r="AR196" i="1"/>
  <c r="AS196" i="1"/>
  <c r="AT196" i="1"/>
  <c r="AU196" i="1"/>
  <c r="AV196" i="1"/>
  <c r="AW196" i="1"/>
  <c r="AX196" i="1"/>
  <c r="AY196" i="1"/>
  <c r="AZ196" i="1"/>
  <c r="BA196" i="1"/>
  <c r="BB196" i="1"/>
  <c r="BC196" i="1"/>
  <c r="BD196" i="1"/>
  <c r="BE196" i="1"/>
  <c r="BF196" i="1"/>
  <c r="BG196" i="1"/>
  <c r="BH196" i="1"/>
  <c r="J197" i="1"/>
  <c r="K197" i="1"/>
  <c r="L197" i="1"/>
  <c r="M197" i="1"/>
  <c r="N197" i="1"/>
  <c r="O197" i="1"/>
  <c r="P197" i="1"/>
  <c r="Q197" i="1"/>
  <c r="R197" i="1"/>
  <c r="S197" i="1"/>
  <c r="T197" i="1"/>
  <c r="U197" i="1"/>
  <c r="V197" i="1"/>
  <c r="W197" i="1"/>
  <c r="X197" i="1"/>
  <c r="Y197" i="1"/>
  <c r="Z197" i="1"/>
  <c r="AA197" i="1"/>
  <c r="AB197" i="1"/>
  <c r="AC197" i="1"/>
  <c r="AD197" i="1"/>
  <c r="AE197" i="1"/>
  <c r="AF197" i="1"/>
  <c r="AG197" i="1"/>
  <c r="AH197" i="1"/>
  <c r="AI197" i="1"/>
  <c r="AJ197" i="1"/>
  <c r="AK197" i="1"/>
  <c r="AL197" i="1"/>
  <c r="AM197" i="1"/>
  <c r="AN197" i="1"/>
  <c r="AO197" i="1"/>
  <c r="AP197" i="1"/>
  <c r="AQ197" i="1"/>
  <c r="AR197" i="1"/>
  <c r="AS197" i="1"/>
  <c r="AT197" i="1"/>
  <c r="AU197" i="1"/>
  <c r="AV197" i="1"/>
  <c r="AW197" i="1"/>
  <c r="AX197" i="1"/>
  <c r="AY197" i="1"/>
  <c r="AZ197" i="1"/>
  <c r="BA197" i="1"/>
  <c r="BB197" i="1"/>
  <c r="BC197" i="1"/>
  <c r="BD197" i="1"/>
  <c r="BE197" i="1"/>
  <c r="BF197" i="1"/>
  <c r="BG197" i="1"/>
  <c r="BH197" i="1"/>
  <c r="J198" i="1"/>
  <c r="K198" i="1"/>
  <c r="L198" i="1"/>
  <c r="M198" i="1"/>
  <c r="N198" i="1"/>
  <c r="O198" i="1"/>
  <c r="P198" i="1"/>
  <c r="Q198" i="1"/>
  <c r="R198" i="1"/>
  <c r="S198" i="1"/>
  <c r="T198" i="1"/>
  <c r="U198" i="1"/>
  <c r="V198" i="1"/>
  <c r="W198" i="1"/>
  <c r="X198" i="1"/>
  <c r="Y198" i="1"/>
  <c r="Z198" i="1"/>
  <c r="AA198" i="1"/>
  <c r="AB198" i="1"/>
  <c r="AC198" i="1"/>
  <c r="AD198" i="1"/>
  <c r="AE198" i="1"/>
  <c r="AF198" i="1"/>
  <c r="AG198" i="1"/>
  <c r="AH198" i="1"/>
  <c r="AI198" i="1"/>
  <c r="AJ198" i="1"/>
  <c r="AK198" i="1"/>
  <c r="AL198" i="1"/>
  <c r="AM198" i="1"/>
  <c r="AN198" i="1"/>
  <c r="AO198" i="1"/>
  <c r="AP198" i="1"/>
  <c r="AQ198" i="1"/>
  <c r="AR198" i="1"/>
  <c r="AS198" i="1"/>
  <c r="AT198" i="1"/>
  <c r="AU198" i="1"/>
  <c r="AV198" i="1"/>
  <c r="AW198" i="1"/>
  <c r="AX198" i="1"/>
  <c r="AY198" i="1"/>
  <c r="AZ198" i="1"/>
  <c r="BA198" i="1"/>
  <c r="BB198" i="1"/>
  <c r="BC198" i="1"/>
  <c r="BD198" i="1"/>
  <c r="BE198" i="1"/>
  <c r="BF198" i="1"/>
  <c r="BG198" i="1"/>
  <c r="BH198" i="1"/>
  <c r="J199" i="1"/>
  <c r="K199"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K199" i="1"/>
  <c r="AL199" i="1"/>
  <c r="AM199" i="1"/>
  <c r="AN199" i="1"/>
  <c r="AO199" i="1"/>
  <c r="AP199" i="1"/>
  <c r="AQ199" i="1"/>
  <c r="AR199" i="1"/>
  <c r="AS199" i="1"/>
  <c r="AT199" i="1"/>
  <c r="AU199" i="1"/>
  <c r="AV199" i="1"/>
  <c r="AW199" i="1"/>
  <c r="AX199" i="1"/>
  <c r="AY199" i="1"/>
  <c r="AZ199" i="1"/>
  <c r="BA199" i="1"/>
  <c r="BB199" i="1"/>
  <c r="BC199" i="1"/>
  <c r="BD199" i="1"/>
  <c r="BE199" i="1"/>
  <c r="BF199" i="1"/>
  <c r="BG199" i="1"/>
  <c r="BH199" i="1"/>
  <c r="J200" i="1"/>
  <c r="K200"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K200" i="1"/>
  <c r="AL200" i="1"/>
  <c r="AM200" i="1"/>
  <c r="AN200" i="1"/>
  <c r="AO200" i="1"/>
  <c r="AP200" i="1"/>
  <c r="AQ200" i="1"/>
  <c r="AR200" i="1"/>
  <c r="AS200" i="1"/>
  <c r="AT200" i="1"/>
  <c r="AU200" i="1"/>
  <c r="AV200" i="1"/>
  <c r="AW200" i="1"/>
  <c r="AX200" i="1"/>
  <c r="AY200" i="1"/>
  <c r="AZ200" i="1"/>
  <c r="BA200" i="1"/>
  <c r="BB200" i="1"/>
  <c r="BC200" i="1"/>
  <c r="BD200" i="1"/>
  <c r="BE200" i="1"/>
  <c r="BF200" i="1"/>
  <c r="BG200" i="1"/>
  <c r="BH200" i="1"/>
  <c r="J201" i="1"/>
  <c r="K201"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K201" i="1"/>
  <c r="AL201" i="1"/>
  <c r="AM201" i="1"/>
  <c r="AN201" i="1"/>
  <c r="AO201" i="1"/>
  <c r="AP201" i="1"/>
  <c r="AQ201" i="1"/>
  <c r="AR201" i="1"/>
  <c r="AS201" i="1"/>
  <c r="AT201" i="1"/>
  <c r="AU201" i="1"/>
  <c r="AV201" i="1"/>
  <c r="AW201" i="1"/>
  <c r="AX201" i="1"/>
  <c r="AY201" i="1"/>
  <c r="AZ201" i="1"/>
  <c r="BA201" i="1"/>
  <c r="BB201" i="1"/>
  <c r="BC201" i="1"/>
  <c r="BD201" i="1"/>
  <c r="BE201" i="1"/>
  <c r="BF201" i="1"/>
  <c r="BG201" i="1"/>
  <c r="BH201" i="1"/>
  <c r="J202" i="1"/>
  <c r="K202" i="1"/>
  <c r="L202" i="1"/>
  <c r="M202" i="1"/>
  <c r="N202" i="1"/>
  <c r="O202" i="1"/>
  <c r="P202" i="1"/>
  <c r="Q202" i="1"/>
  <c r="R202" i="1"/>
  <c r="S202" i="1"/>
  <c r="T202" i="1"/>
  <c r="U202" i="1"/>
  <c r="V202" i="1"/>
  <c r="W202" i="1"/>
  <c r="X202" i="1"/>
  <c r="Y202" i="1"/>
  <c r="Z202" i="1"/>
  <c r="AA202" i="1"/>
  <c r="AB202" i="1"/>
  <c r="AC202" i="1"/>
  <c r="AD202" i="1"/>
  <c r="AE202" i="1"/>
  <c r="AF202" i="1"/>
  <c r="AG202" i="1"/>
  <c r="AH202" i="1"/>
  <c r="AI202" i="1"/>
  <c r="AJ202" i="1"/>
  <c r="AK202" i="1"/>
  <c r="AL202" i="1"/>
  <c r="AM202" i="1"/>
  <c r="AN202" i="1"/>
  <c r="AO202" i="1"/>
  <c r="AP202" i="1"/>
  <c r="AQ202" i="1"/>
  <c r="AR202" i="1"/>
  <c r="AS202" i="1"/>
  <c r="AT202" i="1"/>
  <c r="AU202" i="1"/>
  <c r="AV202" i="1"/>
  <c r="AW202" i="1"/>
  <c r="AX202" i="1"/>
  <c r="AY202" i="1"/>
  <c r="AZ202" i="1"/>
  <c r="BA202" i="1"/>
  <c r="BB202" i="1"/>
  <c r="BC202" i="1"/>
  <c r="BD202" i="1"/>
  <c r="BE202" i="1"/>
  <c r="BF202" i="1"/>
  <c r="BG202" i="1"/>
  <c r="BH202" i="1"/>
  <c r="J203" i="1"/>
  <c r="K203" i="1"/>
  <c r="L203" i="1"/>
  <c r="M203" i="1"/>
  <c r="N203" i="1"/>
  <c r="O203" i="1"/>
  <c r="P203" i="1"/>
  <c r="Q203" i="1"/>
  <c r="R203" i="1"/>
  <c r="S203" i="1"/>
  <c r="T203" i="1"/>
  <c r="U203" i="1"/>
  <c r="V203" i="1"/>
  <c r="W203" i="1"/>
  <c r="X203" i="1"/>
  <c r="Y203" i="1"/>
  <c r="Z203" i="1"/>
  <c r="AA203" i="1"/>
  <c r="AB203" i="1"/>
  <c r="AC203" i="1"/>
  <c r="AD203" i="1"/>
  <c r="AE203" i="1"/>
  <c r="AF203" i="1"/>
  <c r="AG203" i="1"/>
  <c r="AH203" i="1"/>
  <c r="AI203" i="1"/>
  <c r="AJ203" i="1"/>
  <c r="AK203" i="1"/>
  <c r="AL203" i="1"/>
  <c r="AM203" i="1"/>
  <c r="AN203" i="1"/>
  <c r="AO203" i="1"/>
  <c r="AP203" i="1"/>
  <c r="AQ203" i="1"/>
  <c r="AR203" i="1"/>
  <c r="AS203" i="1"/>
  <c r="AT203" i="1"/>
  <c r="AU203" i="1"/>
  <c r="AV203" i="1"/>
  <c r="AW203" i="1"/>
  <c r="AX203" i="1"/>
  <c r="AY203" i="1"/>
  <c r="AZ203" i="1"/>
  <c r="BA203" i="1"/>
  <c r="BB203" i="1"/>
  <c r="BC203" i="1"/>
  <c r="BD203" i="1"/>
  <c r="BE203" i="1"/>
  <c r="BF203" i="1"/>
  <c r="BG203" i="1"/>
  <c r="BH203" i="1"/>
  <c r="J204" i="1"/>
  <c r="K204" i="1"/>
  <c r="L204" i="1"/>
  <c r="M204" i="1"/>
  <c r="N204" i="1"/>
  <c r="O204" i="1"/>
  <c r="P204" i="1"/>
  <c r="Q204" i="1"/>
  <c r="R204" i="1"/>
  <c r="S204" i="1"/>
  <c r="T204" i="1"/>
  <c r="U204" i="1"/>
  <c r="V204" i="1"/>
  <c r="W204" i="1"/>
  <c r="X204" i="1"/>
  <c r="Y204" i="1"/>
  <c r="Z204" i="1"/>
  <c r="AA204" i="1"/>
  <c r="AB204" i="1"/>
  <c r="AC204" i="1"/>
  <c r="AD204" i="1"/>
  <c r="AE204" i="1"/>
  <c r="AF204" i="1"/>
  <c r="AG204" i="1"/>
  <c r="AH204" i="1"/>
  <c r="AI204" i="1"/>
  <c r="AJ204" i="1"/>
  <c r="AK204" i="1"/>
  <c r="AL204" i="1"/>
  <c r="AM204" i="1"/>
  <c r="AN204" i="1"/>
  <c r="AO204" i="1"/>
  <c r="AP204" i="1"/>
  <c r="AQ204" i="1"/>
  <c r="AR204" i="1"/>
  <c r="AS204" i="1"/>
  <c r="AT204" i="1"/>
  <c r="AU204" i="1"/>
  <c r="AV204" i="1"/>
  <c r="AW204" i="1"/>
  <c r="AX204" i="1"/>
  <c r="AY204" i="1"/>
  <c r="AZ204" i="1"/>
  <c r="BA204" i="1"/>
  <c r="BB204" i="1"/>
  <c r="BC204" i="1"/>
  <c r="BD204" i="1"/>
  <c r="BE204" i="1"/>
  <c r="BF204" i="1"/>
  <c r="BG204" i="1"/>
  <c r="BH204" i="1"/>
  <c r="J205" i="1"/>
  <c r="K205" i="1"/>
  <c r="L205" i="1"/>
  <c r="M205" i="1"/>
  <c r="N205" i="1"/>
  <c r="O205" i="1"/>
  <c r="P205" i="1"/>
  <c r="Q205" i="1"/>
  <c r="R205" i="1"/>
  <c r="S205" i="1"/>
  <c r="T205" i="1"/>
  <c r="U205" i="1"/>
  <c r="V205" i="1"/>
  <c r="W205" i="1"/>
  <c r="X205" i="1"/>
  <c r="Y205" i="1"/>
  <c r="Z205" i="1"/>
  <c r="AA205" i="1"/>
  <c r="AB205" i="1"/>
  <c r="AC205" i="1"/>
  <c r="AD205" i="1"/>
  <c r="AE205" i="1"/>
  <c r="AF205" i="1"/>
  <c r="AG205" i="1"/>
  <c r="AH205" i="1"/>
  <c r="AI205" i="1"/>
  <c r="AJ205" i="1"/>
  <c r="AK205" i="1"/>
  <c r="AL205" i="1"/>
  <c r="AM205" i="1"/>
  <c r="AN205" i="1"/>
  <c r="AO205" i="1"/>
  <c r="AP205" i="1"/>
  <c r="AQ205" i="1"/>
  <c r="AR205" i="1"/>
  <c r="AS205" i="1"/>
  <c r="AT205" i="1"/>
  <c r="AU205" i="1"/>
  <c r="AV205" i="1"/>
  <c r="AW205" i="1"/>
  <c r="AX205" i="1"/>
  <c r="AY205" i="1"/>
  <c r="AZ205" i="1"/>
  <c r="BA205" i="1"/>
  <c r="BB205" i="1"/>
  <c r="BC205" i="1"/>
  <c r="BD205" i="1"/>
  <c r="BE205" i="1"/>
  <c r="BF205" i="1"/>
  <c r="BG205" i="1"/>
  <c r="BH205" i="1"/>
  <c r="J206" i="1"/>
  <c r="K206"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K206" i="1"/>
  <c r="AL206" i="1"/>
  <c r="AM206" i="1"/>
  <c r="AN206" i="1"/>
  <c r="AO206" i="1"/>
  <c r="AP206" i="1"/>
  <c r="AQ206" i="1"/>
  <c r="AR206" i="1"/>
  <c r="AS206" i="1"/>
  <c r="AT206" i="1"/>
  <c r="AU206" i="1"/>
  <c r="AV206" i="1"/>
  <c r="AW206" i="1"/>
  <c r="AX206" i="1"/>
  <c r="AY206" i="1"/>
  <c r="AZ206" i="1"/>
  <c r="BA206" i="1"/>
  <c r="BB206" i="1"/>
  <c r="BC206" i="1"/>
  <c r="BD206" i="1"/>
  <c r="BE206" i="1"/>
  <c r="BF206" i="1"/>
  <c r="BG206" i="1"/>
  <c r="BH206" i="1"/>
  <c r="J207" i="1"/>
  <c r="K207"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K207" i="1"/>
  <c r="AL207" i="1"/>
  <c r="AM207" i="1"/>
  <c r="AN207" i="1"/>
  <c r="AO207" i="1"/>
  <c r="AP207" i="1"/>
  <c r="AQ207" i="1"/>
  <c r="AR207" i="1"/>
  <c r="AS207" i="1"/>
  <c r="AT207" i="1"/>
  <c r="AU207" i="1"/>
  <c r="AV207" i="1"/>
  <c r="AW207" i="1"/>
  <c r="AX207" i="1"/>
  <c r="AY207" i="1"/>
  <c r="AZ207" i="1"/>
  <c r="BA207" i="1"/>
  <c r="BB207" i="1"/>
  <c r="BC207" i="1"/>
  <c r="BD207" i="1"/>
  <c r="BE207" i="1"/>
  <c r="BF207" i="1"/>
  <c r="BG207" i="1"/>
  <c r="BH207" i="1"/>
  <c r="J208" i="1"/>
  <c r="K208"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K208" i="1"/>
  <c r="AL208" i="1"/>
  <c r="AM208" i="1"/>
  <c r="AN208" i="1"/>
  <c r="AO208" i="1"/>
  <c r="AP208" i="1"/>
  <c r="AQ208" i="1"/>
  <c r="AR208" i="1"/>
  <c r="AS208" i="1"/>
  <c r="AT208" i="1"/>
  <c r="AU208" i="1"/>
  <c r="AV208" i="1"/>
  <c r="AW208" i="1"/>
  <c r="AX208" i="1"/>
  <c r="AY208" i="1"/>
  <c r="AZ208" i="1"/>
  <c r="BA208" i="1"/>
  <c r="BB208" i="1"/>
  <c r="BC208" i="1"/>
  <c r="BD208" i="1"/>
  <c r="BE208" i="1"/>
  <c r="BF208" i="1"/>
  <c r="BG208" i="1"/>
  <c r="BH208" i="1"/>
  <c r="J209" i="1"/>
  <c r="K209"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K209" i="1"/>
  <c r="AL209" i="1"/>
  <c r="AM209" i="1"/>
  <c r="AN209" i="1"/>
  <c r="AO209" i="1"/>
  <c r="AP209" i="1"/>
  <c r="AQ209" i="1"/>
  <c r="AR209" i="1"/>
  <c r="AS209" i="1"/>
  <c r="AT209" i="1"/>
  <c r="AU209" i="1"/>
  <c r="AV209" i="1"/>
  <c r="AW209" i="1"/>
  <c r="AX209" i="1"/>
  <c r="AY209" i="1"/>
  <c r="AZ209" i="1"/>
  <c r="BA209" i="1"/>
  <c r="BB209" i="1"/>
  <c r="BC209" i="1"/>
  <c r="BD209" i="1"/>
  <c r="BE209" i="1"/>
  <c r="BF209" i="1"/>
  <c r="BG209" i="1"/>
  <c r="BH209" i="1"/>
  <c r="J210" i="1"/>
  <c r="K210"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K210" i="1"/>
  <c r="AL210" i="1"/>
  <c r="AM210" i="1"/>
  <c r="AN210" i="1"/>
  <c r="AO210" i="1"/>
  <c r="AP210" i="1"/>
  <c r="AQ210" i="1"/>
  <c r="AR210" i="1"/>
  <c r="AS210" i="1"/>
  <c r="AT210" i="1"/>
  <c r="AU210" i="1"/>
  <c r="AV210" i="1"/>
  <c r="AW210" i="1"/>
  <c r="AX210" i="1"/>
  <c r="AY210" i="1"/>
  <c r="AZ210" i="1"/>
  <c r="BA210" i="1"/>
  <c r="BB210" i="1"/>
  <c r="BC210" i="1"/>
  <c r="BD210" i="1"/>
  <c r="BE210" i="1"/>
  <c r="BF210" i="1"/>
  <c r="BG210" i="1"/>
  <c r="BH210" i="1"/>
  <c r="J211" i="1"/>
  <c r="K211"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K211" i="1"/>
  <c r="AL211" i="1"/>
  <c r="AM211" i="1"/>
  <c r="AN211" i="1"/>
  <c r="AO211" i="1"/>
  <c r="AP211" i="1"/>
  <c r="AQ211" i="1"/>
  <c r="AR211" i="1"/>
  <c r="AS211" i="1"/>
  <c r="AT211" i="1"/>
  <c r="AU211" i="1"/>
  <c r="AV211" i="1"/>
  <c r="AW211" i="1"/>
  <c r="AX211" i="1"/>
  <c r="AY211" i="1"/>
  <c r="AZ211" i="1"/>
  <c r="BA211" i="1"/>
  <c r="BB211" i="1"/>
  <c r="BC211" i="1"/>
  <c r="BD211" i="1"/>
  <c r="BE211" i="1"/>
  <c r="BF211" i="1"/>
  <c r="BG211" i="1"/>
  <c r="BH211" i="1"/>
  <c r="J212" i="1"/>
  <c r="K212"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K212" i="1"/>
  <c r="AL212" i="1"/>
  <c r="AM212" i="1"/>
  <c r="AN212" i="1"/>
  <c r="AO212" i="1"/>
  <c r="AP212" i="1"/>
  <c r="AQ212" i="1"/>
  <c r="AR212" i="1"/>
  <c r="AS212" i="1"/>
  <c r="AT212" i="1"/>
  <c r="AU212" i="1"/>
  <c r="AV212" i="1"/>
  <c r="AW212" i="1"/>
  <c r="AX212" i="1"/>
  <c r="AY212" i="1"/>
  <c r="AZ212" i="1"/>
  <c r="BA212" i="1"/>
  <c r="BB212" i="1"/>
  <c r="BC212" i="1"/>
  <c r="BD212" i="1"/>
  <c r="BE212" i="1"/>
  <c r="BF212" i="1"/>
  <c r="BG212" i="1"/>
  <c r="BH212" i="1"/>
  <c r="J213" i="1"/>
  <c r="K213"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K213" i="1"/>
  <c r="AL213" i="1"/>
  <c r="AM213" i="1"/>
  <c r="AN213" i="1"/>
  <c r="AO213" i="1"/>
  <c r="AP213" i="1"/>
  <c r="AQ213" i="1"/>
  <c r="AR213" i="1"/>
  <c r="AS213" i="1"/>
  <c r="AT213" i="1"/>
  <c r="AU213" i="1"/>
  <c r="AV213" i="1"/>
  <c r="AW213" i="1"/>
  <c r="AX213" i="1"/>
  <c r="AY213" i="1"/>
  <c r="AZ213" i="1"/>
  <c r="BA213" i="1"/>
  <c r="BB213" i="1"/>
  <c r="BC213" i="1"/>
  <c r="BD213" i="1"/>
  <c r="BE213" i="1"/>
  <c r="BF213" i="1"/>
  <c r="BG213" i="1"/>
  <c r="BH213" i="1"/>
  <c r="J214" i="1"/>
  <c r="K214"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K214" i="1"/>
  <c r="AL214" i="1"/>
  <c r="AM214" i="1"/>
  <c r="AN214" i="1"/>
  <c r="AO214" i="1"/>
  <c r="AP214" i="1"/>
  <c r="AQ214" i="1"/>
  <c r="AR214" i="1"/>
  <c r="AS214" i="1"/>
  <c r="AT214" i="1"/>
  <c r="AU214" i="1"/>
  <c r="AV214" i="1"/>
  <c r="AW214" i="1"/>
  <c r="AX214" i="1"/>
  <c r="AY214" i="1"/>
  <c r="AZ214" i="1"/>
  <c r="BA214" i="1"/>
  <c r="BB214" i="1"/>
  <c r="BC214" i="1"/>
  <c r="BD214" i="1"/>
  <c r="BE214" i="1"/>
  <c r="BF214" i="1"/>
  <c r="BG214" i="1"/>
  <c r="BH214" i="1"/>
  <c r="J215" i="1"/>
  <c r="K215" i="1"/>
  <c r="L215" i="1"/>
  <c r="M215" i="1"/>
  <c r="N215" i="1"/>
  <c r="O215" i="1"/>
  <c r="P215" i="1"/>
  <c r="Q215" i="1"/>
  <c r="R215" i="1"/>
  <c r="S215" i="1"/>
  <c r="T215" i="1"/>
  <c r="U215" i="1"/>
  <c r="V215" i="1"/>
  <c r="W215" i="1"/>
  <c r="X215" i="1"/>
  <c r="Y215" i="1"/>
  <c r="Z215" i="1"/>
  <c r="AA215" i="1"/>
  <c r="AB215" i="1"/>
  <c r="AC215" i="1"/>
  <c r="AD215" i="1"/>
  <c r="AE215" i="1"/>
  <c r="AF215" i="1"/>
  <c r="AG215" i="1"/>
  <c r="AH215" i="1"/>
  <c r="AI215" i="1"/>
  <c r="AJ215" i="1"/>
  <c r="AK215" i="1"/>
  <c r="AL215" i="1"/>
  <c r="AM215" i="1"/>
  <c r="AN215" i="1"/>
  <c r="AO215" i="1"/>
  <c r="AP215" i="1"/>
  <c r="AQ215" i="1"/>
  <c r="AR215" i="1"/>
  <c r="AS215" i="1"/>
  <c r="AT215" i="1"/>
  <c r="AU215" i="1"/>
  <c r="AV215" i="1"/>
  <c r="AW215" i="1"/>
  <c r="AX215" i="1"/>
  <c r="AY215" i="1"/>
  <c r="AZ215" i="1"/>
  <c r="BA215" i="1"/>
  <c r="BB215" i="1"/>
  <c r="BC215" i="1"/>
  <c r="BD215" i="1"/>
  <c r="BE215" i="1"/>
  <c r="BF215" i="1"/>
  <c r="BG215" i="1"/>
  <c r="BH215" i="1"/>
  <c r="J216" i="1"/>
  <c r="K216"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K216" i="1"/>
  <c r="AL216" i="1"/>
  <c r="AM216" i="1"/>
  <c r="AN216" i="1"/>
  <c r="AO216" i="1"/>
  <c r="AP216" i="1"/>
  <c r="AQ216" i="1"/>
  <c r="AR216" i="1"/>
  <c r="AS216" i="1"/>
  <c r="AT216" i="1"/>
  <c r="AU216" i="1"/>
  <c r="AV216" i="1"/>
  <c r="AW216" i="1"/>
  <c r="AX216" i="1"/>
  <c r="AY216" i="1"/>
  <c r="AZ216" i="1"/>
  <c r="BA216" i="1"/>
  <c r="BB216" i="1"/>
  <c r="BC216" i="1"/>
  <c r="BD216" i="1"/>
  <c r="BE216" i="1"/>
  <c r="BF216" i="1"/>
  <c r="BG216" i="1"/>
  <c r="BH216" i="1"/>
  <c r="J217" i="1"/>
  <c r="K217"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K217" i="1"/>
  <c r="AL217" i="1"/>
  <c r="AM217" i="1"/>
  <c r="AN217" i="1"/>
  <c r="AO217" i="1"/>
  <c r="AP217" i="1"/>
  <c r="AQ217" i="1"/>
  <c r="AR217" i="1"/>
  <c r="AS217" i="1"/>
  <c r="AT217" i="1"/>
  <c r="AU217" i="1"/>
  <c r="AV217" i="1"/>
  <c r="AW217" i="1"/>
  <c r="AX217" i="1"/>
  <c r="AY217" i="1"/>
  <c r="AZ217" i="1"/>
  <c r="BA217" i="1"/>
  <c r="BB217" i="1"/>
  <c r="BC217" i="1"/>
  <c r="BD217" i="1"/>
  <c r="BE217" i="1"/>
  <c r="BF217" i="1"/>
  <c r="BG217" i="1"/>
  <c r="BH217" i="1"/>
  <c r="J218" i="1"/>
  <c r="K218" i="1"/>
  <c r="L218" i="1"/>
  <c r="M218" i="1"/>
  <c r="N218" i="1"/>
  <c r="O218" i="1"/>
  <c r="P218" i="1"/>
  <c r="Q218" i="1"/>
  <c r="R218" i="1"/>
  <c r="S218" i="1"/>
  <c r="T218" i="1"/>
  <c r="U218" i="1"/>
  <c r="V218" i="1"/>
  <c r="W218" i="1"/>
  <c r="X218" i="1"/>
  <c r="Y218" i="1"/>
  <c r="Z218" i="1"/>
  <c r="AA218" i="1"/>
  <c r="AB218" i="1"/>
  <c r="AC218" i="1"/>
  <c r="AD218" i="1"/>
  <c r="AE218" i="1"/>
  <c r="AF218" i="1"/>
  <c r="AG218" i="1"/>
  <c r="AH218" i="1"/>
  <c r="AI218" i="1"/>
  <c r="AJ218" i="1"/>
  <c r="AK218" i="1"/>
  <c r="AL218" i="1"/>
  <c r="AM218" i="1"/>
  <c r="AN218" i="1"/>
  <c r="AO218" i="1"/>
  <c r="AP218" i="1"/>
  <c r="AQ218" i="1"/>
  <c r="AR218" i="1"/>
  <c r="AS218" i="1"/>
  <c r="AT218" i="1"/>
  <c r="AU218" i="1"/>
  <c r="AV218" i="1"/>
  <c r="AW218" i="1"/>
  <c r="AX218" i="1"/>
  <c r="AY218" i="1"/>
  <c r="AZ218" i="1"/>
  <c r="BA218" i="1"/>
  <c r="BB218" i="1"/>
  <c r="BC218" i="1"/>
  <c r="BD218" i="1"/>
  <c r="BE218" i="1"/>
  <c r="BF218" i="1"/>
  <c r="BG218" i="1"/>
  <c r="BH218" i="1"/>
  <c r="J219" i="1"/>
  <c r="K219"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K219" i="1"/>
  <c r="AL219" i="1"/>
  <c r="AM219" i="1"/>
  <c r="AN219" i="1"/>
  <c r="AO219" i="1"/>
  <c r="AP219" i="1"/>
  <c r="AQ219" i="1"/>
  <c r="AR219" i="1"/>
  <c r="AS219" i="1"/>
  <c r="AT219" i="1"/>
  <c r="AU219" i="1"/>
  <c r="AV219" i="1"/>
  <c r="AW219" i="1"/>
  <c r="AX219" i="1"/>
  <c r="AY219" i="1"/>
  <c r="AZ219" i="1"/>
  <c r="BA219" i="1"/>
  <c r="BB219" i="1"/>
  <c r="BC219" i="1"/>
  <c r="BD219" i="1"/>
  <c r="BE219" i="1"/>
  <c r="BF219" i="1"/>
  <c r="BG219" i="1"/>
  <c r="BH219" i="1"/>
  <c r="J220" i="1"/>
  <c r="K220"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K220" i="1"/>
  <c r="AL220" i="1"/>
  <c r="AM220" i="1"/>
  <c r="AN220" i="1"/>
  <c r="AO220" i="1"/>
  <c r="AP220" i="1"/>
  <c r="AQ220" i="1"/>
  <c r="AR220" i="1"/>
  <c r="AS220" i="1"/>
  <c r="AT220" i="1"/>
  <c r="AU220" i="1"/>
  <c r="AV220" i="1"/>
  <c r="AW220" i="1"/>
  <c r="AX220" i="1"/>
  <c r="AY220" i="1"/>
  <c r="AZ220" i="1"/>
  <c r="BA220" i="1"/>
  <c r="BB220" i="1"/>
  <c r="BC220" i="1"/>
  <c r="BD220" i="1"/>
  <c r="BE220" i="1"/>
  <c r="BF220" i="1"/>
  <c r="BG220" i="1"/>
  <c r="BH220" i="1"/>
  <c r="J221" i="1"/>
  <c r="K221" i="1"/>
  <c r="L221" i="1"/>
  <c r="M221" i="1"/>
  <c r="N221" i="1"/>
  <c r="O221" i="1"/>
  <c r="P221" i="1"/>
  <c r="Q221" i="1"/>
  <c r="R221" i="1"/>
  <c r="S221" i="1"/>
  <c r="T221" i="1"/>
  <c r="U221" i="1"/>
  <c r="V221" i="1"/>
  <c r="W221" i="1"/>
  <c r="X221" i="1"/>
  <c r="Y221" i="1"/>
  <c r="Z221" i="1"/>
  <c r="AA221" i="1"/>
  <c r="AB221" i="1"/>
  <c r="AC221" i="1"/>
  <c r="AD221" i="1"/>
  <c r="AE221" i="1"/>
  <c r="AF221" i="1"/>
  <c r="AG221" i="1"/>
  <c r="AH221" i="1"/>
  <c r="AI221" i="1"/>
  <c r="AJ221" i="1"/>
  <c r="AK221" i="1"/>
  <c r="AL221" i="1"/>
  <c r="AM221" i="1"/>
  <c r="AN221" i="1"/>
  <c r="AO221" i="1"/>
  <c r="AP221" i="1"/>
  <c r="AQ221" i="1"/>
  <c r="AR221" i="1"/>
  <c r="AS221" i="1"/>
  <c r="AT221" i="1"/>
  <c r="AU221" i="1"/>
  <c r="AV221" i="1"/>
  <c r="AW221" i="1"/>
  <c r="AX221" i="1"/>
  <c r="AY221" i="1"/>
  <c r="AZ221" i="1"/>
  <c r="BA221" i="1"/>
  <c r="BB221" i="1"/>
  <c r="BC221" i="1"/>
  <c r="BD221" i="1"/>
  <c r="BE221" i="1"/>
  <c r="BF221" i="1"/>
  <c r="BG221" i="1"/>
  <c r="BH221" i="1"/>
  <c r="J222" i="1"/>
  <c r="K222"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K222" i="1"/>
  <c r="AL222" i="1"/>
  <c r="AM222" i="1"/>
  <c r="AN222" i="1"/>
  <c r="AO222" i="1"/>
  <c r="AP222" i="1"/>
  <c r="AQ222" i="1"/>
  <c r="AR222" i="1"/>
  <c r="AS222" i="1"/>
  <c r="AT222" i="1"/>
  <c r="AU222" i="1"/>
  <c r="AV222" i="1"/>
  <c r="AW222" i="1"/>
  <c r="AX222" i="1"/>
  <c r="AY222" i="1"/>
  <c r="AZ222" i="1"/>
  <c r="BA222" i="1"/>
  <c r="BB222" i="1"/>
  <c r="BC222" i="1"/>
  <c r="BD222" i="1"/>
  <c r="BE222" i="1"/>
  <c r="BF222" i="1"/>
  <c r="BG222" i="1"/>
  <c r="BH222" i="1"/>
  <c r="J223" i="1"/>
  <c r="K223"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K223" i="1"/>
  <c r="AL223" i="1"/>
  <c r="AM223" i="1"/>
  <c r="AN223" i="1"/>
  <c r="AO223" i="1"/>
  <c r="AP223" i="1"/>
  <c r="AQ223" i="1"/>
  <c r="AR223" i="1"/>
  <c r="AS223" i="1"/>
  <c r="AT223" i="1"/>
  <c r="AU223" i="1"/>
  <c r="AV223" i="1"/>
  <c r="AW223" i="1"/>
  <c r="AX223" i="1"/>
  <c r="AY223" i="1"/>
  <c r="AZ223" i="1"/>
  <c r="BA223" i="1"/>
  <c r="BB223" i="1"/>
  <c r="BC223" i="1"/>
  <c r="BD223" i="1"/>
  <c r="BE223" i="1"/>
  <c r="BF223" i="1"/>
  <c r="BG223" i="1"/>
  <c r="BH223" i="1"/>
  <c r="J224" i="1"/>
  <c r="K224"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K224" i="1"/>
  <c r="AL224" i="1"/>
  <c r="AM224" i="1"/>
  <c r="AN224" i="1"/>
  <c r="AO224" i="1"/>
  <c r="AP224" i="1"/>
  <c r="AQ224" i="1"/>
  <c r="AR224" i="1"/>
  <c r="AS224" i="1"/>
  <c r="AT224" i="1"/>
  <c r="AU224" i="1"/>
  <c r="AV224" i="1"/>
  <c r="AW224" i="1"/>
  <c r="AX224" i="1"/>
  <c r="AY224" i="1"/>
  <c r="AZ224" i="1"/>
  <c r="BA224" i="1"/>
  <c r="BB224" i="1"/>
  <c r="BC224" i="1"/>
  <c r="BD224" i="1"/>
  <c r="BE224" i="1"/>
  <c r="BF224" i="1"/>
  <c r="BG224" i="1"/>
  <c r="BH224" i="1"/>
  <c r="J225" i="1"/>
  <c r="K225"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K225" i="1"/>
  <c r="AL225" i="1"/>
  <c r="AM225" i="1"/>
  <c r="AN225" i="1"/>
  <c r="AO225" i="1"/>
  <c r="AP225" i="1"/>
  <c r="AQ225" i="1"/>
  <c r="AR225" i="1"/>
  <c r="AS225" i="1"/>
  <c r="AT225" i="1"/>
  <c r="AU225" i="1"/>
  <c r="AV225" i="1"/>
  <c r="AW225" i="1"/>
  <c r="AX225" i="1"/>
  <c r="AY225" i="1"/>
  <c r="AZ225" i="1"/>
  <c r="BA225" i="1"/>
  <c r="BB225" i="1"/>
  <c r="BC225" i="1"/>
  <c r="BD225" i="1"/>
  <c r="BE225" i="1"/>
  <c r="BF225" i="1"/>
  <c r="BG225" i="1"/>
  <c r="BH225" i="1"/>
  <c r="J226" i="1"/>
  <c r="K226"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K226" i="1"/>
  <c r="AL226" i="1"/>
  <c r="AM226" i="1"/>
  <c r="AN226" i="1"/>
  <c r="AO226" i="1"/>
  <c r="AP226" i="1"/>
  <c r="AQ226" i="1"/>
  <c r="AR226" i="1"/>
  <c r="AS226" i="1"/>
  <c r="AT226" i="1"/>
  <c r="AU226" i="1"/>
  <c r="AV226" i="1"/>
  <c r="AW226" i="1"/>
  <c r="AX226" i="1"/>
  <c r="AY226" i="1"/>
  <c r="AZ226" i="1"/>
  <c r="BA226" i="1"/>
  <c r="BB226" i="1"/>
  <c r="BC226" i="1"/>
  <c r="BD226" i="1"/>
  <c r="BE226" i="1"/>
  <c r="BF226" i="1"/>
  <c r="BG226" i="1"/>
  <c r="BH226" i="1"/>
  <c r="J227" i="1"/>
  <c r="K227"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K227" i="1"/>
  <c r="AL227" i="1"/>
  <c r="AM227" i="1"/>
  <c r="AN227" i="1"/>
  <c r="AO227" i="1"/>
  <c r="AP227" i="1"/>
  <c r="AQ227" i="1"/>
  <c r="AR227" i="1"/>
  <c r="AS227" i="1"/>
  <c r="AT227" i="1"/>
  <c r="AU227" i="1"/>
  <c r="AV227" i="1"/>
  <c r="AW227" i="1"/>
  <c r="AX227" i="1"/>
  <c r="AY227" i="1"/>
  <c r="AZ227" i="1"/>
  <c r="BA227" i="1"/>
  <c r="BB227" i="1"/>
  <c r="BC227" i="1"/>
  <c r="BD227" i="1"/>
  <c r="BE227" i="1"/>
  <c r="BF227" i="1"/>
  <c r="BG227" i="1"/>
  <c r="BH227" i="1"/>
  <c r="J228" i="1"/>
  <c r="K228"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K228" i="1"/>
  <c r="AL228" i="1"/>
  <c r="AM228" i="1"/>
  <c r="AN228" i="1"/>
  <c r="AO228" i="1"/>
  <c r="AP228" i="1"/>
  <c r="AQ228" i="1"/>
  <c r="AR228" i="1"/>
  <c r="AS228" i="1"/>
  <c r="AT228" i="1"/>
  <c r="AU228" i="1"/>
  <c r="AV228" i="1"/>
  <c r="AW228" i="1"/>
  <c r="AX228" i="1"/>
  <c r="AY228" i="1"/>
  <c r="AZ228" i="1"/>
  <c r="BA228" i="1"/>
  <c r="BB228" i="1"/>
  <c r="BC228" i="1"/>
  <c r="BD228" i="1"/>
  <c r="BE228" i="1"/>
  <c r="BF228" i="1"/>
  <c r="BG228" i="1"/>
  <c r="BH228" i="1"/>
  <c r="J229" i="1"/>
  <c r="K229" i="1"/>
  <c r="L229" i="1"/>
  <c r="M229" i="1"/>
  <c r="N229" i="1"/>
  <c r="O229" i="1"/>
  <c r="P229" i="1"/>
  <c r="Q229" i="1"/>
  <c r="R229" i="1"/>
  <c r="S229" i="1"/>
  <c r="T229" i="1"/>
  <c r="U229" i="1"/>
  <c r="V229" i="1"/>
  <c r="W229" i="1"/>
  <c r="X229" i="1"/>
  <c r="Y229" i="1"/>
  <c r="Z229" i="1"/>
  <c r="AA229" i="1"/>
  <c r="AB229" i="1"/>
  <c r="AC229" i="1"/>
  <c r="AD229" i="1"/>
  <c r="AE229" i="1"/>
  <c r="AF229" i="1"/>
  <c r="AG229" i="1"/>
  <c r="AH229" i="1"/>
  <c r="AI229" i="1"/>
  <c r="AJ229" i="1"/>
  <c r="AK229" i="1"/>
  <c r="AL229" i="1"/>
  <c r="AM229" i="1"/>
  <c r="AN229" i="1"/>
  <c r="AO229" i="1"/>
  <c r="AP229" i="1"/>
  <c r="AQ229" i="1"/>
  <c r="AR229" i="1"/>
  <c r="AS229" i="1"/>
  <c r="AT229" i="1"/>
  <c r="AU229" i="1"/>
  <c r="AV229" i="1"/>
  <c r="AW229" i="1"/>
  <c r="AX229" i="1"/>
  <c r="AY229" i="1"/>
  <c r="AZ229" i="1"/>
  <c r="BA229" i="1"/>
  <c r="BB229" i="1"/>
  <c r="BC229" i="1"/>
  <c r="BD229" i="1"/>
  <c r="BE229" i="1"/>
  <c r="BF229" i="1"/>
  <c r="BG229" i="1"/>
  <c r="BH229" i="1"/>
  <c r="J230" i="1"/>
  <c r="K230"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K230" i="1"/>
  <c r="AL230" i="1"/>
  <c r="AM230" i="1"/>
  <c r="AN230" i="1"/>
  <c r="AO230" i="1"/>
  <c r="AP230" i="1"/>
  <c r="AQ230" i="1"/>
  <c r="AR230" i="1"/>
  <c r="AS230" i="1"/>
  <c r="AT230" i="1"/>
  <c r="AU230" i="1"/>
  <c r="AV230" i="1"/>
  <c r="AW230" i="1"/>
  <c r="AX230" i="1"/>
  <c r="AY230" i="1"/>
  <c r="AZ230" i="1"/>
  <c r="BA230" i="1"/>
  <c r="BB230" i="1"/>
  <c r="BC230" i="1"/>
  <c r="BD230" i="1"/>
  <c r="BE230" i="1"/>
  <c r="BF230" i="1"/>
  <c r="BG230" i="1"/>
  <c r="BH230" i="1"/>
  <c r="J231" i="1"/>
  <c r="K231"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K231" i="1"/>
  <c r="AL231" i="1"/>
  <c r="AM231" i="1"/>
  <c r="AN231" i="1"/>
  <c r="AO231" i="1"/>
  <c r="AP231" i="1"/>
  <c r="AQ231" i="1"/>
  <c r="AR231" i="1"/>
  <c r="AS231" i="1"/>
  <c r="AT231" i="1"/>
  <c r="AU231" i="1"/>
  <c r="AV231" i="1"/>
  <c r="AW231" i="1"/>
  <c r="AX231" i="1"/>
  <c r="AY231" i="1"/>
  <c r="AZ231" i="1"/>
  <c r="BA231" i="1"/>
  <c r="BB231" i="1"/>
  <c r="BC231" i="1"/>
  <c r="BD231" i="1"/>
  <c r="BE231" i="1"/>
  <c r="BF231" i="1"/>
  <c r="BG231" i="1"/>
  <c r="BH231" i="1"/>
  <c r="J232" i="1"/>
  <c r="K232" i="1"/>
  <c r="L232" i="1"/>
  <c r="M232" i="1"/>
  <c r="N232" i="1"/>
  <c r="O232" i="1"/>
  <c r="P232" i="1"/>
  <c r="Q232" i="1"/>
  <c r="R232" i="1"/>
  <c r="S232" i="1"/>
  <c r="T232" i="1"/>
  <c r="U232" i="1"/>
  <c r="V232" i="1"/>
  <c r="W232" i="1"/>
  <c r="X232" i="1"/>
  <c r="Y232" i="1"/>
  <c r="Z232" i="1"/>
  <c r="AA232" i="1"/>
  <c r="AB232" i="1"/>
  <c r="AC232" i="1"/>
  <c r="AD232" i="1"/>
  <c r="AE232" i="1"/>
  <c r="AF232" i="1"/>
  <c r="AG232" i="1"/>
  <c r="AH232" i="1"/>
  <c r="AI232" i="1"/>
  <c r="AJ232" i="1"/>
  <c r="AK232" i="1"/>
  <c r="AL232" i="1"/>
  <c r="AM232" i="1"/>
  <c r="AN232" i="1"/>
  <c r="AO232" i="1"/>
  <c r="AP232" i="1"/>
  <c r="AQ232" i="1"/>
  <c r="AR232" i="1"/>
  <c r="AS232" i="1"/>
  <c r="AT232" i="1"/>
  <c r="AU232" i="1"/>
  <c r="AV232" i="1"/>
  <c r="AW232" i="1"/>
  <c r="AX232" i="1"/>
  <c r="AY232" i="1"/>
  <c r="AZ232" i="1"/>
  <c r="BA232" i="1"/>
  <c r="BB232" i="1"/>
  <c r="BC232" i="1"/>
  <c r="BD232" i="1"/>
  <c r="BE232" i="1"/>
  <c r="BF232" i="1"/>
  <c r="BG232" i="1"/>
  <c r="BH232" i="1"/>
  <c r="J233" i="1"/>
  <c r="K233" i="1"/>
  <c r="L233" i="1"/>
  <c r="M233" i="1"/>
  <c r="N233" i="1"/>
  <c r="O233" i="1"/>
  <c r="P233" i="1"/>
  <c r="Q233" i="1"/>
  <c r="R233" i="1"/>
  <c r="S233" i="1"/>
  <c r="T233" i="1"/>
  <c r="U233" i="1"/>
  <c r="V233" i="1"/>
  <c r="W233" i="1"/>
  <c r="X233" i="1"/>
  <c r="Y233" i="1"/>
  <c r="Z233" i="1"/>
  <c r="AA233" i="1"/>
  <c r="AB233" i="1"/>
  <c r="AC233" i="1"/>
  <c r="AD233" i="1"/>
  <c r="AE233" i="1"/>
  <c r="AF233" i="1"/>
  <c r="AG233" i="1"/>
  <c r="AH233" i="1"/>
  <c r="AI233" i="1"/>
  <c r="AJ233" i="1"/>
  <c r="AK233" i="1"/>
  <c r="AL233" i="1"/>
  <c r="AM233" i="1"/>
  <c r="AN233" i="1"/>
  <c r="AO233" i="1"/>
  <c r="AP233" i="1"/>
  <c r="AQ233" i="1"/>
  <c r="AR233" i="1"/>
  <c r="AS233" i="1"/>
  <c r="AT233" i="1"/>
  <c r="AU233" i="1"/>
  <c r="AV233" i="1"/>
  <c r="AW233" i="1"/>
  <c r="AX233" i="1"/>
  <c r="AY233" i="1"/>
  <c r="AZ233" i="1"/>
  <c r="BA233" i="1"/>
  <c r="BB233" i="1"/>
  <c r="BC233" i="1"/>
  <c r="BD233" i="1"/>
  <c r="BE233" i="1"/>
  <c r="BF233" i="1"/>
  <c r="BG233" i="1"/>
  <c r="BH233" i="1"/>
  <c r="J234" i="1"/>
  <c r="K234" i="1"/>
  <c r="L234" i="1"/>
  <c r="M234" i="1"/>
  <c r="N234" i="1"/>
  <c r="O234" i="1"/>
  <c r="P234" i="1"/>
  <c r="Q234" i="1"/>
  <c r="R234" i="1"/>
  <c r="S234" i="1"/>
  <c r="T234" i="1"/>
  <c r="U234" i="1"/>
  <c r="V234" i="1"/>
  <c r="W234" i="1"/>
  <c r="X234" i="1"/>
  <c r="Y234" i="1"/>
  <c r="Z234" i="1"/>
  <c r="AA234" i="1"/>
  <c r="AB234" i="1"/>
  <c r="AC234" i="1"/>
  <c r="AD234" i="1"/>
  <c r="AE234" i="1"/>
  <c r="AF234" i="1"/>
  <c r="AG234" i="1"/>
  <c r="AH234" i="1"/>
  <c r="AI234" i="1"/>
  <c r="AJ234" i="1"/>
  <c r="AK234" i="1"/>
  <c r="AL234" i="1"/>
  <c r="AM234" i="1"/>
  <c r="AN234" i="1"/>
  <c r="AO234" i="1"/>
  <c r="AP234" i="1"/>
  <c r="AQ234" i="1"/>
  <c r="AR234" i="1"/>
  <c r="AS234" i="1"/>
  <c r="AT234" i="1"/>
  <c r="AU234" i="1"/>
  <c r="AV234" i="1"/>
  <c r="AW234" i="1"/>
  <c r="AX234" i="1"/>
  <c r="AY234" i="1"/>
  <c r="AZ234" i="1"/>
  <c r="BA234" i="1"/>
  <c r="BB234" i="1"/>
  <c r="BC234" i="1"/>
  <c r="BD234" i="1"/>
  <c r="BE234" i="1"/>
  <c r="BF234" i="1"/>
  <c r="BG234" i="1"/>
  <c r="BH234" i="1"/>
  <c r="J235" i="1"/>
  <c r="K235" i="1"/>
  <c r="L235" i="1"/>
  <c r="M235" i="1"/>
  <c r="N235" i="1"/>
  <c r="O235" i="1"/>
  <c r="P235" i="1"/>
  <c r="Q235" i="1"/>
  <c r="R235" i="1"/>
  <c r="S235" i="1"/>
  <c r="T235" i="1"/>
  <c r="U235" i="1"/>
  <c r="V235" i="1"/>
  <c r="W235" i="1"/>
  <c r="X235" i="1"/>
  <c r="Y235" i="1"/>
  <c r="Z235" i="1"/>
  <c r="AA235" i="1"/>
  <c r="AB235" i="1"/>
  <c r="AC235" i="1"/>
  <c r="AD235" i="1"/>
  <c r="AE235" i="1"/>
  <c r="AF235" i="1"/>
  <c r="AG235" i="1"/>
  <c r="AH235" i="1"/>
  <c r="AI235" i="1"/>
  <c r="AJ235" i="1"/>
  <c r="AK235" i="1"/>
  <c r="AL235" i="1"/>
  <c r="AM235" i="1"/>
  <c r="AN235" i="1"/>
  <c r="AO235" i="1"/>
  <c r="AP235" i="1"/>
  <c r="AQ235" i="1"/>
  <c r="AR235" i="1"/>
  <c r="AS235" i="1"/>
  <c r="AT235" i="1"/>
  <c r="AU235" i="1"/>
  <c r="AV235" i="1"/>
  <c r="AW235" i="1"/>
  <c r="AX235" i="1"/>
  <c r="AY235" i="1"/>
  <c r="AZ235" i="1"/>
  <c r="BA235" i="1"/>
  <c r="BB235" i="1"/>
  <c r="BC235" i="1"/>
  <c r="BD235" i="1"/>
  <c r="BE235" i="1"/>
  <c r="BF235" i="1"/>
  <c r="BG235" i="1"/>
  <c r="BH235" i="1"/>
  <c r="J236" i="1"/>
  <c r="K236" i="1"/>
  <c r="L236" i="1"/>
  <c r="M236" i="1"/>
  <c r="N236" i="1"/>
  <c r="O236" i="1"/>
  <c r="P236" i="1"/>
  <c r="Q236" i="1"/>
  <c r="R236" i="1"/>
  <c r="S236" i="1"/>
  <c r="T236" i="1"/>
  <c r="U236" i="1"/>
  <c r="V236" i="1"/>
  <c r="W236" i="1"/>
  <c r="X236" i="1"/>
  <c r="Y236" i="1"/>
  <c r="Z236" i="1"/>
  <c r="AA236" i="1"/>
  <c r="AB236" i="1"/>
  <c r="AC236" i="1"/>
  <c r="AD236" i="1"/>
  <c r="AE236" i="1"/>
  <c r="AF236" i="1"/>
  <c r="AG236" i="1"/>
  <c r="AH236" i="1"/>
  <c r="AI236" i="1"/>
  <c r="AJ236" i="1"/>
  <c r="AK236" i="1"/>
  <c r="AL236" i="1"/>
  <c r="AM236" i="1"/>
  <c r="AN236" i="1"/>
  <c r="AO236" i="1"/>
  <c r="AP236" i="1"/>
  <c r="AQ236" i="1"/>
  <c r="AR236" i="1"/>
  <c r="AS236" i="1"/>
  <c r="AT236" i="1"/>
  <c r="AU236" i="1"/>
  <c r="AV236" i="1"/>
  <c r="AW236" i="1"/>
  <c r="AX236" i="1"/>
  <c r="AY236" i="1"/>
  <c r="AZ236" i="1"/>
  <c r="BA236" i="1"/>
  <c r="BB236" i="1"/>
  <c r="BC236" i="1"/>
  <c r="BD236" i="1"/>
  <c r="BE236" i="1"/>
  <c r="BF236" i="1"/>
  <c r="BG236" i="1"/>
  <c r="BH236" i="1"/>
  <c r="J237" i="1"/>
  <c r="K237"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K237" i="1"/>
  <c r="AL237" i="1"/>
  <c r="AM237" i="1"/>
  <c r="AN237" i="1"/>
  <c r="AO237" i="1"/>
  <c r="AP237" i="1"/>
  <c r="AQ237" i="1"/>
  <c r="AR237" i="1"/>
  <c r="AS237" i="1"/>
  <c r="AT237" i="1"/>
  <c r="AU237" i="1"/>
  <c r="AV237" i="1"/>
  <c r="AW237" i="1"/>
  <c r="AX237" i="1"/>
  <c r="AY237" i="1"/>
  <c r="AZ237" i="1"/>
  <c r="BA237" i="1"/>
  <c r="BB237" i="1"/>
  <c r="BC237" i="1"/>
  <c r="BD237" i="1"/>
  <c r="BE237" i="1"/>
  <c r="BF237" i="1"/>
  <c r="BG237" i="1"/>
  <c r="BH237" i="1"/>
  <c r="J238" i="1"/>
  <c r="K238"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K238" i="1"/>
  <c r="AL238" i="1"/>
  <c r="AM238" i="1"/>
  <c r="AN238" i="1"/>
  <c r="AO238" i="1"/>
  <c r="AP238" i="1"/>
  <c r="AQ238" i="1"/>
  <c r="AR238" i="1"/>
  <c r="AS238" i="1"/>
  <c r="AT238" i="1"/>
  <c r="AU238" i="1"/>
  <c r="AV238" i="1"/>
  <c r="AW238" i="1"/>
  <c r="AX238" i="1"/>
  <c r="AY238" i="1"/>
  <c r="AZ238" i="1"/>
  <c r="BA238" i="1"/>
  <c r="BB238" i="1"/>
  <c r="BC238" i="1"/>
  <c r="BD238" i="1"/>
  <c r="BE238" i="1"/>
  <c r="BF238" i="1"/>
  <c r="BG238" i="1"/>
  <c r="BH238" i="1"/>
  <c r="J239" i="1"/>
  <c r="K239" i="1"/>
  <c r="L239" i="1"/>
  <c r="M239" i="1"/>
  <c r="N239" i="1"/>
  <c r="O239" i="1"/>
  <c r="P239" i="1"/>
  <c r="Q239" i="1"/>
  <c r="R239" i="1"/>
  <c r="S239" i="1"/>
  <c r="T239" i="1"/>
  <c r="U239" i="1"/>
  <c r="V239" i="1"/>
  <c r="W239" i="1"/>
  <c r="X239" i="1"/>
  <c r="Y239" i="1"/>
  <c r="Z239" i="1"/>
  <c r="AA239" i="1"/>
  <c r="AB239" i="1"/>
  <c r="AC239" i="1"/>
  <c r="AD239" i="1"/>
  <c r="AE239" i="1"/>
  <c r="AF239" i="1"/>
  <c r="AG239" i="1"/>
  <c r="AH239" i="1"/>
  <c r="AI239" i="1"/>
  <c r="AJ239" i="1"/>
  <c r="AK239" i="1"/>
  <c r="AL239" i="1"/>
  <c r="AM239" i="1"/>
  <c r="AN239" i="1"/>
  <c r="AO239" i="1"/>
  <c r="AP239" i="1"/>
  <c r="AQ239" i="1"/>
  <c r="AR239" i="1"/>
  <c r="AS239" i="1"/>
  <c r="AT239" i="1"/>
  <c r="AU239" i="1"/>
  <c r="AV239" i="1"/>
  <c r="AW239" i="1"/>
  <c r="AX239" i="1"/>
  <c r="AY239" i="1"/>
  <c r="AZ239" i="1"/>
  <c r="BA239" i="1"/>
  <c r="BB239" i="1"/>
  <c r="BC239" i="1"/>
  <c r="BD239" i="1"/>
  <c r="BE239" i="1"/>
  <c r="BF239" i="1"/>
  <c r="BG239" i="1"/>
  <c r="BH239" i="1"/>
  <c r="J240" i="1"/>
  <c r="K240" i="1"/>
  <c r="L240" i="1"/>
  <c r="M240" i="1"/>
  <c r="N240" i="1"/>
  <c r="O240" i="1"/>
  <c r="P240" i="1"/>
  <c r="Q240" i="1"/>
  <c r="R240" i="1"/>
  <c r="S240" i="1"/>
  <c r="T240" i="1"/>
  <c r="U240" i="1"/>
  <c r="V240" i="1"/>
  <c r="W240" i="1"/>
  <c r="X240" i="1"/>
  <c r="Y240" i="1"/>
  <c r="Z240" i="1"/>
  <c r="AA240" i="1"/>
  <c r="AB240" i="1"/>
  <c r="AC240" i="1"/>
  <c r="AD240" i="1"/>
  <c r="AE240" i="1"/>
  <c r="AF240" i="1"/>
  <c r="AG240" i="1"/>
  <c r="AH240" i="1"/>
  <c r="AI240" i="1"/>
  <c r="AJ240" i="1"/>
  <c r="AK240" i="1"/>
  <c r="AL240" i="1"/>
  <c r="AM240" i="1"/>
  <c r="AN240" i="1"/>
  <c r="AO240" i="1"/>
  <c r="AP240" i="1"/>
  <c r="AQ240" i="1"/>
  <c r="AR240" i="1"/>
  <c r="AS240" i="1"/>
  <c r="AT240" i="1"/>
  <c r="AU240" i="1"/>
  <c r="AV240" i="1"/>
  <c r="AW240" i="1"/>
  <c r="AX240" i="1"/>
  <c r="AY240" i="1"/>
  <c r="AZ240" i="1"/>
  <c r="BA240" i="1"/>
  <c r="BB240" i="1"/>
  <c r="BC240" i="1"/>
  <c r="BD240" i="1"/>
  <c r="BE240" i="1"/>
  <c r="BF240" i="1"/>
  <c r="BG240" i="1"/>
  <c r="BH240" i="1"/>
  <c r="J241" i="1"/>
  <c r="K241" i="1"/>
  <c r="L241" i="1"/>
  <c r="M241" i="1"/>
  <c r="N241" i="1"/>
  <c r="O241" i="1"/>
  <c r="P241" i="1"/>
  <c r="Q241" i="1"/>
  <c r="R241" i="1"/>
  <c r="S241" i="1"/>
  <c r="T241" i="1"/>
  <c r="U241" i="1"/>
  <c r="V241" i="1"/>
  <c r="W241" i="1"/>
  <c r="X241" i="1"/>
  <c r="Y241" i="1"/>
  <c r="Z241" i="1"/>
  <c r="AA241" i="1"/>
  <c r="AB241" i="1"/>
  <c r="AC241" i="1"/>
  <c r="AD241" i="1"/>
  <c r="AE241" i="1"/>
  <c r="AF241" i="1"/>
  <c r="AG241" i="1"/>
  <c r="AH241" i="1"/>
  <c r="AI241" i="1"/>
  <c r="AJ241" i="1"/>
  <c r="AK241" i="1"/>
  <c r="AL241" i="1"/>
  <c r="AM241" i="1"/>
  <c r="AN241" i="1"/>
  <c r="AO241" i="1"/>
  <c r="AP241" i="1"/>
  <c r="AQ241" i="1"/>
  <c r="AR241" i="1"/>
  <c r="AS241" i="1"/>
  <c r="AT241" i="1"/>
  <c r="AU241" i="1"/>
  <c r="AV241" i="1"/>
  <c r="AW241" i="1"/>
  <c r="AX241" i="1"/>
  <c r="AY241" i="1"/>
  <c r="AZ241" i="1"/>
  <c r="BA241" i="1"/>
  <c r="BB241" i="1"/>
  <c r="BC241" i="1"/>
  <c r="BD241" i="1"/>
  <c r="BE241" i="1"/>
  <c r="BF241" i="1"/>
  <c r="BG241" i="1"/>
  <c r="BH241" i="1"/>
  <c r="J242" i="1"/>
  <c r="K242"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K242" i="1"/>
  <c r="AL242" i="1"/>
  <c r="AM242" i="1"/>
  <c r="AN242" i="1"/>
  <c r="AO242" i="1"/>
  <c r="AP242" i="1"/>
  <c r="AQ242" i="1"/>
  <c r="AR242" i="1"/>
  <c r="AS242" i="1"/>
  <c r="AT242" i="1"/>
  <c r="AU242" i="1"/>
  <c r="AV242" i="1"/>
  <c r="AW242" i="1"/>
  <c r="AX242" i="1"/>
  <c r="AY242" i="1"/>
  <c r="AZ242" i="1"/>
  <c r="BA242" i="1"/>
  <c r="BB242" i="1"/>
  <c r="BC242" i="1"/>
  <c r="BD242" i="1"/>
  <c r="BE242" i="1"/>
  <c r="BF242" i="1"/>
  <c r="BG242" i="1"/>
  <c r="BH242" i="1"/>
  <c r="J243" i="1"/>
  <c r="K243"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K243" i="1"/>
  <c r="AL243" i="1"/>
  <c r="AM243" i="1"/>
  <c r="AN243" i="1"/>
  <c r="AO243" i="1"/>
  <c r="AP243" i="1"/>
  <c r="AQ243" i="1"/>
  <c r="AR243" i="1"/>
  <c r="AS243" i="1"/>
  <c r="AT243" i="1"/>
  <c r="AU243" i="1"/>
  <c r="AV243" i="1"/>
  <c r="AW243" i="1"/>
  <c r="AX243" i="1"/>
  <c r="AY243" i="1"/>
  <c r="AZ243" i="1"/>
  <c r="BA243" i="1"/>
  <c r="BB243" i="1"/>
  <c r="BC243" i="1"/>
  <c r="BD243" i="1"/>
  <c r="BE243" i="1"/>
  <c r="BF243" i="1"/>
  <c r="BG243" i="1"/>
  <c r="BH243" i="1"/>
  <c r="J244" i="1"/>
  <c r="K244" i="1"/>
  <c r="L244" i="1"/>
  <c r="M244" i="1"/>
  <c r="N244" i="1"/>
  <c r="O244" i="1"/>
  <c r="P244" i="1"/>
  <c r="Q244" i="1"/>
  <c r="R244" i="1"/>
  <c r="S244" i="1"/>
  <c r="T244" i="1"/>
  <c r="U244" i="1"/>
  <c r="V244" i="1"/>
  <c r="W244" i="1"/>
  <c r="X244" i="1"/>
  <c r="Y244" i="1"/>
  <c r="Z244" i="1"/>
  <c r="AA244" i="1"/>
  <c r="AB244" i="1"/>
  <c r="AC244" i="1"/>
  <c r="AD244" i="1"/>
  <c r="AE244" i="1"/>
  <c r="AF244" i="1"/>
  <c r="AG244" i="1"/>
  <c r="AH244" i="1"/>
  <c r="AI244" i="1"/>
  <c r="AJ244" i="1"/>
  <c r="AK244" i="1"/>
  <c r="AL244" i="1"/>
  <c r="AM244" i="1"/>
  <c r="AN244" i="1"/>
  <c r="AO244" i="1"/>
  <c r="AP244" i="1"/>
  <c r="AQ244" i="1"/>
  <c r="AR244" i="1"/>
  <c r="AS244" i="1"/>
  <c r="AT244" i="1"/>
  <c r="AU244" i="1"/>
  <c r="AV244" i="1"/>
  <c r="AW244" i="1"/>
  <c r="AX244" i="1"/>
  <c r="AY244" i="1"/>
  <c r="AZ244" i="1"/>
  <c r="BA244" i="1"/>
  <c r="BB244" i="1"/>
  <c r="BC244" i="1"/>
  <c r="BD244" i="1"/>
  <c r="BE244" i="1"/>
  <c r="BF244" i="1"/>
  <c r="BG244" i="1"/>
  <c r="BH244" i="1"/>
  <c r="J245" i="1"/>
  <c r="K245" i="1"/>
  <c r="L245" i="1"/>
  <c r="M245" i="1"/>
  <c r="N245" i="1"/>
  <c r="O245" i="1"/>
  <c r="P245" i="1"/>
  <c r="Q245" i="1"/>
  <c r="R245" i="1"/>
  <c r="S245" i="1"/>
  <c r="T245" i="1"/>
  <c r="U245" i="1"/>
  <c r="V245" i="1"/>
  <c r="W245" i="1"/>
  <c r="X245" i="1"/>
  <c r="Y245" i="1"/>
  <c r="Z245" i="1"/>
  <c r="AA245" i="1"/>
  <c r="AB245" i="1"/>
  <c r="AC245" i="1"/>
  <c r="AD245" i="1"/>
  <c r="AE245" i="1"/>
  <c r="AF245" i="1"/>
  <c r="AG245" i="1"/>
  <c r="AH245" i="1"/>
  <c r="AI245" i="1"/>
  <c r="AJ245" i="1"/>
  <c r="AK245" i="1"/>
  <c r="AL245" i="1"/>
  <c r="AM245" i="1"/>
  <c r="AN245" i="1"/>
  <c r="AO245" i="1"/>
  <c r="AP245" i="1"/>
  <c r="AQ245" i="1"/>
  <c r="AR245" i="1"/>
  <c r="AS245" i="1"/>
  <c r="AT245" i="1"/>
  <c r="AU245" i="1"/>
  <c r="AV245" i="1"/>
  <c r="AW245" i="1"/>
  <c r="AX245" i="1"/>
  <c r="AY245" i="1"/>
  <c r="AZ245" i="1"/>
  <c r="BA245" i="1"/>
  <c r="BB245" i="1"/>
  <c r="BC245" i="1"/>
  <c r="BD245" i="1"/>
  <c r="BE245" i="1"/>
  <c r="BF245" i="1"/>
  <c r="BG245" i="1"/>
  <c r="BH245" i="1"/>
  <c r="J246" i="1"/>
  <c r="K246" i="1"/>
  <c r="L246" i="1"/>
  <c r="M246" i="1"/>
  <c r="N246" i="1"/>
  <c r="O246" i="1"/>
  <c r="P246" i="1"/>
  <c r="Q246" i="1"/>
  <c r="R246" i="1"/>
  <c r="S246" i="1"/>
  <c r="T246" i="1"/>
  <c r="U246" i="1"/>
  <c r="V246" i="1"/>
  <c r="W246" i="1"/>
  <c r="X246" i="1"/>
  <c r="Y246" i="1"/>
  <c r="Z246" i="1"/>
  <c r="AA246" i="1"/>
  <c r="AB246" i="1"/>
  <c r="AC246" i="1"/>
  <c r="AD246" i="1"/>
  <c r="AE246" i="1"/>
  <c r="AF246" i="1"/>
  <c r="AG246" i="1"/>
  <c r="AH246" i="1"/>
  <c r="AI246" i="1"/>
  <c r="AJ246" i="1"/>
  <c r="AK246" i="1"/>
  <c r="AL246" i="1"/>
  <c r="AM246" i="1"/>
  <c r="AN246" i="1"/>
  <c r="AO246" i="1"/>
  <c r="AP246" i="1"/>
  <c r="AQ246" i="1"/>
  <c r="AR246" i="1"/>
  <c r="AS246" i="1"/>
  <c r="AT246" i="1"/>
  <c r="AU246" i="1"/>
  <c r="AV246" i="1"/>
  <c r="AW246" i="1"/>
  <c r="AX246" i="1"/>
  <c r="AY246" i="1"/>
  <c r="AZ246" i="1"/>
  <c r="BA246" i="1"/>
  <c r="BB246" i="1"/>
  <c r="BC246" i="1"/>
  <c r="BD246" i="1"/>
  <c r="BE246" i="1"/>
  <c r="BF246" i="1"/>
  <c r="BG246" i="1"/>
  <c r="BH246" i="1"/>
  <c r="J247" i="1"/>
  <c r="K247"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K247" i="1"/>
  <c r="AL247" i="1"/>
  <c r="AM247" i="1"/>
  <c r="AN247" i="1"/>
  <c r="AO247" i="1"/>
  <c r="AP247" i="1"/>
  <c r="AQ247" i="1"/>
  <c r="AR247" i="1"/>
  <c r="AS247" i="1"/>
  <c r="AT247" i="1"/>
  <c r="AU247" i="1"/>
  <c r="AV247" i="1"/>
  <c r="AW247" i="1"/>
  <c r="AX247" i="1"/>
  <c r="AY247" i="1"/>
  <c r="AZ247" i="1"/>
  <c r="BA247" i="1"/>
  <c r="BB247" i="1"/>
  <c r="BC247" i="1"/>
  <c r="BD247" i="1"/>
  <c r="BE247" i="1"/>
  <c r="BF247" i="1"/>
  <c r="BG247" i="1"/>
  <c r="BH247" i="1"/>
  <c r="J248" i="1"/>
  <c r="K248" i="1"/>
  <c r="L248" i="1"/>
  <c r="M248" i="1"/>
  <c r="N248" i="1"/>
  <c r="O248" i="1"/>
  <c r="P248" i="1"/>
  <c r="Q248" i="1"/>
  <c r="R248" i="1"/>
  <c r="S248" i="1"/>
  <c r="T248" i="1"/>
  <c r="U248" i="1"/>
  <c r="V248" i="1"/>
  <c r="W248" i="1"/>
  <c r="X248" i="1"/>
  <c r="Y248" i="1"/>
  <c r="Z248" i="1"/>
  <c r="AA248" i="1"/>
  <c r="AB248" i="1"/>
  <c r="AC248" i="1"/>
  <c r="AD248" i="1"/>
  <c r="AE248" i="1"/>
  <c r="AF248" i="1"/>
  <c r="AG248" i="1"/>
  <c r="AH248" i="1"/>
  <c r="AI248" i="1"/>
  <c r="AJ248" i="1"/>
  <c r="AK248" i="1"/>
  <c r="AL248" i="1"/>
  <c r="AM248" i="1"/>
  <c r="AN248" i="1"/>
  <c r="AO248" i="1"/>
  <c r="AP248" i="1"/>
  <c r="AQ248" i="1"/>
  <c r="AR248" i="1"/>
  <c r="AS248" i="1"/>
  <c r="AT248" i="1"/>
  <c r="AU248" i="1"/>
  <c r="AV248" i="1"/>
  <c r="AW248" i="1"/>
  <c r="AX248" i="1"/>
  <c r="AY248" i="1"/>
  <c r="AZ248" i="1"/>
  <c r="BA248" i="1"/>
  <c r="BB248" i="1"/>
  <c r="BC248" i="1"/>
  <c r="BD248" i="1"/>
  <c r="BE248" i="1"/>
  <c r="BF248" i="1"/>
  <c r="BG248" i="1"/>
  <c r="BH248" i="1"/>
  <c r="J249" i="1"/>
  <c r="K249" i="1"/>
  <c r="L249" i="1"/>
  <c r="M249" i="1"/>
  <c r="N249" i="1"/>
  <c r="O249" i="1"/>
  <c r="P249" i="1"/>
  <c r="Q249" i="1"/>
  <c r="R249" i="1"/>
  <c r="S249" i="1"/>
  <c r="T249" i="1"/>
  <c r="U249" i="1"/>
  <c r="V249" i="1"/>
  <c r="W249" i="1"/>
  <c r="X249" i="1"/>
  <c r="Y249" i="1"/>
  <c r="Z249" i="1"/>
  <c r="AA249" i="1"/>
  <c r="AB249" i="1"/>
  <c r="AC249" i="1"/>
  <c r="AD249" i="1"/>
  <c r="AE249" i="1"/>
  <c r="AF249" i="1"/>
  <c r="AG249" i="1"/>
  <c r="AH249" i="1"/>
  <c r="AI249" i="1"/>
  <c r="AJ249" i="1"/>
  <c r="AK249" i="1"/>
  <c r="AL249" i="1"/>
  <c r="AM249" i="1"/>
  <c r="AN249" i="1"/>
  <c r="AO249" i="1"/>
  <c r="AP249" i="1"/>
  <c r="AQ249" i="1"/>
  <c r="AR249" i="1"/>
  <c r="AS249" i="1"/>
  <c r="AT249" i="1"/>
  <c r="AU249" i="1"/>
  <c r="AV249" i="1"/>
  <c r="AW249" i="1"/>
  <c r="AX249" i="1"/>
  <c r="AY249" i="1"/>
  <c r="AZ249" i="1"/>
  <c r="BA249" i="1"/>
  <c r="BB249" i="1"/>
  <c r="BC249" i="1"/>
  <c r="BD249" i="1"/>
  <c r="BE249" i="1"/>
  <c r="BF249" i="1"/>
  <c r="BG249" i="1"/>
  <c r="BH249" i="1"/>
  <c r="J250" i="1"/>
  <c r="K250" i="1"/>
  <c r="L250" i="1"/>
  <c r="M250" i="1"/>
  <c r="N250" i="1"/>
  <c r="O250" i="1"/>
  <c r="P250" i="1"/>
  <c r="Q250" i="1"/>
  <c r="R250" i="1"/>
  <c r="S250" i="1"/>
  <c r="T250" i="1"/>
  <c r="U250" i="1"/>
  <c r="V250" i="1"/>
  <c r="W250" i="1"/>
  <c r="X250" i="1"/>
  <c r="Y250" i="1"/>
  <c r="Z250" i="1"/>
  <c r="AA250" i="1"/>
  <c r="AB250" i="1"/>
  <c r="AC250" i="1"/>
  <c r="AD250" i="1"/>
  <c r="AE250" i="1"/>
  <c r="AF250" i="1"/>
  <c r="AG250" i="1"/>
  <c r="AH250" i="1"/>
  <c r="AI250" i="1"/>
  <c r="AJ250" i="1"/>
  <c r="AK250" i="1"/>
  <c r="AL250" i="1"/>
  <c r="AM250" i="1"/>
  <c r="AN250" i="1"/>
  <c r="AO250" i="1"/>
  <c r="AP250" i="1"/>
  <c r="AQ250" i="1"/>
  <c r="AR250" i="1"/>
  <c r="AS250" i="1"/>
  <c r="AT250" i="1"/>
  <c r="AU250" i="1"/>
  <c r="AV250" i="1"/>
  <c r="AW250" i="1"/>
  <c r="AX250" i="1"/>
  <c r="AY250" i="1"/>
  <c r="AZ250" i="1"/>
  <c r="BA250" i="1"/>
  <c r="BB250" i="1"/>
  <c r="BC250" i="1"/>
  <c r="BD250" i="1"/>
  <c r="BE250" i="1"/>
  <c r="BF250" i="1"/>
  <c r="BG250" i="1"/>
  <c r="BH250" i="1"/>
  <c r="J251" i="1"/>
  <c r="K251"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K251" i="1"/>
  <c r="AL251" i="1"/>
  <c r="AM251" i="1"/>
  <c r="AN251" i="1"/>
  <c r="AO251" i="1"/>
  <c r="AP251" i="1"/>
  <c r="AQ251" i="1"/>
  <c r="AR251" i="1"/>
  <c r="AS251" i="1"/>
  <c r="AT251" i="1"/>
  <c r="AU251" i="1"/>
  <c r="AV251" i="1"/>
  <c r="AW251" i="1"/>
  <c r="AX251" i="1"/>
  <c r="AY251" i="1"/>
  <c r="AZ251" i="1"/>
  <c r="BA251" i="1"/>
  <c r="BB251" i="1"/>
  <c r="BC251" i="1"/>
  <c r="BD251" i="1"/>
  <c r="BE251" i="1"/>
  <c r="BF251" i="1"/>
  <c r="BG251" i="1"/>
  <c r="BH251" i="1"/>
  <c r="J252" i="1"/>
  <c r="K252" i="1"/>
  <c r="L252" i="1"/>
  <c r="M252" i="1"/>
  <c r="N252" i="1"/>
  <c r="O252" i="1"/>
  <c r="P252" i="1"/>
  <c r="Q252" i="1"/>
  <c r="R252" i="1"/>
  <c r="S252" i="1"/>
  <c r="T252" i="1"/>
  <c r="U252" i="1"/>
  <c r="V252" i="1"/>
  <c r="W252" i="1"/>
  <c r="X252" i="1"/>
  <c r="Y252" i="1"/>
  <c r="Z252" i="1"/>
  <c r="AA252" i="1"/>
  <c r="AB252" i="1"/>
  <c r="AC252" i="1"/>
  <c r="AD252" i="1"/>
  <c r="AE252" i="1"/>
  <c r="AF252" i="1"/>
  <c r="AG252" i="1"/>
  <c r="AH252" i="1"/>
  <c r="AI252" i="1"/>
  <c r="AJ252" i="1"/>
  <c r="AK252" i="1"/>
  <c r="AL252" i="1"/>
  <c r="AM252" i="1"/>
  <c r="AN252" i="1"/>
  <c r="AO252" i="1"/>
  <c r="AP252" i="1"/>
  <c r="AQ252" i="1"/>
  <c r="AR252" i="1"/>
  <c r="AS252" i="1"/>
  <c r="AT252" i="1"/>
  <c r="AU252" i="1"/>
  <c r="AV252" i="1"/>
  <c r="AW252" i="1"/>
  <c r="AX252" i="1"/>
  <c r="AY252" i="1"/>
  <c r="AZ252" i="1"/>
  <c r="BA252" i="1"/>
  <c r="BB252" i="1"/>
  <c r="BC252" i="1"/>
  <c r="BD252" i="1"/>
  <c r="BE252" i="1"/>
  <c r="BF252" i="1"/>
  <c r="BG252" i="1"/>
  <c r="BH252" i="1"/>
  <c r="J253" i="1"/>
  <c r="K253" i="1"/>
  <c r="L253" i="1"/>
  <c r="M253" i="1"/>
  <c r="N253" i="1"/>
  <c r="O253" i="1"/>
  <c r="P253" i="1"/>
  <c r="Q253" i="1"/>
  <c r="R253" i="1"/>
  <c r="S253" i="1"/>
  <c r="T253" i="1"/>
  <c r="U253" i="1"/>
  <c r="V253" i="1"/>
  <c r="W253" i="1"/>
  <c r="X253" i="1"/>
  <c r="Y253" i="1"/>
  <c r="Z253" i="1"/>
  <c r="AA253" i="1"/>
  <c r="AB253" i="1"/>
  <c r="AC253" i="1"/>
  <c r="AD253" i="1"/>
  <c r="AE253" i="1"/>
  <c r="AF253" i="1"/>
  <c r="AG253" i="1"/>
  <c r="AH253" i="1"/>
  <c r="AI253" i="1"/>
  <c r="AJ253" i="1"/>
  <c r="AK253" i="1"/>
  <c r="AL253" i="1"/>
  <c r="AM253" i="1"/>
  <c r="AN253" i="1"/>
  <c r="AO253" i="1"/>
  <c r="AP253" i="1"/>
  <c r="AQ253" i="1"/>
  <c r="AR253" i="1"/>
  <c r="AS253" i="1"/>
  <c r="AT253" i="1"/>
  <c r="AU253" i="1"/>
  <c r="AV253" i="1"/>
  <c r="AW253" i="1"/>
  <c r="AX253" i="1"/>
  <c r="AY253" i="1"/>
  <c r="AZ253" i="1"/>
  <c r="BA253" i="1"/>
  <c r="BB253" i="1"/>
  <c r="BC253" i="1"/>
  <c r="BD253" i="1"/>
  <c r="BE253" i="1"/>
  <c r="BF253" i="1"/>
  <c r="BG253" i="1"/>
  <c r="BH253" i="1"/>
  <c r="J254" i="1"/>
  <c r="K254" i="1"/>
  <c r="L254" i="1"/>
  <c r="M254" i="1"/>
  <c r="N254" i="1"/>
  <c r="O254" i="1"/>
  <c r="P254" i="1"/>
  <c r="Q254" i="1"/>
  <c r="R254" i="1"/>
  <c r="S254" i="1"/>
  <c r="T254" i="1"/>
  <c r="U254" i="1"/>
  <c r="V254" i="1"/>
  <c r="W254" i="1"/>
  <c r="X254" i="1"/>
  <c r="Y254" i="1"/>
  <c r="Z254" i="1"/>
  <c r="AA254" i="1"/>
  <c r="AB254" i="1"/>
  <c r="AC254" i="1"/>
  <c r="AD254" i="1"/>
  <c r="AE254" i="1"/>
  <c r="AF254" i="1"/>
  <c r="AG254" i="1"/>
  <c r="AH254" i="1"/>
  <c r="AI254" i="1"/>
  <c r="AJ254" i="1"/>
  <c r="AK254" i="1"/>
  <c r="AL254" i="1"/>
  <c r="AM254" i="1"/>
  <c r="AN254" i="1"/>
  <c r="AO254" i="1"/>
  <c r="AP254" i="1"/>
  <c r="AQ254" i="1"/>
  <c r="AR254" i="1"/>
  <c r="AS254" i="1"/>
  <c r="AT254" i="1"/>
  <c r="AU254" i="1"/>
  <c r="AV254" i="1"/>
  <c r="AW254" i="1"/>
  <c r="AX254" i="1"/>
  <c r="AY254" i="1"/>
  <c r="AZ254" i="1"/>
  <c r="BA254" i="1"/>
  <c r="BB254" i="1"/>
  <c r="BC254" i="1"/>
  <c r="BD254" i="1"/>
  <c r="BE254" i="1"/>
  <c r="BF254" i="1"/>
  <c r="BG254" i="1"/>
  <c r="BH254" i="1"/>
  <c r="J255" i="1"/>
  <c r="K255" i="1"/>
  <c r="L255" i="1"/>
  <c r="M255" i="1"/>
  <c r="N255" i="1"/>
  <c r="O255" i="1"/>
  <c r="P255" i="1"/>
  <c r="Q255" i="1"/>
  <c r="R255" i="1"/>
  <c r="S255" i="1"/>
  <c r="T255" i="1"/>
  <c r="U255" i="1"/>
  <c r="V255" i="1"/>
  <c r="W255" i="1"/>
  <c r="X255" i="1"/>
  <c r="Y255" i="1"/>
  <c r="Z255" i="1"/>
  <c r="AA255" i="1"/>
  <c r="AB255" i="1"/>
  <c r="AC255" i="1"/>
  <c r="AD255" i="1"/>
  <c r="AE255" i="1"/>
  <c r="AF255" i="1"/>
  <c r="AG255" i="1"/>
  <c r="AH255" i="1"/>
  <c r="AI255" i="1"/>
  <c r="AJ255" i="1"/>
  <c r="AK255" i="1"/>
  <c r="AL255" i="1"/>
  <c r="AM255" i="1"/>
  <c r="AN255" i="1"/>
  <c r="AO255" i="1"/>
  <c r="AP255" i="1"/>
  <c r="AQ255" i="1"/>
  <c r="AR255" i="1"/>
  <c r="AS255" i="1"/>
  <c r="AT255" i="1"/>
  <c r="AU255" i="1"/>
  <c r="AV255" i="1"/>
  <c r="AW255" i="1"/>
  <c r="AX255" i="1"/>
  <c r="AY255" i="1"/>
  <c r="AZ255" i="1"/>
  <c r="BA255" i="1"/>
  <c r="BB255" i="1"/>
  <c r="BC255" i="1"/>
  <c r="BD255" i="1"/>
  <c r="BE255" i="1"/>
  <c r="BF255" i="1"/>
  <c r="BG255" i="1"/>
  <c r="BH255" i="1"/>
  <c r="J256" i="1"/>
  <c r="K256" i="1"/>
  <c r="L256" i="1"/>
  <c r="M256" i="1"/>
  <c r="N256" i="1"/>
  <c r="O256" i="1"/>
  <c r="P256" i="1"/>
  <c r="Q256" i="1"/>
  <c r="R256" i="1"/>
  <c r="S256" i="1"/>
  <c r="T256" i="1"/>
  <c r="U256" i="1"/>
  <c r="V256" i="1"/>
  <c r="W256" i="1"/>
  <c r="X256" i="1"/>
  <c r="Y256" i="1"/>
  <c r="Z256" i="1"/>
  <c r="AA256" i="1"/>
  <c r="AB256" i="1"/>
  <c r="AC256" i="1"/>
  <c r="AD256" i="1"/>
  <c r="AE256" i="1"/>
  <c r="AF256" i="1"/>
  <c r="AG256" i="1"/>
  <c r="AH256" i="1"/>
  <c r="AI256" i="1"/>
  <c r="AJ256" i="1"/>
  <c r="AK256" i="1"/>
  <c r="AL256" i="1"/>
  <c r="AM256" i="1"/>
  <c r="AN256" i="1"/>
  <c r="AO256" i="1"/>
  <c r="AP256" i="1"/>
  <c r="AQ256" i="1"/>
  <c r="AR256" i="1"/>
  <c r="AS256" i="1"/>
  <c r="AT256" i="1"/>
  <c r="AU256" i="1"/>
  <c r="AV256" i="1"/>
  <c r="AW256" i="1"/>
  <c r="AX256" i="1"/>
  <c r="AY256" i="1"/>
  <c r="AZ256" i="1"/>
  <c r="BA256" i="1"/>
  <c r="BB256" i="1"/>
  <c r="BC256" i="1"/>
  <c r="BD256" i="1"/>
  <c r="BE256" i="1"/>
  <c r="BF256" i="1"/>
  <c r="BG256" i="1"/>
  <c r="BH256" i="1"/>
  <c r="J257" i="1"/>
  <c r="K257" i="1"/>
  <c r="L257" i="1"/>
  <c r="M257" i="1"/>
  <c r="N257" i="1"/>
  <c r="O257" i="1"/>
  <c r="P257" i="1"/>
  <c r="Q257" i="1"/>
  <c r="R257" i="1"/>
  <c r="S257" i="1"/>
  <c r="T257" i="1"/>
  <c r="U257" i="1"/>
  <c r="V257" i="1"/>
  <c r="W257" i="1"/>
  <c r="X257" i="1"/>
  <c r="Y257" i="1"/>
  <c r="Z257" i="1"/>
  <c r="AA257" i="1"/>
  <c r="AB257" i="1"/>
  <c r="AC257" i="1"/>
  <c r="AD257" i="1"/>
  <c r="AE257" i="1"/>
  <c r="AF257" i="1"/>
  <c r="AG257" i="1"/>
  <c r="AH257" i="1"/>
  <c r="AI257" i="1"/>
  <c r="AJ257" i="1"/>
  <c r="AK257" i="1"/>
  <c r="AL257" i="1"/>
  <c r="AM257" i="1"/>
  <c r="AN257" i="1"/>
  <c r="AO257" i="1"/>
  <c r="AP257" i="1"/>
  <c r="AQ257" i="1"/>
  <c r="AR257" i="1"/>
  <c r="AS257" i="1"/>
  <c r="AT257" i="1"/>
  <c r="AU257" i="1"/>
  <c r="AV257" i="1"/>
  <c r="AW257" i="1"/>
  <c r="AX257" i="1"/>
  <c r="AY257" i="1"/>
  <c r="AZ257" i="1"/>
  <c r="BA257" i="1"/>
  <c r="BB257" i="1"/>
  <c r="BC257" i="1"/>
  <c r="BD257" i="1"/>
  <c r="BE257" i="1"/>
  <c r="BF257" i="1"/>
  <c r="BG257" i="1"/>
  <c r="BH257" i="1"/>
  <c r="J258" i="1"/>
  <c r="K258" i="1"/>
  <c r="L258" i="1"/>
  <c r="M258" i="1"/>
  <c r="N258" i="1"/>
  <c r="O258" i="1"/>
  <c r="P258" i="1"/>
  <c r="Q258" i="1"/>
  <c r="R258" i="1"/>
  <c r="S258" i="1"/>
  <c r="T258" i="1"/>
  <c r="U258" i="1"/>
  <c r="V258" i="1"/>
  <c r="W258" i="1"/>
  <c r="X258" i="1"/>
  <c r="Y258" i="1"/>
  <c r="Z258" i="1"/>
  <c r="AA258" i="1"/>
  <c r="AB258" i="1"/>
  <c r="AC258" i="1"/>
  <c r="AD258" i="1"/>
  <c r="AE258" i="1"/>
  <c r="AF258" i="1"/>
  <c r="AG258" i="1"/>
  <c r="AH258" i="1"/>
  <c r="AI258" i="1"/>
  <c r="AJ258" i="1"/>
  <c r="AK258" i="1"/>
  <c r="AL258" i="1"/>
  <c r="AM258" i="1"/>
  <c r="AN258" i="1"/>
  <c r="AO258" i="1"/>
  <c r="AP258" i="1"/>
  <c r="AQ258" i="1"/>
  <c r="AR258" i="1"/>
  <c r="AS258" i="1"/>
  <c r="AT258" i="1"/>
  <c r="AU258" i="1"/>
  <c r="AV258" i="1"/>
  <c r="AW258" i="1"/>
  <c r="AX258" i="1"/>
  <c r="AY258" i="1"/>
  <c r="AZ258" i="1"/>
  <c r="BA258" i="1"/>
  <c r="BB258" i="1"/>
  <c r="BC258" i="1"/>
  <c r="BD258" i="1"/>
  <c r="BE258" i="1"/>
  <c r="BF258" i="1"/>
  <c r="BG258" i="1"/>
  <c r="BH258" i="1"/>
  <c r="J259" i="1"/>
  <c r="K259" i="1"/>
  <c r="L259" i="1"/>
  <c r="M259" i="1"/>
  <c r="N259" i="1"/>
  <c r="O259" i="1"/>
  <c r="P259" i="1"/>
  <c r="Q259" i="1"/>
  <c r="R259" i="1"/>
  <c r="S259" i="1"/>
  <c r="T259" i="1"/>
  <c r="U259" i="1"/>
  <c r="V259" i="1"/>
  <c r="W259" i="1"/>
  <c r="X259" i="1"/>
  <c r="Y259" i="1"/>
  <c r="Z259" i="1"/>
  <c r="AA259" i="1"/>
  <c r="AB259" i="1"/>
  <c r="AC259" i="1"/>
  <c r="AD259" i="1"/>
  <c r="AE259" i="1"/>
  <c r="AF259" i="1"/>
  <c r="AG259" i="1"/>
  <c r="AH259" i="1"/>
  <c r="AI259" i="1"/>
  <c r="AJ259" i="1"/>
  <c r="AK259" i="1"/>
  <c r="AL259" i="1"/>
  <c r="AM259" i="1"/>
  <c r="AN259" i="1"/>
  <c r="AO259" i="1"/>
  <c r="AP259" i="1"/>
  <c r="AQ259" i="1"/>
  <c r="AR259" i="1"/>
  <c r="AS259" i="1"/>
  <c r="AT259" i="1"/>
  <c r="AU259" i="1"/>
  <c r="AV259" i="1"/>
  <c r="AW259" i="1"/>
  <c r="AX259" i="1"/>
  <c r="AY259" i="1"/>
  <c r="AZ259" i="1"/>
  <c r="BA259" i="1"/>
  <c r="BB259" i="1"/>
  <c r="BC259" i="1"/>
  <c r="BD259" i="1"/>
  <c r="BE259" i="1"/>
  <c r="BF259" i="1"/>
  <c r="BG259" i="1"/>
  <c r="BH259" i="1"/>
  <c r="J260" i="1"/>
  <c r="K260" i="1"/>
  <c r="L260" i="1"/>
  <c r="M260" i="1"/>
  <c r="N260" i="1"/>
  <c r="O260" i="1"/>
  <c r="P260" i="1"/>
  <c r="Q260" i="1"/>
  <c r="R260" i="1"/>
  <c r="S260" i="1"/>
  <c r="T260" i="1"/>
  <c r="U260" i="1"/>
  <c r="V260" i="1"/>
  <c r="W260" i="1"/>
  <c r="X260" i="1"/>
  <c r="Y260" i="1"/>
  <c r="Z260" i="1"/>
  <c r="AA260" i="1"/>
  <c r="AB260" i="1"/>
  <c r="AC260" i="1"/>
  <c r="AD260" i="1"/>
  <c r="AE260" i="1"/>
  <c r="AF260" i="1"/>
  <c r="AG260" i="1"/>
  <c r="AH260" i="1"/>
  <c r="AI260" i="1"/>
  <c r="AJ260" i="1"/>
  <c r="AK260" i="1"/>
  <c r="AL260" i="1"/>
  <c r="AM260" i="1"/>
  <c r="AN260" i="1"/>
  <c r="AO260" i="1"/>
  <c r="AP260" i="1"/>
  <c r="AQ260" i="1"/>
  <c r="AR260" i="1"/>
  <c r="AS260" i="1"/>
  <c r="AT260" i="1"/>
  <c r="AU260" i="1"/>
  <c r="AV260" i="1"/>
  <c r="AW260" i="1"/>
  <c r="AX260" i="1"/>
  <c r="AY260" i="1"/>
  <c r="AZ260" i="1"/>
  <c r="BA260" i="1"/>
  <c r="BB260" i="1"/>
  <c r="BC260" i="1"/>
  <c r="BD260" i="1"/>
  <c r="BE260" i="1"/>
  <c r="BF260" i="1"/>
  <c r="BG260" i="1"/>
  <c r="BH260" i="1"/>
  <c r="J261" i="1"/>
  <c r="K261" i="1"/>
  <c r="L261" i="1"/>
  <c r="M261" i="1"/>
  <c r="N261" i="1"/>
  <c r="O261" i="1"/>
  <c r="P261" i="1"/>
  <c r="Q261" i="1"/>
  <c r="R261" i="1"/>
  <c r="S261" i="1"/>
  <c r="T261" i="1"/>
  <c r="U261" i="1"/>
  <c r="V261" i="1"/>
  <c r="W261" i="1"/>
  <c r="X261" i="1"/>
  <c r="Y261" i="1"/>
  <c r="Z261" i="1"/>
  <c r="AA261" i="1"/>
  <c r="AB261" i="1"/>
  <c r="AC261" i="1"/>
  <c r="AD261" i="1"/>
  <c r="AE261" i="1"/>
  <c r="AF261" i="1"/>
  <c r="AG261" i="1"/>
  <c r="AH261" i="1"/>
  <c r="AI261" i="1"/>
  <c r="AJ261" i="1"/>
  <c r="AK261" i="1"/>
  <c r="AL261" i="1"/>
  <c r="AM261" i="1"/>
  <c r="AN261" i="1"/>
  <c r="AO261" i="1"/>
  <c r="AP261" i="1"/>
  <c r="AQ261" i="1"/>
  <c r="AR261" i="1"/>
  <c r="AS261" i="1"/>
  <c r="AT261" i="1"/>
  <c r="AU261" i="1"/>
  <c r="AV261" i="1"/>
  <c r="AW261" i="1"/>
  <c r="AX261" i="1"/>
  <c r="AY261" i="1"/>
  <c r="AZ261" i="1"/>
  <c r="BA261" i="1"/>
  <c r="BB261" i="1"/>
  <c r="BC261" i="1"/>
  <c r="BD261" i="1"/>
  <c r="BE261" i="1"/>
  <c r="BF261" i="1"/>
  <c r="BG261" i="1"/>
  <c r="BH261" i="1"/>
  <c r="J262" i="1"/>
  <c r="K262" i="1"/>
  <c r="L262" i="1"/>
  <c r="M262" i="1"/>
  <c r="N262" i="1"/>
  <c r="O262" i="1"/>
  <c r="P262" i="1"/>
  <c r="Q262" i="1"/>
  <c r="R262" i="1"/>
  <c r="S262" i="1"/>
  <c r="T262" i="1"/>
  <c r="U262" i="1"/>
  <c r="V262" i="1"/>
  <c r="W262" i="1"/>
  <c r="X262" i="1"/>
  <c r="Y262" i="1"/>
  <c r="Z262" i="1"/>
  <c r="AA262" i="1"/>
  <c r="AB262" i="1"/>
  <c r="AC262" i="1"/>
  <c r="AD262" i="1"/>
  <c r="AE262" i="1"/>
  <c r="AF262" i="1"/>
  <c r="AG262" i="1"/>
  <c r="AH262" i="1"/>
  <c r="AI262" i="1"/>
  <c r="AJ262" i="1"/>
  <c r="AK262" i="1"/>
  <c r="AL262" i="1"/>
  <c r="AM262" i="1"/>
  <c r="AN262" i="1"/>
  <c r="AO262" i="1"/>
  <c r="AP262" i="1"/>
  <c r="AQ262" i="1"/>
  <c r="AR262" i="1"/>
  <c r="AS262" i="1"/>
  <c r="AT262" i="1"/>
  <c r="AU262" i="1"/>
  <c r="AV262" i="1"/>
  <c r="AW262" i="1"/>
  <c r="AX262" i="1"/>
  <c r="AY262" i="1"/>
  <c r="AZ262" i="1"/>
  <c r="BA262" i="1"/>
  <c r="BB262" i="1"/>
  <c r="BC262" i="1"/>
  <c r="BD262" i="1"/>
  <c r="BE262" i="1"/>
  <c r="BF262" i="1"/>
  <c r="BG262" i="1"/>
  <c r="BH262" i="1"/>
  <c r="J263" i="1"/>
  <c r="K263" i="1"/>
  <c r="L263" i="1"/>
  <c r="M263" i="1"/>
  <c r="N263" i="1"/>
  <c r="O263" i="1"/>
  <c r="P263" i="1"/>
  <c r="Q263" i="1"/>
  <c r="R263" i="1"/>
  <c r="S263" i="1"/>
  <c r="T263" i="1"/>
  <c r="U263" i="1"/>
  <c r="V263" i="1"/>
  <c r="W263" i="1"/>
  <c r="X263" i="1"/>
  <c r="Y263" i="1"/>
  <c r="Z263" i="1"/>
  <c r="AA263" i="1"/>
  <c r="AB263" i="1"/>
  <c r="AC263" i="1"/>
  <c r="AD263" i="1"/>
  <c r="AE263" i="1"/>
  <c r="AF263" i="1"/>
  <c r="AG263" i="1"/>
  <c r="AH263" i="1"/>
  <c r="AI263" i="1"/>
  <c r="AJ263" i="1"/>
  <c r="AK263" i="1"/>
  <c r="AL263" i="1"/>
  <c r="AM263" i="1"/>
  <c r="AN263" i="1"/>
  <c r="AO263" i="1"/>
  <c r="AP263" i="1"/>
  <c r="AQ263" i="1"/>
  <c r="AR263" i="1"/>
  <c r="AS263" i="1"/>
  <c r="AT263" i="1"/>
  <c r="AU263" i="1"/>
  <c r="AV263" i="1"/>
  <c r="AW263" i="1"/>
  <c r="AX263" i="1"/>
  <c r="AY263" i="1"/>
  <c r="AZ263" i="1"/>
  <c r="BA263" i="1"/>
  <c r="BB263" i="1"/>
  <c r="BC263" i="1"/>
  <c r="BD263" i="1"/>
  <c r="BE263" i="1"/>
  <c r="BF263" i="1"/>
  <c r="BG263" i="1"/>
  <c r="BH263" i="1"/>
  <c r="J264" i="1"/>
  <c r="K264" i="1"/>
  <c r="L264" i="1"/>
  <c r="M264" i="1"/>
  <c r="N264" i="1"/>
  <c r="O264" i="1"/>
  <c r="P264" i="1"/>
  <c r="Q264" i="1"/>
  <c r="R264" i="1"/>
  <c r="S264" i="1"/>
  <c r="T264" i="1"/>
  <c r="U264" i="1"/>
  <c r="V264" i="1"/>
  <c r="W264" i="1"/>
  <c r="X264" i="1"/>
  <c r="Y264" i="1"/>
  <c r="Z264" i="1"/>
  <c r="AA264" i="1"/>
  <c r="AB264" i="1"/>
  <c r="AC264" i="1"/>
  <c r="AD264" i="1"/>
  <c r="AE264" i="1"/>
  <c r="AF264" i="1"/>
  <c r="AG264" i="1"/>
  <c r="AH264" i="1"/>
  <c r="AI264" i="1"/>
  <c r="AJ264" i="1"/>
  <c r="AK264" i="1"/>
  <c r="AL264" i="1"/>
  <c r="AM264" i="1"/>
  <c r="AN264" i="1"/>
  <c r="AO264" i="1"/>
  <c r="AP264" i="1"/>
  <c r="AQ264" i="1"/>
  <c r="AR264" i="1"/>
  <c r="AS264" i="1"/>
  <c r="AT264" i="1"/>
  <c r="AU264" i="1"/>
  <c r="AV264" i="1"/>
  <c r="AW264" i="1"/>
  <c r="AX264" i="1"/>
  <c r="AY264" i="1"/>
  <c r="AZ264" i="1"/>
  <c r="BA264" i="1"/>
  <c r="BB264" i="1"/>
  <c r="BC264" i="1"/>
  <c r="BD264" i="1"/>
  <c r="BE264" i="1"/>
  <c r="BF264" i="1"/>
  <c r="BG264" i="1"/>
  <c r="BH264" i="1"/>
  <c r="J265" i="1"/>
  <c r="K265" i="1"/>
  <c r="L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K265" i="1"/>
  <c r="AL265" i="1"/>
  <c r="AM265" i="1"/>
  <c r="AN265" i="1"/>
  <c r="AO265" i="1"/>
  <c r="AP265" i="1"/>
  <c r="AQ265" i="1"/>
  <c r="AR265" i="1"/>
  <c r="AS265" i="1"/>
  <c r="AT265" i="1"/>
  <c r="AU265" i="1"/>
  <c r="AV265" i="1"/>
  <c r="AW265" i="1"/>
  <c r="AX265" i="1"/>
  <c r="AY265" i="1"/>
  <c r="AZ265" i="1"/>
  <c r="BA265" i="1"/>
  <c r="BB265" i="1"/>
  <c r="BC265" i="1"/>
  <c r="BD265" i="1"/>
  <c r="BE265" i="1"/>
  <c r="BF265" i="1"/>
  <c r="BG265" i="1"/>
  <c r="BH265" i="1"/>
  <c r="J266" i="1"/>
  <c r="K266" i="1"/>
  <c r="L266"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K266" i="1"/>
  <c r="AL266" i="1"/>
  <c r="AM266" i="1"/>
  <c r="AN266" i="1"/>
  <c r="AO266" i="1"/>
  <c r="AP266" i="1"/>
  <c r="AQ266" i="1"/>
  <c r="AR266" i="1"/>
  <c r="AS266" i="1"/>
  <c r="AT266" i="1"/>
  <c r="AU266" i="1"/>
  <c r="AV266" i="1"/>
  <c r="AW266" i="1"/>
  <c r="AX266" i="1"/>
  <c r="AY266" i="1"/>
  <c r="AZ266" i="1"/>
  <c r="BA266" i="1"/>
  <c r="BB266" i="1"/>
  <c r="BC266" i="1"/>
  <c r="BD266" i="1"/>
  <c r="BE266" i="1"/>
  <c r="BF266" i="1"/>
  <c r="BG266" i="1"/>
  <c r="BH266" i="1"/>
  <c r="J267" i="1"/>
  <c r="K267" i="1"/>
  <c r="L267" i="1"/>
  <c r="M267" i="1"/>
  <c r="N267" i="1"/>
  <c r="O267" i="1"/>
  <c r="P267" i="1"/>
  <c r="Q267" i="1"/>
  <c r="R267" i="1"/>
  <c r="S267" i="1"/>
  <c r="T267" i="1"/>
  <c r="U267" i="1"/>
  <c r="V267" i="1"/>
  <c r="W267" i="1"/>
  <c r="X267" i="1"/>
  <c r="Y267" i="1"/>
  <c r="Z267" i="1"/>
  <c r="AA267" i="1"/>
  <c r="AB267" i="1"/>
  <c r="AC267" i="1"/>
  <c r="AD267" i="1"/>
  <c r="AE267" i="1"/>
  <c r="AF267" i="1"/>
  <c r="AG267" i="1"/>
  <c r="AH267" i="1"/>
  <c r="AI267" i="1"/>
  <c r="AJ267" i="1"/>
  <c r="AK267" i="1"/>
  <c r="AL267" i="1"/>
  <c r="AM267" i="1"/>
  <c r="AN267" i="1"/>
  <c r="AO267" i="1"/>
  <c r="AP267" i="1"/>
  <c r="AQ267" i="1"/>
  <c r="AR267" i="1"/>
  <c r="AS267" i="1"/>
  <c r="AT267" i="1"/>
  <c r="AU267" i="1"/>
  <c r="AV267" i="1"/>
  <c r="AW267" i="1"/>
  <c r="AX267" i="1"/>
  <c r="AY267" i="1"/>
  <c r="AZ267" i="1"/>
  <c r="BA267" i="1"/>
  <c r="BB267" i="1"/>
  <c r="BC267" i="1"/>
  <c r="BD267" i="1"/>
  <c r="BE267" i="1"/>
  <c r="BF267" i="1"/>
  <c r="BG267" i="1"/>
  <c r="BH267" i="1"/>
  <c r="J268" i="1"/>
  <c r="K268" i="1"/>
  <c r="L268" i="1"/>
  <c r="M268" i="1"/>
  <c r="N268" i="1"/>
  <c r="O268" i="1"/>
  <c r="P268" i="1"/>
  <c r="Q268" i="1"/>
  <c r="R268" i="1"/>
  <c r="S268" i="1"/>
  <c r="T268" i="1"/>
  <c r="U268" i="1"/>
  <c r="V268" i="1"/>
  <c r="W268" i="1"/>
  <c r="X268" i="1"/>
  <c r="Y268" i="1"/>
  <c r="Z268" i="1"/>
  <c r="AA268" i="1"/>
  <c r="AB268" i="1"/>
  <c r="AC268" i="1"/>
  <c r="AD268" i="1"/>
  <c r="AE268" i="1"/>
  <c r="AF268" i="1"/>
  <c r="AG268" i="1"/>
  <c r="AH268" i="1"/>
  <c r="AI268" i="1"/>
  <c r="AJ268" i="1"/>
  <c r="AK268" i="1"/>
  <c r="AL268" i="1"/>
  <c r="AM268" i="1"/>
  <c r="AN268" i="1"/>
  <c r="AO268" i="1"/>
  <c r="AP268" i="1"/>
  <c r="AQ268" i="1"/>
  <c r="AR268" i="1"/>
  <c r="AS268" i="1"/>
  <c r="AT268" i="1"/>
  <c r="AU268" i="1"/>
  <c r="AV268" i="1"/>
  <c r="AW268" i="1"/>
  <c r="AX268" i="1"/>
  <c r="AY268" i="1"/>
  <c r="AZ268" i="1"/>
  <c r="BA268" i="1"/>
  <c r="BB268" i="1"/>
  <c r="BC268" i="1"/>
  <c r="BD268" i="1"/>
  <c r="BE268" i="1"/>
  <c r="BF268" i="1"/>
  <c r="BG268" i="1"/>
  <c r="BH268" i="1"/>
  <c r="J269" i="1"/>
  <c r="K269" i="1"/>
  <c r="L269" i="1"/>
  <c r="M269" i="1"/>
  <c r="N269" i="1"/>
  <c r="O269" i="1"/>
  <c r="P269" i="1"/>
  <c r="Q269" i="1"/>
  <c r="R269" i="1"/>
  <c r="S269" i="1"/>
  <c r="T269" i="1"/>
  <c r="U269" i="1"/>
  <c r="V269" i="1"/>
  <c r="W269" i="1"/>
  <c r="X269" i="1"/>
  <c r="Y269" i="1"/>
  <c r="Z269" i="1"/>
  <c r="AA269" i="1"/>
  <c r="AB269" i="1"/>
  <c r="AC269" i="1"/>
  <c r="AD269" i="1"/>
  <c r="AE269" i="1"/>
  <c r="AF269" i="1"/>
  <c r="AG269" i="1"/>
  <c r="AH269" i="1"/>
  <c r="AI269" i="1"/>
  <c r="AJ269" i="1"/>
  <c r="AK269" i="1"/>
  <c r="AL269" i="1"/>
  <c r="AM269" i="1"/>
  <c r="AN269" i="1"/>
  <c r="AO269" i="1"/>
  <c r="AP269" i="1"/>
  <c r="AQ269" i="1"/>
  <c r="AR269" i="1"/>
  <c r="AS269" i="1"/>
  <c r="AT269" i="1"/>
  <c r="AU269" i="1"/>
  <c r="AV269" i="1"/>
  <c r="AW269" i="1"/>
  <c r="AX269" i="1"/>
  <c r="AY269" i="1"/>
  <c r="AZ269" i="1"/>
  <c r="BA269" i="1"/>
  <c r="BB269" i="1"/>
  <c r="BC269" i="1"/>
  <c r="BD269" i="1"/>
  <c r="BE269" i="1"/>
  <c r="BF269" i="1"/>
  <c r="BG269" i="1"/>
  <c r="BH269" i="1"/>
  <c r="J270" i="1"/>
  <c r="K270" i="1"/>
  <c r="L270" i="1"/>
  <c r="M270" i="1"/>
  <c r="N270" i="1"/>
  <c r="O270" i="1"/>
  <c r="P270" i="1"/>
  <c r="Q270" i="1"/>
  <c r="R270" i="1"/>
  <c r="S270" i="1"/>
  <c r="T270" i="1"/>
  <c r="U270" i="1"/>
  <c r="V270" i="1"/>
  <c r="W270" i="1"/>
  <c r="X270" i="1"/>
  <c r="Y270" i="1"/>
  <c r="Z270" i="1"/>
  <c r="AA270" i="1"/>
  <c r="AB270" i="1"/>
  <c r="AC270" i="1"/>
  <c r="AD270" i="1"/>
  <c r="AE270" i="1"/>
  <c r="AF270" i="1"/>
  <c r="AG270" i="1"/>
  <c r="AH270" i="1"/>
  <c r="AI270" i="1"/>
  <c r="AJ270" i="1"/>
  <c r="AK270" i="1"/>
  <c r="AL270" i="1"/>
  <c r="AM270" i="1"/>
  <c r="AN270" i="1"/>
  <c r="AO270" i="1"/>
  <c r="AP270" i="1"/>
  <c r="AQ270" i="1"/>
  <c r="AR270" i="1"/>
  <c r="AS270" i="1"/>
  <c r="AT270" i="1"/>
  <c r="AU270" i="1"/>
  <c r="AV270" i="1"/>
  <c r="AW270" i="1"/>
  <c r="AX270" i="1"/>
  <c r="AY270" i="1"/>
  <c r="AZ270" i="1"/>
  <c r="BA270" i="1"/>
  <c r="BB270" i="1"/>
  <c r="BC270" i="1"/>
  <c r="BD270" i="1"/>
  <c r="BE270" i="1"/>
  <c r="BF270" i="1"/>
  <c r="BG270" i="1"/>
  <c r="BH270" i="1"/>
  <c r="J271" i="1"/>
  <c r="K271" i="1"/>
  <c r="L271" i="1"/>
  <c r="M271" i="1"/>
  <c r="N271" i="1"/>
  <c r="O271" i="1"/>
  <c r="P271" i="1"/>
  <c r="Q271" i="1"/>
  <c r="R271" i="1"/>
  <c r="S271" i="1"/>
  <c r="T271" i="1"/>
  <c r="U271" i="1"/>
  <c r="V271" i="1"/>
  <c r="W271" i="1"/>
  <c r="X271" i="1"/>
  <c r="Y271" i="1"/>
  <c r="Z271" i="1"/>
  <c r="AA271" i="1"/>
  <c r="AB271" i="1"/>
  <c r="AC271" i="1"/>
  <c r="AD271" i="1"/>
  <c r="AE271" i="1"/>
  <c r="AF271" i="1"/>
  <c r="AG271" i="1"/>
  <c r="AH271" i="1"/>
  <c r="AI271" i="1"/>
  <c r="AJ271" i="1"/>
  <c r="AK271" i="1"/>
  <c r="AL271" i="1"/>
  <c r="AM271" i="1"/>
  <c r="AN271" i="1"/>
  <c r="AO271" i="1"/>
  <c r="AP271" i="1"/>
  <c r="AQ271" i="1"/>
  <c r="AR271" i="1"/>
  <c r="AS271" i="1"/>
  <c r="AT271" i="1"/>
  <c r="AU271" i="1"/>
  <c r="AV271" i="1"/>
  <c r="AW271" i="1"/>
  <c r="AX271" i="1"/>
  <c r="AY271" i="1"/>
  <c r="AZ271" i="1"/>
  <c r="BA271" i="1"/>
  <c r="BB271" i="1"/>
  <c r="BC271" i="1"/>
  <c r="BD271" i="1"/>
  <c r="BE271" i="1"/>
  <c r="BF271" i="1"/>
  <c r="BG271" i="1"/>
  <c r="BH271" i="1"/>
  <c r="J272" i="1"/>
  <c r="K272" i="1"/>
  <c r="L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K272" i="1"/>
  <c r="AL272" i="1"/>
  <c r="AM272" i="1"/>
  <c r="AN272" i="1"/>
  <c r="AO272" i="1"/>
  <c r="AP272" i="1"/>
  <c r="AQ272" i="1"/>
  <c r="AR272" i="1"/>
  <c r="AS272" i="1"/>
  <c r="AT272" i="1"/>
  <c r="AU272" i="1"/>
  <c r="AV272" i="1"/>
  <c r="AW272" i="1"/>
  <c r="AX272" i="1"/>
  <c r="AY272" i="1"/>
  <c r="AZ272" i="1"/>
  <c r="BA272" i="1"/>
  <c r="BB272" i="1"/>
  <c r="BC272" i="1"/>
  <c r="BD272" i="1"/>
  <c r="BE272" i="1"/>
  <c r="BF272" i="1"/>
  <c r="BG272" i="1"/>
  <c r="BH272" i="1"/>
  <c r="J273" i="1"/>
  <c r="K273" i="1"/>
  <c r="L273" i="1"/>
  <c r="M273" i="1"/>
  <c r="N273" i="1"/>
  <c r="O273" i="1"/>
  <c r="P273" i="1"/>
  <c r="Q273" i="1"/>
  <c r="R273" i="1"/>
  <c r="S273" i="1"/>
  <c r="T273" i="1"/>
  <c r="U273" i="1"/>
  <c r="V273" i="1"/>
  <c r="W273" i="1"/>
  <c r="X273" i="1"/>
  <c r="Y273" i="1"/>
  <c r="Z273" i="1"/>
  <c r="AA273" i="1"/>
  <c r="AB273" i="1"/>
  <c r="AC273" i="1"/>
  <c r="AD273" i="1"/>
  <c r="AE273" i="1"/>
  <c r="AF273" i="1"/>
  <c r="AG273" i="1"/>
  <c r="AH273" i="1"/>
  <c r="AI273" i="1"/>
  <c r="AJ273" i="1"/>
  <c r="AK273" i="1"/>
  <c r="AL273" i="1"/>
  <c r="AM273" i="1"/>
  <c r="AN273" i="1"/>
  <c r="AO273" i="1"/>
  <c r="AP273" i="1"/>
  <c r="AQ273" i="1"/>
  <c r="AR273" i="1"/>
  <c r="AS273" i="1"/>
  <c r="AT273" i="1"/>
  <c r="AU273" i="1"/>
  <c r="AV273" i="1"/>
  <c r="AW273" i="1"/>
  <c r="AX273" i="1"/>
  <c r="AY273" i="1"/>
  <c r="AZ273" i="1"/>
  <c r="BA273" i="1"/>
  <c r="BB273" i="1"/>
  <c r="BC273" i="1"/>
  <c r="BD273" i="1"/>
  <c r="BE273" i="1"/>
  <c r="BF273" i="1"/>
  <c r="BG273" i="1"/>
  <c r="BH273" i="1"/>
  <c r="J274" i="1"/>
  <c r="K274" i="1"/>
  <c r="L274" i="1"/>
  <c r="M274" i="1"/>
  <c r="N274" i="1"/>
  <c r="O274" i="1"/>
  <c r="P274" i="1"/>
  <c r="Q274" i="1"/>
  <c r="R274" i="1"/>
  <c r="S274" i="1"/>
  <c r="T274" i="1"/>
  <c r="U274" i="1"/>
  <c r="V274" i="1"/>
  <c r="W274" i="1"/>
  <c r="X274" i="1"/>
  <c r="Y274" i="1"/>
  <c r="Z274" i="1"/>
  <c r="AA274" i="1"/>
  <c r="AB274" i="1"/>
  <c r="AC274" i="1"/>
  <c r="AD274" i="1"/>
  <c r="AE274" i="1"/>
  <c r="AF274" i="1"/>
  <c r="AG274" i="1"/>
  <c r="AH274" i="1"/>
  <c r="AI274" i="1"/>
  <c r="AJ274" i="1"/>
  <c r="AK274" i="1"/>
  <c r="AL274" i="1"/>
  <c r="AM274" i="1"/>
  <c r="AN274" i="1"/>
  <c r="AO274" i="1"/>
  <c r="AP274" i="1"/>
  <c r="AQ274" i="1"/>
  <c r="AR274" i="1"/>
  <c r="AS274" i="1"/>
  <c r="AT274" i="1"/>
  <c r="AU274" i="1"/>
  <c r="AV274" i="1"/>
  <c r="AW274" i="1"/>
  <c r="AX274" i="1"/>
  <c r="AY274" i="1"/>
  <c r="AZ274" i="1"/>
  <c r="BA274" i="1"/>
  <c r="BB274" i="1"/>
  <c r="BC274" i="1"/>
  <c r="BD274" i="1"/>
  <c r="BE274" i="1"/>
  <c r="BF274" i="1"/>
  <c r="BG274" i="1"/>
  <c r="BH274" i="1"/>
  <c r="J275" i="1"/>
  <c r="K275" i="1"/>
  <c r="L275" i="1"/>
  <c r="M275" i="1"/>
  <c r="N275" i="1"/>
  <c r="O275" i="1"/>
  <c r="P275" i="1"/>
  <c r="Q275" i="1"/>
  <c r="R275" i="1"/>
  <c r="S275" i="1"/>
  <c r="T275" i="1"/>
  <c r="U275" i="1"/>
  <c r="V275" i="1"/>
  <c r="W275" i="1"/>
  <c r="X275" i="1"/>
  <c r="Y275" i="1"/>
  <c r="Z275" i="1"/>
  <c r="AA275" i="1"/>
  <c r="AB275" i="1"/>
  <c r="AC275" i="1"/>
  <c r="AD275" i="1"/>
  <c r="AE275" i="1"/>
  <c r="AF275" i="1"/>
  <c r="AG275" i="1"/>
  <c r="AH275" i="1"/>
  <c r="AI275" i="1"/>
  <c r="AJ275" i="1"/>
  <c r="AK275" i="1"/>
  <c r="AL275" i="1"/>
  <c r="AM275" i="1"/>
  <c r="AN275" i="1"/>
  <c r="AO275" i="1"/>
  <c r="AP275" i="1"/>
  <c r="AQ275" i="1"/>
  <c r="AR275" i="1"/>
  <c r="AS275" i="1"/>
  <c r="AT275" i="1"/>
  <c r="AU275" i="1"/>
  <c r="AV275" i="1"/>
  <c r="AW275" i="1"/>
  <c r="AX275" i="1"/>
  <c r="AY275" i="1"/>
  <c r="AZ275" i="1"/>
  <c r="BA275" i="1"/>
  <c r="BB275" i="1"/>
  <c r="BC275" i="1"/>
  <c r="BD275" i="1"/>
  <c r="BE275" i="1"/>
  <c r="BF275" i="1"/>
  <c r="BG275" i="1"/>
  <c r="BH275" i="1"/>
  <c r="J276" i="1"/>
  <c r="K276" i="1"/>
  <c r="L276" i="1"/>
  <c r="M276" i="1"/>
  <c r="N276" i="1"/>
  <c r="O276" i="1"/>
  <c r="P276" i="1"/>
  <c r="Q276" i="1"/>
  <c r="R276" i="1"/>
  <c r="S276" i="1"/>
  <c r="T276" i="1"/>
  <c r="U276" i="1"/>
  <c r="V276" i="1"/>
  <c r="W276" i="1"/>
  <c r="X276" i="1"/>
  <c r="Y276" i="1"/>
  <c r="Z276" i="1"/>
  <c r="AA276" i="1"/>
  <c r="AB276" i="1"/>
  <c r="AC276" i="1"/>
  <c r="AD276" i="1"/>
  <c r="AE276" i="1"/>
  <c r="AF276" i="1"/>
  <c r="AG276" i="1"/>
  <c r="AH276" i="1"/>
  <c r="AI276" i="1"/>
  <c r="AJ276" i="1"/>
  <c r="AK276" i="1"/>
  <c r="AL276" i="1"/>
  <c r="AM276" i="1"/>
  <c r="AN276" i="1"/>
  <c r="AO276" i="1"/>
  <c r="AP276" i="1"/>
  <c r="AQ276" i="1"/>
  <c r="AR276" i="1"/>
  <c r="AS276" i="1"/>
  <c r="AT276" i="1"/>
  <c r="AU276" i="1"/>
  <c r="AV276" i="1"/>
  <c r="AW276" i="1"/>
  <c r="AX276" i="1"/>
  <c r="AY276" i="1"/>
  <c r="AZ276" i="1"/>
  <c r="BA276" i="1"/>
  <c r="BB276" i="1"/>
  <c r="BC276" i="1"/>
  <c r="BD276" i="1"/>
  <c r="BE276" i="1"/>
  <c r="BF276" i="1"/>
  <c r="BG276" i="1"/>
  <c r="BH276" i="1"/>
  <c r="J277" i="1"/>
  <c r="K277" i="1"/>
  <c r="L277" i="1"/>
  <c r="M277" i="1"/>
  <c r="N277" i="1"/>
  <c r="O277" i="1"/>
  <c r="P277" i="1"/>
  <c r="Q277" i="1"/>
  <c r="R277" i="1"/>
  <c r="S277" i="1"/>
  <c r="T277" i="1"/>
  <c r="U277" i="1"/>
  <c r="V277" i="1"/>
  <c r="W277" i="1"/>
  <c r="X277" i="1"/>
  <c r="Y277" i="1"/>
  <c r="Z277" i="1"/>
  <c r="AA277" i="1"/>
  <c r="AB277" i="1"/>
  <c r="AC277" i="1"/>
  <c r="AD277" i="1"/>
  <c r="AE277" i="1"/>
  <c r="AF277" i="1"/>
  <c r="AG277" i="1"/>
  <c r="AH277" i="1"/>
  <c r="AI277" i="1"/>
  <c r="AJ277" i="1"/>
  <c r="AK277" i="1"/>
  <c r="AL277" i="1"/>
  <c r="AM277" i="1"/>
  <c r="AN277" i="1"/>
  <c r="AO277" i="1"/>
  <c r="AP277" i="1"/>
  <c r="AQ277" i="1"/>
  <c r="AR277" i="1"/>
  <c r="AS277" i="1"/>
  <c r="AT277" i="1"/>
  <c r="AU277" i="1"/>
  <c r="AV277" i="1"/>
  <c r="AW277" i="1"/>
  <c r="AX277" i="1"/>
  <c r="AY277" i="1"/>
  <c r="AZ277" i="1"/>
  <c r="BA277" i="1"/>
  <c r="BB277" i="1"/>
  <c r="BC277" i="1"/>
  <c r="BD277" i="1"/>
  <c r="BE277" i="1"/>
  <c r="BF277" i="1"/>
  <c r="BG277" i="1"/>
  <c r="BH277" i="1"/>
  <c r="J278" i="1"/>
  <c r="K278" i="1"/>
  <c r="L278" i="1"/>
  <c r="M278" i="1"/>
  <c r="N278" i="1"/>
  <c r="O278" i="1"/>
  <c r="P278" i="1"/>
  <c r="Q278" i="1"/>
  <c r="R278" i="1"/>
  <c r="S278" i="1"/>
  <c r="T278" i="1"/>
  <c r="U278" i="1"/>
  <c r="V278" i="1"/>
  <c r="W278" i="1"/>
  <c r="X278" i="1"/>
  <c r="Y278" i="1"/>
  <c r="Z278" i="1"/>
  <c r="AA278" i="1"/>
  <c r="AB278" i="1"/>
  <c r="AC278" i="1"/>
  <c r="AD278" i="1"/>
  <c r="AE278" i="1"/>
  <c r="AF278" i="1"/>
  <c r="AG278" i="1"/>
  <c r="AH278" i="1"/>
  <c r="AI278" i="1"/>
  <c r="AJ278" i="1"/>
  <c r="AK278" i="1"/>
  <c r="AL278" i="1"/>
  <c r="AM278" i="1"/>
  <c r="AN278" i="1"/>
  <c r="AO278" i="1"/>
  <c r="AP278" i="1"/>
  <c r="AQ278" i="1"/>
  <c r="AR278" i="1"/>
  <c r="AS278" i="1"/>
  <c r="AT278" i="1"/>
  <c r="AU278" i="1"/>
  <c r="AV278" i="1"/>
  <c r="AW278" i="1"/>
  <c r="AX278" i="1"/>
  <c r="AY278" i="1"/>
  <c r="AZ278" i="1"/>
  <c r="BA278" i="1"/>
  <c r="BB278" i="1"/>
  <c r="BC278" i="1"/>
  <c r="BD278" i="1"/>
  <c r="BE278" i="1"/>
  <c r="BF278" i="1"/>
  <c r="BG278" i="1"/>
  <c r="BH278" i="1"/>
  <c r="J279" i="1"/>
  <c r="K279" i="1"/>
  <c r="L279" i="1"/>
  <c r="M279" i="1"/>
  <c r="N279" i="1"/>
  <c r="O279" i="1"/>
  <c r="P279" i="1"/>
  <c r="Q279" i="1"/>
  <c r="R279" i="1"/>
  <c r="S279" i="1"/>
  <c r="T279" i="1"/>
  <c r="U279" i="1"/>
  <c r="V279" i="1"/>
  <c r="W279" i="1"/>
  <c r="X279" i="1"/>
  <c r="Y279" i="1"/>
  <c r="Z279" i="1"/>
  <c r="AA279" i="1"/>
  <c r="AB279" i="1"/>
  <c r="AC279" i="1"/>
  <c r="AD279" i="1"/>
  <c r="AE279" i="1"/>
  <c r="AF279" i="1"/>
  <c r="AG279" i="1"/>
  <c r="AH279" i="1"/>
  <c r="AI279" i="1"/>
  <c r="AJ279" i="1"/>
  <c r="AK279" i="1"/>
  <c r="AL279" i="1"/>
  <c r="AM279" i="1"/>
  <c r="AN279" i="1"/>
  <c r="AO279" i="1"/>
  <c r="AP279" i="1"/>
  <c r="AQ279" i="1"/>
  <c r="AR279" i="1"/>
  <c r="AS279" i="1"/>
  <c r="AT279" i="1"/>
  <c r="AU279" i="1"/>
  <c r="AV279" i="1"/>
  <c r="AW279" i="1"/>
  <c r="AX279" i="1"/>
  <c r="AY279" i="1"/>
  <c r="AZ279" i="1"/>
  <c r="BA279" i="1"/>
  <c r="BB279" i="1"/>
  <c r="BC279" i="1"/>
  <c r="BD279" i="1"/>
  <c r="BE279" i="1"/>
  <c r="BF279" i="1"/>
  <c r="BG279" i="1"/>
  <c r="BH279" i="1"/>
  <c r="J280" i="1"/>
  <c r="K280" i="1"/>
  <c r="L280" i="1"/>
  <c r="M280" i="1"/>
  <c r="N280" i="1"/>
  <c r="O280" i="1"/>
  <c r="P280" i="1"/>
  <c r="Q280" i="1"/>
  <c r="R280" i="1"/>
  <c r="S280" i="1"/>
  <c r="T280" i="1"/>
  <c r="U280" i="1"/>
  <c r="V280" i="1"/>
  <c r="W280" i="1"/>
  <c r="X280" i="1"/>
  <c r="Y280" i="1"/>
  <c r="Z280" i="1"/>
  <c r="AA280" i="1"/>
  <c r="AB280" i="1"/>
  <c r="AC280" i="1"/>
  <c r="AD280" i="1"/>
  <c r="AE280" i="1"/>
  <c r="AF280" i="1"/>
  <c r="AG280" i="1"/>
  <c r="AH280" i="1"/>
  <c r="AI280" i="1"/>
  <c r="AJ280" i="1"/>
  <c r="AK280" i="1"/>
  <c r="AL280" i="1"/>
  <c r="AM280" i="1"/>
  <c r="AN280" i="1"/>
  <c r="AO280" i="1"/>
  <c r="AP280" i="1"/>
  <c r="AQ280" i="1"/>
  <c r="AR280" i="1"/>
  <c r="AS280" i="1"/>
  <c r="AT280" i="1"/>
  <c r="AU280" i="1"/>
  <c r="AV280" i="1"/>
  <c r="AW280" i="1"/>
  <c r="AX280" i="1"/>
  <c r="AY280" i="1"/>
  <c r="AZ280" i="1"/>
  <c r="BA280" i="1"/>
  <c r="BB280" i="1"/>
  <c r="BC280" i="1"/>
  <c r="BD280" i="1"/>
  <c r="BE280" i="1"/>
  <c r="BF280" i="1"/>
  <c r="BG280" i="1"/>
  <c r="BH280" i="1"/>
  <c r="J281" i="1"/>
  <c r="K281" i="1"/>
  <c r="L281" i="1"/>
  <c r="M281" i="1"/>
  <c r="N281" i="1"/>
  <c r="O281" i="1"/>
  <c r="P281" i="1"/>
  <c r="Q281" i="1"/>
  <c r="R281" i="1"/>
  <c r="S281" i="1"/>
  <c r="T281" i="1"/>
  <c r="U281" i="1"/>
  <c r="V281" i="1"/>
  <c r="W281" i="1"/>
  <c r="X281" i="1"/>
  <c r="Y281" i="1"/>
  <c r="Z281" i="1"/>
  <c r="AA281" i="1"/>
  <c r="AB281" i="1"/>
  <c r="AC281" i="1"/>
  <c r="AD281" i="1"/>
  <c r="AE281" i="1"/>
  <c r="AF281" i="1"/>
  <c r="AG281" i="1"/>
  <c r="AH281" i="1"/>
  <c r="AI281" i="1"/>
  <c r="AJ281" i="1"/>
  <c r="AK281" i="1"/>
  <c r="AL281" i="1"/>
  <c r="AM281" i="1"/>
  <c r="AN281" i="1"/>
  <c r="AO281" i="1"/>
  <c r="AP281" i="1"/>
  <c r="AQ281" i="1"/>
  <c r="AR281" i="1"/>
  <c r="AS281" i="1"/>
  <c r="AT281" i="1"/>
  <c r="AU281" i="1"/>
  <c r="AV281" i="1"/>
  <c r="AW281" i="1"/>
  <c r="AX281" i="1"/>
  <c r="AY281" i="1"/>
  <c r="AZ281" i="1"/>
  <c r="BA281" i="1"/>
  <c r="BB281" i="1"/>
  <c r="BC281" i="1"/>
  <c r="BD281" i="1"/>
  <c r="BE281" i="1"/>
  <c r="BF281" i="1"/>
  <c r="BG281" i="1"/>
  <c r="BH281" i="1"/>
  <c r="J282" i="1"/>
  <c r="K282" i="1"/>
  <c r="L282" i="1"/>
  <c r="M282" i="1"/>
  <c r="N282" i="1"/>
  <c r="O282" i="1"/>
  <c r="P282" i="1"/>
  <c r="Q282" i="1"/>
  <c r="R282" i="1"/>
  <c r="S282" i="1"/>
  <c r="T282" i="1"/>
  <c r="U282" i="1"/>
  <c r="V282" i="1"/>
  <c r="W282" i="1"/>
  <c r="X282" i="1"/>
  <c r="Y282" i="1"/>
  <c r="Z282" i="1"/>
  <c r="AA282" i="1"/>
  <c r="AB282" i="1"/>
  <c r="AC282" i="1"/>
  <c r="AD282" i="1"/>
  <c r="AE282" i="1"/>
  <c r="AF282" i="1"/>
  <c r="AG282" i="1"/>
  <c r="AH282" i="1"/>
  <c r="AI282" i="1"/>
  <c r="AJ282" i="1"/>
  <c r="AK282" i="1"/>
  <c r="AL282" i="1"/>
  <c r="AM282" i="1"/>
  <c r="AN282" i="1"/>
  <c r="AO282" i="1"/>
  <c r="AP282" i="1"/>
  <c r="AQ282" i="1"/>
  <c r="AR282" i="1"/>
  <c r="AS282" i="1"/>
  <c r="AT282" i="1"/>
  <c r="AU282" i="1"/>
  <c r="AV282" i="1"/>
  <c r="AW282" i="1"/>
  <c r="AX282" i="1"/>
  <c r="AY282" i="1"/>
  <c r="AZ282" i="1"/>
  <c r="BA282" i="1"/>
  <c r="BB282" i="1"/>
  <c r="BC282" i="1"/>
  <c r="BD282" i="1"/>
  <c r="BE282" i="1"/>
  <c r="BF282" i="1"/>
  <c r="BG282" i="1"/>
  <c r="BH282" i="1"/>
  <c r="J283" i="1"/>
  <c r="K283" i="1"/>
  <c r="L283" i="1"/>
  <c r="M283" i="1"/>
  <c r="N283" i="1"/>
  <c r="O283" i="1"/>
  <c r="P283" i="1"/>
  <c r="Q283" i="1"/>
  <c r="R283" i="1"/>
  <c r="S283" i="1"/>
  <c r="T283" i="1"/>
  <c r="U283" i="1"/>
  <c r="V283" i="1"/>
  <c r="W283" i="1"/>
  <c r="X283" i="1"/>
  <c r="Y283" i="1"/>
  <c r="Z283" i="1"/>
  <c r="AA283" i="1"/>
  <c r="AB283" i="1"/>
  <c r="AC283" i="1"/>
  <c r="AD283" i="1"/>
  <c r="AE283" i="1"/>
  <c r="AF283" i="1"/>
  <c r="AG283" i="1"/>
  <c r="AH283" i="1"/>
  <c r="AI283" i="1"/>
  <c r="AJ283" i="1"/>
  <c r="AK283" i="1"/>
  <c r="AL283" i="1"/>
  <c r="AM283" i="1"/>
  <c r="AN283" i="1"/>
  <c r="AO283" i="1"/>
  <c r="AP283" i="1"/>
  <c r="AQ283" i="1"/>
  <c r="AR283" i="1"/>
  <c r="AS283" i="1"/>
  <c r="AT283" i="1"/>
  <c r="AU283" i="1"/>
  <c r="AV283" i="1"/>
  <c r="AW283" i="1"/>
  <c r="AX283" i="1"/>
  <c r="AY283" i="1"/>
  <c r="AZ283" i="1"/>
  <c r="BA283" i="1"/>
  <c r="BB283" i="1"/>
  <c r="BC283" i="1"/>
  <c r="BD283" i="1"/>
  <c r="BE283" i="1"/>
  <c r="BF283" i="1"/>
  <c r="BG283" i="1"/>
  <c r="BH283" i="1"/>
  <c r="J284" i="1"/>
  <c r="K284" i="1"/>
  <c r="L284" i="1"/>
  <c r="M284" i="1"/>
  <c r="N284" i="1"/>
  <c r="O284" i="1"/>
  <c r="P284" i="1"/>
  <c r="Q284" i="1"/>
  <c r="R284" i="1"/>
  <c r="S284" i="1"/>
  <c r="T284" i="1"/>
  <c r="U284" i="1"/>
  <c r="V284" i="1"/>
  <c r="W284" i="1"/>
  <c r="X284" i="1"/>
  <c r="Y284" i="1"/>
  <c r="Z284" i="1"/>
  <c r="AA284" i="1"/>
  <c r="AB284" i="1"/>
  <c r="AC284" i="1"/>
  <c r="AD284" i="1"/>
  <c r="AE284" i="1"/>
  <c r="AF284" i="1"/>
  <c r="AG284" i="1"/>
  <c r="AH284" i="1"/>
  <c r="AI284" i="1"/>
  <c r="AJ284" i="1"/>
  <c r="AK284" i="1"/>
  <c r="AL284" i="1"/>
  <c r="AM284" i="1"/>
  <c r="AN284" i="1"/>
  <c r="AO284" i="1"/>
  <c r="AP284" i="1"/>
  <c r="AQ284" i="1"/>
  <c r="AR284" i="1"/>
  <c r="AS284" i="1"/>
  <c r="AT284" i="1"/>
  <c r="AU284" i="1"/>
  <c r="AV284" i="1"/>
  <c r="AW284" i="1"/>
  <c r="AX284" i="1"/>
  <c r="AY284" i="1"/>
  <c r="AZ284" i="1"/>
  <c r="BA284" i="1"/>
  <c r="BB284" i="1"/>
  <c r="BC284" i="1"/>
  <c r="BD284" i="1"/>
  <c r="BE284" i="1"/>
  <c r="BF284" i="1"/>
  <c r="BG284" i="1"/>
  <c r="BH284" i="1"/>
  <c r="J285" i="1"/>
  <c r="K285" i="1"/>
  <c r="L285" i="1"/>
  <c r="M285" i="1"/>
  <c r="N285" i="1"/>
  <c r="O285" i="1"/>
  <c r="P285" i="1"/>
  <c r="Q285" i="1"/>
  <c r="R285" i="1"/>
  <c r="S285" i="1"/>
  <c r="T285" i="1"/>
  <c r="U285" i="1"/>
  <c r="V285" i="1"/>
  <c r="W285" i="1"/>
  <c r="X285" i="1"/>
  <c r="Y285" i="1"/>
  <c r="Z285" i="1"/>
  <c r="AA285" i="1"/>
  <c r="AB285" i="1"/>
  <c r="AC285" i="1"/>
  <c r="AD285" i="1"/>
  <c r="AE285" i="1"/>
  <c r="AF285" i="1"/>
  <c r="AG285" i="1"/>
  <c r="AH285" i="1"/>
  <c r="AI285" i="1"/>
  <c r="AJ285" i="1"/>
  <c r="AK285" i="1"/>
  <c r="AL285" i="1"/>
  <c r="AM285" i="1"/>
  <c r="AN285" i="1"/>
  <c r="AO285" i="1"/>
  <c r="AP285" i="1"/>
  <c r="AQ285" i="1"/>
  <c r="AR285" i="1"/>
  <c r="AS285" i="1"/>
  <c r="AT285" i="1"/>
  <c r="AU285" i="1"/>
  <c r="AV285" i="1"/>
  <c r="AW285" i="1"/>
  <c r="AX285" i="1"/>
  <c r="AY285" i="1"/>
  <c r="AZ285" i="1"/>
  <c r="BA285" i="1"/>
  <c r="BB285" i="1"/>
  <c r="BC285" i="1"/>
  <c r="BD285" i="1"/>
  <c r="BE285" i="1"/>
  <c r="BF285" i="1"/>
  <c r="BG285" i="1"/>
  <c r="BH285" i="1"/>
  <c r="J286" i="1"/>
  <c r="K286" i="1"/>
  <c r="L286" i="1"/>
  <c r="M286" i="1"/>
  <c r="N286" i="1"/>
  <c r="O286" i="1"/>
  <c r="P286" i="1"/>
  <c r="Q286" i="1"/>
  <c r="R286" i="1"/>
  <c r="S286" i="1"/>
  <c r="T286" i="1"/>
  <c r="U286" i="1"/>
  <c r="V286" i="1"/>
  <c r="W286" i="1"/>
  <c r="X286" i="1"/>
  <c r="Y286" i="1"/>
  <c r="Z286" i="1"/>
  <c r="AA286" i="1"/>
  <c r="AB286" i="1"/>
  <c r="AC286" i="1"/>
  <c r="AD286" i="1"/>
  <c r="AE286" i="1"/>
  <c r="AF286" i="1"/>
  <c r="AG286" i="1"/>
  <c r="AH286" i="1"/>
  <c r="AI286" i="1"/>
  <c r="AJ286" i="1"/>
  <c r="AK286" i="1"/>
  <c r="AL286" i="1"/>
  <c r="AM286" i="1"/>
  <c r="AN286" i="1"/>
  <c r="AO286" i="1"/>
  <c r="AP286" i="1"/>
  <c r="AQ286" i="1"/>
  <c r="AR286" i="1"/>
  <c r="AS286" i="1"/>
  <c r="AT286" i="1"/>
  <c r="AU286" i="1"/>
  <c r="AV286" i="1"/>
  <c r="AW286" i="1"/>
  <c r="AX286" i="1"/>
  <c r="AY286" i="1"/>
  <c r="AZ286" i="1"/>
  <c r="BA286" i="1"/>
  <c r="BB286" i="1"/>
  <c r="BC286" i="1"/>
  <c r="BD286" i="1"/>
  <c r="BE286" i="1"/>
  <c r="BF286" i="1"/>
  <c r="BG286" i="1"/>
  <c r="BH286" i="1"/>
  <c r="J287" i="1"/>
  <c r="K287" i="1"/>
  <c r="L287" i="1"/>
  <c r="M287" i="1"/>
  <c r="N287" i="1"/>
  <c r="O287" i="1"/>
  <c r="P287" i="1"/>
  <c r="Q287" i="1"/>
  <c r="R287" i="1"/>
  <c r="S287" i="1"/>
  <c r="T287" i="1"/>
  <c r="U287" i="1"/>
  <c r="V287" i="1"/>
  <c r="W287" i="1"/>
  <c r="X287" i="1"/>
  <c r="Y287" i="1"/>
  <c r="Z287" i="1"/>
  <c r="AA287" i="1"/>
  <c r="AB287" i="1"/>
  <c r="AC287" i="1"/>
  <c r="AD287" i="1"/>
  <c r="AE287" i="1"/>
  <c r="AF287" i="1"/>
  <c r="AG287" i="1"/>
  <c r="AH287" i="1"/>
  <c r="AI287" i="1"/>
  <c r="AJ287" i="1"/>
  <c r="AK287" i="1"/>
  <c r="AL287" i="1"/>
  <c r="AM287" i="1"/>
  <c r="AN287" i="1"/>
  <c r="AO287" i="1"/>
  <c r="AP287" i="1"/>
  <c r="AQ287" i="1"/>
  <c r="AR287" i="1"/>
  <c r="AS287" i="1"/>
  <c r="AT287" i="1"/>
  <c r="AU287" i="1"/>
  <c r="AV287" i="1"/>
  <c r="AW287" i="1"/>
  <c r="AX287" i="1"/>
  <c r="AY287" i="1"/>
  <c r="AZ287" i="1"/>
  <c r="BA287" i="1"/>
  <c r="BB287" i="1"/>
  <c r="BC287" i="1"/>
  <c r="BD287" i="1"/>
  <c r="BE287" i="1"/>
  <c r="BF287" i="1"/>
  <c r="BG287" i="1"/>
  <c r="BH287" i="1"/>
  <c r="J288" i="1"/>
  <c r="K288" i="1"/>
  <c r="L288" i="1"/>
  <c r="M288" i="1"/>
  <c r="N288" i="1"/>
  <c r="O288" i="1"/>
  <c r="P288" i="1"/>
  <c r="Q288" i="1"/>
  <c r="R288" i="1"/>
  <c r="S288" i="1"/>
  <c r="T288" i="1"/>
  <c r="U288" i="1"/>
  <c r="V288" i="1"/>
  <c r="W288" i="1"/>
  <c r="X288" i="1"/>
  <c r="Y288" i="1"/>
  <c r="Z288" i="1"/>
  <c r="AA288" i="1"/>
  <c r="AB288" i="1"/>
  <c r="AC288" i="1"/>
  <c r="AD288" i="1"/>
  <c r="AE288" i="1"/>
  <c r="AF288" i="1"/>
  <c r="AG288" i="1"/>
  <c r="AH288" i="1"/>
  <c r="AI288" i="1"/>
  <c r="AJ288" i="1"/>
  <c r="AK288" i="1"/>
  <c r="AL288" i="1"/>
  <c r="AM288" i="1"/>
  <c r="AN288" i="1"/>
  <c r="AO288" i="1"/>
  <c r="AP288" i="1"/>
  <c r="AQ288" i="1"/>
  <c r="AR288" i="1"/>
  <c r="AS288" i="1"/>
  <c r="AT288" i="1"/>
  <c r="AU288" i="1"/>
  <c r="AV288" i="1"/>
  <c r="AW288" i="1"/>
  <c r="AX288" i="1"/>
  <c r="AY288" i="1"/>
  <c r="AZ288" i="1"/>
  <c r="BA288" i="1"/>
  <c r="BB288" i="1"/>
  <c r="BC288" i="1"/>
  <c r="BD288" i="1"/>
  <c r="BE288" i="1"/>
  <c r="BF288" i="1"/>
  <c r="BG288" i="1"/>
  <c r="BH288" i="1"/>
  <c r="J289" i="1"/>
  <c r="K289" i="1"/>
  <c r="L289" i="1"/>
  <c r="M289" i="1"/>
  <c r="N289" i="1"/>
  <c r="O289" i="1"/>
  <c r="P289" i="1"/>
  <c r="Q289" i="1"/>
  <c r="R289" i="1"/>
  <c r="S289" i="1"/>
  <c r="T289" i="1"/>
  <c r="U289" i="1"/>
  <c r="V289" i="1"/>
  <c r="W289" i="1"/>
  <c r="X289" i="1"/>
  <c r="Y289" i="1"/>
  <c r="Z289" i="1"/>
  <c r="AA289" i="1"/>
  <c r="AB289" i="1"/>
  <c r="AC289" i="1"/>
  <c r="AD289" i="1"/>
  <c r="AE289" i="1"/>
  <c r="AF289" i="1"/>
  <c r="AG289" i="1"/>
  <c r="AH289" i="1"/>
  <c r="AI289" i="1"/>
  <c r="AJ289" i="1"/>
  <c r="AK289" i="1"/>
  <c r="AL289" i="1"/>
  <c r="AM289" i="1"/>
  <c r="AN289" i="1"/>
  <c r="AO289" i="1"/>
  <c r="AP289" i="1"/>
  <c r="AQ289" i="1"/>
  <c r="AR289" i="1"/>
  <c r="AS289" i="1"/>
  <c r="AT289" i="1"/>
  <c r="AU289" i="1"/>
  <c r="AV289" i="1"/>
  <c r="AW289" i="1"/>
  <c r="AX289" i="1"/>
  <c r="AY289" i="1"/>
  <c r="AZ289" i="1"/>
  <c r="BA289" i="1"/>
  <c r="BB289" i="1"/>
  <c r="BC289" i="1"/>
  <c r="BD289" i="1"/>
  <c r="BE289" i="1"/>
  <c r="BF289" i="1"/>
  <c r="BG289" i="1"/>
  <c r="BH289" i="1"/>
  <c r="J290" i="1"/>
  <c r="K290" i="1"/>
  <c r="L290" i="1"/>
  <c r="M290" i="1"/>
  <c r="N290" i="1"/>
  <c r="O290" i="1"/>
  <c r="P290" i="1"/>
  <c r="Q290" i="1"/>
  <c r="R290" i="1"/>
  <c r="S290" i="1"/>
  <c r="T290" i="1"/>
  <c r="U290" i="1"/>
  <c r="V290" i="1"/>
  <c r="W290" i="1"/>
  <c r="X290" i="1"/>
  <c r="Y290" i="1"/>
  <c r="Z290" i="1"/>
  <c r="AA290" i="1"/>
  <c r="AB290" i="1"/>
  <c r="AC290" i="1"/>
  <c r="AD290" i="1"/>
  <c r="AE290" i="1"/>
  <c r="AF290" i="1"/>
  <c r="AG290" i="1"/>
  <c r="AH290" i="1"/>
  <c r="AI290" i="1"/>
  <c r="AJ290" i="1"/>
  <c r="AK290" i="1"/>
  <c r="AL290" i="1"/>
  <c r="AM290" i="1"/>
  <c r="AN290" i="1"/>
  <c r="AO290" i="1"/>
  <c r="AP290" i="1"/>
  <c r="AQ290" i="1"/>
  <c r="AR290" i="1"/>
  <c r="AS290" i="1"/>
  <c r="AT290" i="1"/>
  <c r="AU290" i="1"/>
  <c r="AV290" i="1"/>
  <c r="AW290" i="1"/>
  <c r="AX290" i="1"/>
  <c r="AY290" i="1"/>
  <c r="AZ290" i="1"/>
  <c r="BA290" i="1"/>
  <c r="BB290" i="1"/>
  <c r="BC290" i="1"/>
  <c r="BD290" i="1"/>
  <c r="BE290" i="1"/>
  <c r="BF290" i="1"/>
  <c r="BG290" i="1"/>
  <c r="BH290" i="1"/>
  <c r="J291" i="1"/>
  <c r="K291" i="1"/>
  <c r="L291" i="1"/>
  <c r="M291" i="1"/>
  <c r="N291" i="1"/>
  <c r="O291" i="1"/>
  <c r="P291" i="1"/>
  <c r="Q291" i="1"/>
  <c r="R291" i="1"/>
  <c r="S291" i="1"/>
  <c r="T291" i="1"/>
  <c r="U291" i="1"/>
  <c r="V291" i="1"/>
  <c r="W291" i="1"/>
  <c r="X291" i="1"/>
  <c r="Y291" i="1"/>
  <c r="Z291" i="1"/>
  <c r="AA291" i="1"/>
  <c r="AB291" i="1"/>
  <c r="AC291" i="1"/>
  <c r="AD291" i="1"/>
  <c r="AE291" i="1"/>
  <c r="AF291" i="1"/>
  <c r="AG291" i="1"/>
  <c r="AH291" i="1"/>
  <c r="AI291" i="1"/>
  <c r="AJ291" i="1"/>
  <c r="AK291" i="1"/>
  <c r="AL291" i="1"/>
  <c r="AM291" i="1"/>
  <c r="AN291" i="1"/>
  <c r="AO291" i="1"/>
  <c r="AP291" i="1"/>
  <c r="AQ291" i="1"/>
  <c r="AR291" i="1"/>
  <c r="AS291" i="1"/>
  <c r="AT291" i="1"/>
  <c r="AU291" i="1"/>
  <c r="AV291" i="1"/>
  <c r="AW291" i="1"/>
  <c r="AX291" i="1"/>
  <c r="AY291" i="1"/>
  <c r="AZ291" i="1"/>
  <c r="BA291" i="1"/>
  <c r="BB291" i="1"/>
  <c r="BC291" i="1"/>
  <c r="BD291" i="1"/>
  <c r="BE291" i="1"/>
  <c r="BF291" i="1"/>
  <c r="BG291" i="1"/>
  <c r="BH291" i="1"/>
  <c r="J292" i="1"/>
  <c r="K292" i="1"/>
  <c r="L292" i="1"/>
  <c r="M292" i="1"/>
  <c r="N292" i="1"/>
  <c r="O292" i="1"/>
  <c r="P292" i="1"/>
  <c r="Q292" i="1"/>
  <c r="R292" i="1"/>
  <c r="S292" i="1"/>
  <c r="T292" i="1"/>
  <c r="U292" i="1"/>
  <c r="V292" i="1"/>
  <c r="W292" i="1"/>
  <c r="X292" i="1"/>
  <c r="Y292" i="1"/>
  <c r="Z292" i="1"/>
  <c r="AA292" i="1"/>
  <c r="AB292" i="1"/>
  <c r="AC292" i="1"/>
  <c r="AD292" i="1"/>
  <c r="AE292" i="1"/>
  <c r="AF292" i="1"/>
  <c r="AG292" i="1"/>
  <c r="AH292" i="1"/>
  <c r="AI292" i="1"/>
  <c r="AJ292" i="1"/>
  <c r="AK292" i="1"/>
  <c r="AL292" i="1"/>
  <c r="AM292" i="1"/>
  <c r="AN292" i="1"/>
  <c r="AO292" i="1"/>
  <c r="AP292" i="1"/>
  <c r="AQ292" i="1"/>
  <c r="AR292" i="1"/>
  <c r="AS292" i="1"/>
  <c r="AT292" i="1"/>
  <c r="AU292" i="1"/>
  <c r="AV292" i="1"/>
  <c r="AW292" i="1"/>
  <c r="AX292" i="1"/>
  <c r="AY292" i="1"/>
  <c r="AZ292" i="1"/>
  <c r="BA292" i="1"/>
  <c r="BB292" i="1"/>
  <c r="BC292" i="1"/>
  <c r="BD292" i="1"/>
  <c r="BE292" i="1"/>
  <c r="BF292" i="1"/>
  <c r="BG292" i="1"/>
  <c r="BH292" i="1"/>
  <c r="J293" i="1"/>
  <c r="K293" i="1"/>
  <c r="L293" i="1"/>
  <c r="M293" i="1"/>
  <c r="N293" i="1"/>
  <c r="O293" i="1"/>
  <c r="P293" i="1"/>
  <c r="Q293" i="1"/>
  <c r="R293" i="1"/>
  <c r="S293" i="1"/>
  <c r="T293" i="1"/>
  <c r="U293" i="1"/>
  <c r="V293" i="1"/>
  <c r="W293" i="1"/>
  <c r="X293" i="1"/>
  <c r="Y293" i="1"/>
  <c r="Z293" i="1"/>
  <c r="AA293" i="1"/>
  <c r="AB293" i="1"/>
  <c r="AC293" i="1"/>
  <c r="AD293" i="1"/>
  <c r="AE293" i="1"/>
  <c r="AF293" i="1"/>
  <c r="AG293" i="1"/>
  <c r="AH293" i="1"/>
  <c r="AI293" i="1"/>
  <c r="AJ293" i="1"/>
  <c r="AK293" i="1"/>
  <c r="AL293" i="1"/>
  <c r="AM293" i="1"/>
  <c r="AN293" i="1"/>
  <c r="AO293" i="1"/>
  <c r="AP293" i="1"/>
  <c r="AQ293" i="1"/>
  <c r="AR293" i="1"/>
  <c r="AS293" i="1"/>
  <c r="AT293" i="1"/>
  <c r="AU293" i="1"/>
  <c r="AV293" i="1"/>
  <c r="AW293" i="1"/>
  <c r="AX293" i="1"/>
  <c r="AY293" i="1"/>
  <c r="AZ293" i="1"/>
  <c r="BA293" i="1"/>
  <c r="BB293" i="1"/>
  <c r="BC293" i="1"/>
  <c r="BD293" i="1"/>
  <c r="BE293" i="1"/>
  <c r="BF293" i="1"/>
  <c r="BG293" i="1"/>
  <c r="BH293" i="1"/>
  <c r="J294" i="1"/>
  <c r="K294" i="1"/>
  <c r="L294" i="1"/>
  <c r="M294" i="1"/>
  <c r="N294" i="1"/>
  <c r="O294" i="1"/>
  <c r="P294" i="1"/>
  <c r="Q294" i="1"/>
  <c r="R294" i="1"/>
  <c r="S294" i="1"/>
  <c r="T294" i="1"/>
  <c r="U294" i="1"/>
  <c r="V294" i="1"/>
  <c r="W294" i="1"/>
  <c r="X294" i="1"/>
  <c r="Y294" i="1"/>
  <c r="Z294" i="1"/>
  <c r="AA294" i="1"/>
  <c r="AB294" i="1"/>
  <c r="AC294" i="1"/>
  <c r="AD294" i="1"/>
  <c r="AE294" i="1"/>
  <c r="AF294" i="1"/>
  <c r="AG294" i="1"/>
  <c r="AH294" i="1"/>
  <c r="AI294" i="1"/>
  <c r="AJ294" i="1"/>
  <c r="AK294" i="1"/>
  <c r="AL294" i="1"/>
  <c r="AM294" i="1"/>
  <c r="AN294" i="1"/>
  <c r="AO294" i="1"/>
  <c r="AP294" i="1"/>
  <c r="AQ294" i="1"/>
  <c r="AR294" i="1"/>
  <c r="AS294" i="1"/>
  <c r="AT294" i="1"/>
  <c r="AU294" i="1"/>
  <c r="AV294" i="1"/>
  <c r="AW294" i="1"/>
  <c r="AX294" i="1"/>
  <c r="AY294" i="1"/>
  <c r="AZ294" i="1"/>
  <c r="BA294" i="1"/>
  <c r="BB294" i="1"/>
  <c r="BC294" i="1"/>
  <c r="BD294" i="1"/>
  <c r="BE294" i="1"/>
  <c r="BF294" i="1"/>
  <c r="BG294" i="1"/>
  <c r="BH294" i="1"/>
  <c r="J295" i="1"/>
  <c r="K295" i="1"/>
  <c r="L295" i="1"/>
  <c r="M295" i="1"/>
  <c r="N295" i="1"/>
  <c r="O295" i="1"/>
  <c r="P295" i="1"/>
  <c r="Q295" i="1"/>
  <c r="R295" i="1"/>
  <c r="S295" i="1"/>
  <c r="T295" i="1"/>
  <c r="U295" i="1"/>
  <c r="V295" i="1"/>
  <c r="W295" i="1"/>
  <c r="X295" i="1"/>
  <c r="Y295" i="1"/>
  <c r="Z295" i="1"/>
  <c r="AA295" i="1"/>
  <c r="AB295" i="1"/>
  <c r="AC295" i="1"/>
  <c r="AD295" i="1"/>
  <c r="AE295" i="1"/>
  <c r="AF295" i="1"/>
  <c r="AG295" i="1"/>
  <c r="AH295" i="1"/>
  <c r="AI295" i="1"/>
  <c r="AJ295" i="1"/>
  <c r="AK295" i="1"/>
  <c r="AL295" i="1"/>
  <c r="AM295" i="1"/>
  <c r="AN295" i="1"/>
  <c r="AO295" i="1"/>
  <c r="AP295" i="1"/>
  <c r="AQ295" i="1"/>
  <c r="AR295" i="1"/>
  <c r="AS295" i="1"/>
  <c r="AT295" i="1"/>
  <c r="AU295" i="1"/>
  <c r="AV295" i="1"/>
  <c r="AW295" i="1"/>
  <c r="AX295" i="1"/>
  <c r="AY295" i="1"/>
  <c r="AZ295" i="1"/>
  <c r="BA295" i="1"/>
  <c r="BB295" i="1"/>
  <c r="BC295" i="1"/>
  <c r="BD295" i="1"/>
  <c r="BE295" i="1"/>
  <c r="BF295" i="1"/>
  <c r="BG295" i="1"/>
  <c r="BH295" i="1"/>
  <c r="J296" i="1"/>
  <c r="K296" i="1"/>
  <c r="L296" i="1"/>
  <c r="M296" i="1"/>
  <c r="N296" i="1"/>
  <c r="O296" i="1"/>
  <c r="P296" i="1"/>
  <c r="Q296" i="1"/>
  <c r="R296" i="1"/>
  <c r="S296" i="1"/>
  <c r="T296" i="1"/>
  <c r="U296" i="1"/>
  <c r="V296" i="1"/>
  <c r="W296" i="1"/>
  <c r="X296" i="1"/>
  <c r="Y296" i="1"/>
  <c r="Z296" i="1"/>
  <c r="AA296" i="1"/>
  <c r="AB296" i="1"/>
  <c r="AC296" i="1"/>
  <c r="AD296" i="1"/>
  <c r="AE296" i="1"/>
  <c r="AF296" i="1"/>
  <c r="AG296" i="1"/>
  <c r="AH296" i="1"/>
  <c r="AI296" i="1"/>
  <c r="AJ296" i="1"/>
  <c r="AK296" i="1"/>
  <c r="AL296" i="1"/>
  <c r="AM296" i="1"/>
  <c r="AN296" i="1"/>
  <c r="AO296" i="1"/>
  <c r="AP296" i="1"/>
  <c r="AQ296" i="1"/>
  <c r="AR296" i="1"/>
  <c r="AS296" i="1"/>
  <c r="AT296" i="1"/>
  <c r="AU296" i="1"/>
  <c r="AV296" i="1"/>
  <c r="AW296" i="1"/>
  <c r="AX296" i="1"/>
  <c r="AY296" i="1"/>
  <c r="AZ296" i="1"/>
  <c r="BA296" i="1"/>
  <c r="BB296" i="1"/>
  <c r="BC296" i="1"/>
  <c r="BD296" i="1"/>
  <c r="BE296" i="1"/>
  <c r="BF296" i="1"/>
  <c r="BG296" i="1"/>
  <c r="BH296" i="1"/>
  <c r="J297" i="1"/>
  <c r="K297" i="1"/>
  <c r="L297" i="1"/>
  <c r="M297" i="1"/>
  <c r="N297" i="1"/>
  <c r="O297" i="1"/>
  <c r="P297" i="1"/>
  <c r="Q297" i="1"/>
  <c r="R297" i="1"/>
  <c r="S297" i="1"/>
  <c r="T297" i="1"/>
  <c r="U297" i="1"/>
  <c r="V297" i="1"/>
  <c r="W297" i="1"/>
  <c r="X297" i="1"/>
  <c r="Y297" i="1"/>
  <c r="Z297" i="1"/>
  <c r="AA297" i="1"/>
  <c r="AB297" i="1"/>
  <c r="AC297" i="1"/>
  <c r="AD297" i="1"/>
  <c r="AE297" i="1"/>
  <c r="AF297" i="1"/>
  <c r="AG297" i="1"/>
  <c r="AH297" i="1"/>
  <c r="AI297" i="1"/>
  <c r="AJ297" i="1"/>
  <c r="AK297" i="1"/>
  <c r="AL297" i="1"/>
  <c r="AM297" i="1"/>
  <c r="AN297" i="1"/>
  <c r="AO297" i="1"/>
  <c r="AP297" i="1"/>
  <c r="AQ297" i="1"/>
  <c r="AR297" i="1"/>
  <c r="AS297" i="1"/>
  <c r="AT297" i="1"/>
  <c r="AU297" i="1"/>
  <c r="AV297" i="1"/>
  <c r="AW297" i="1"/>
  <c r="AX297" i="1"/>
  <c r="AY297" i="1"/>
  <c r="AZ297" i="1"/>
  <c r="BA297" i="1"/>
  <c r="BB297" i="1"/>
  <c r="BC297" i="1"/>
  <c r="BD297" i="1"/>
  <c r="BE297" i="1"/>
  <c r="BF297" i="1"/>
  <c r="BG297" i="1"/>
  <c r="BH297" i="1"/>
  <c r="J298" i="1"/>
  <c r="K298" i="1"/>
  <c r="L298" i="1"/>
  <c r="M298" i="1"/>
  <c r="N298" i="1"/>
  <c r="O298" i="1"/>
  <c r="P298" i="1"/>
  <c r="Q298" i="1"/>
  <c r="R298" i="1"/>
  <c r="S298" i="1"/>
  <c r="T298" i="1"/>
  <c r="U298" i="1"/>
  <c r="V298" i="1"/>
  <c r="W298" i="1"/>
  <c r="X298" i="1"/>
  <c r="Y298" i="1"/>
  <c r="Z298" i="1"/>
  <c r="AA298" i="1"/>
  <c r="AB298" i="1"/>
  <c r="AC298" i="1"/>
  <c r="AD298" i="1"/>
  <c r="AE298" i="1"/>
  <c r="AF298" i="1"/>
  <c r="AG298" i="1"/>
  <c r="AH298" i="1"/>
  <c r="AI298" i="1"/>
  <c r="AJ298" i="1"/>
  <c r="AK298" i="1"/>
  <c r="AL298" i="1"/>
  <c r="AM298" i="1"/>
  <c r="AN298" i="1"/>
  <c r="AO298" i="1"/>
  <c r="AP298" i="1"/>
  <c r="AQ298" i="1"/>
  <c r="AR298" i="1"/>
  <c r="AS298" i="1"/>
  <c r="AT298" i="1"/>
  <c r="AU298" i="1"/>
  <c r="AV298" i="1"/>
  <c r="AW298" i="1"/>
  <c r="AX298" i="1"/>
  <c r="AY298" i="1"/>
  <c r="AZ298" i="1"/>
  <c r="BA298" i="1"/>
  <c r="BB298" i="1"/>
  <c r="BC298" i="1"/>
  <c r="BD298" i="1"/>
  <c r="BE298" i="1"/>
  <c r="BF298" i="1"/>
  <c r="BG298" i="1"/>
  <c r="BH298" i="1"/>
  <c r="J299" i="1"/>
  <c r="K299" i="1"/>
  <c r="L299" i="1"/>
  <c r="M299" i="1"/>
  <c r="N299" i="1"/>
  <c r="O299" i="1"/>
  <c r="P299" i="1"/>
  <c r="Q299" i="1"/>
  <c r="R299" i="1"/>
  <c r="S299" i="1"/>
  <c r="T299" i="1"/>
  <c r="U299" i="1"/>
  <c r="V299" i="1"/>
  <c r="W299" i="1"/>
  <c r="X299" i="1"/>
  <c r="Y299" i="1"/>
  <c r="Z299" i="1"/>
  <c r="AA299" i="1"/>
  <c r="AB299" i="1"/>
  <c r="AC299" i="1"/>
  <c r="AD299" i="1"/>
  <c r="AE299" i="1"/>
  <c r="AF299" i="1"/>
  <c r="AG299" i="1"/>
  <c r="AH299" i="1"/>
  <c r="AI299" i="1"/>
  <c r="AJ299" i="1"/>
  <c r="AK299" i="1"/>
  <c r="AL299" i="1"/>
  <c r="AM299" i="1"/>
  <c r="AN299" i="1"/>
  <c r="AO299" i="1"/>
  <c r="AP299" i="1"/>
  <c r="AQ299" i="1"/>
  <c r="AR299" i="1"/>
  <c r="AS299" i="1"/>
  <c r="AT299" i="1"/>
  <c r="AU299" i="1"/>
  <c r="AV299" i="1"/>
  <c r="AW299" i="1"/>
  <c r="AX299" i="1"/>
  <c r="AY299" i="1"/>
  <c r="AZ299" i="1"/>
  <c r="BA299" i="1"/>
  <c r="BB299" i="1"/>
  <c r="BC299" i="1"/>
  <c r="BD299" i="1"/>
  <c r="BE299" i="1"/>
  <c r="BF299" i="1"/>
  <c r="BG299" i="1"/>
  <c r="BH299" i="1"/>
  <c r="J300" i="1"/>
  <c r="K300" i="1"/>
  <c r="L300" i="1"/>
  <c r="M300" i="1"/>
  <c r="N300" i="1"/>
  <c r="O300" i="1"/>
  <c r="P300" i="1"/>
  <c r="Q300" i="1"/>
  <c r="R300" i="1"/>
  <c r="S300" i="1"/>
  <c r="T300" i="1"/>
  <c r="U300" i="1"/>
  <c r="V300" i="1"/>
  <c r="W300" i="1"/>
  <c r="X300" i="1"/>
  <c r="Y300" i="1"/>
  <c r="Z300" i="1"/>
  <c r="AA300" i="1"/>
  <c r="AB300" i="1"/>
  <c r="AC300" i="1"/>
  <c r="AD300" i="1"/>
  <c r="AE300" i="1"/>
  <c r="AF300" i="1"/>
  <c r="AG300" i="1"/>
  <c r="AH300" i="1"/>
  <c r="AI300" i="1"/>
  <c r="AJ300" i="1"/>
  <c r="AK300" i="1"/>
  <c r="AL300" i="1"/>
  <c r="AM300" i="1"/>
  <c r="AN300" i="1"/>
  <c r="AO300" i="1"/>
  <c r="AP300" i="1"/>
  <c r="AQ300" i="1"/>
  <c r="AR300" i="1"/>
  <c r="AS300" i="1"/>
  <c r="AT300" i="1"/>
  <c r="AU300" i="1"/>
  <c r="AV300" i="1"/>
  <c r="AW300" i="1"/>
  <c r="AX300" i="1"/>
  <c r="AY300" i="1"/>
  <c r="AZ300" i="1"/>
  <c r="BA300" i="1"/>
  <c r="BB300" i="1"/>
  <c r="BC300" i="1"/>
  <c r="BD300" i="1"/>
  <c r="BE300" i="1"/>
  <c r="BF300" i="1"/>
  <c r="BG300" i="1"/>
  <c r="BH300" i="1"/>
  <c r="J301" i="1"/>
  <c r="K301" i="1"/>
  <c r="L301" i="1"/>
  <c r="M301" i="1"/>
  <c r="N301" i="1"/>
  <c r="O301" i="1"/>
  <c r="P301" i="1"/>
  <c r="Q301" i="1"/>
  <c r="R301" i="1"/>
  <c r="S301" i="1"/>
  <c r="T301" i="1"/>
  <c r="U301" i="1"/>
  <c r="V301" i="1"/>
  <c r="W301" i="1"/>
  <c r="X301" i="1"/>
  <c r="Y301" i="1"/>
  <c r="Z301" i="1"/>
  <c r="AA301" i="1"/>
  <c r="AB301" i="1"/>
  <c r="AC301" i="1"/>
  <c r="AD301" i="1"/>
  <c r="AE301" i="1"/>
  <c r="AF301" i="1"/>
  <c r="AG301" i="1"/>
  <c r="AH301" i="1"/>
  <c r="AI301" i="1"/>
  <c r="AJ301" i="1"/>
  <c r="AK301" i="1"/>
  <c r="AL301" i="1"/>
  <c r="AM301" i="1"/>
  <c r="AN301" i="1"/>
  <c r="AO301" i="1"/>
  <c r="AP301" i="1"/>
  <c r="AQ301" i="1"/>
  <c r="AR301" i="1"/>
  <c r="AS301" i="1"/>
  <c r="AT301" i="1"/>
  <c r="AU301" i="1"/>
  <c r="AV301" i="1"/>
  <c r="AW301" i="1"/>
  <c r="AX301" i="1"/>
  <c r="AY301" i="1"/>
  <c r="AZ301" i="1"/>
  <c r="BA301" i="1"/>
  <c r="BB301" i="1"/>
  <c r="BC301" i="1"/>
  <c r="BD301" i="1"/>
  <c r="BE301" i="1"/>
  <c r="BF301" i="1"/>
  <c r="BG301" i="1"/>
  <c r="BH301" i="1"/>
  <c r="J302" i="1"/>
  <c r="K302" i="1"/>
  <c r="L302" i="1"/>
  <c r="M302" i="1"/>
  <c r="N302" i="1"/>
  <c r="O302" i="1"/>
  <c r="P302" i="1"/>
  <c r="Q302" i="1"/>
  <c r="R302" i="1"/>
  <c r="S302" i="1"/>
  <c r="T302" i="1"/>
  <c r="U302" i="1"/>
  <c r="V302" i="1"/>
  <c r="W302" i="1"/>
  <c r="X302" i="1"/>
  <c r="Y302" i="1"/>
  <c r="Z302" i="1"/>
  <c r="AA302" i="1"/>
  <c r="AB302" i="1"/>
  <c r="AC302" i="1"/>
  <c r="AD302" i="1"/>
  <c r="AE302" i="1"/>
  <c r="AF302" i="1"/>
  <c r="AG302" i="1"/>
  <c r="AH302" i="1"/>
  <c r="AI302" i="1"/>
  <c r="AJ302" i="1"/>
  <c r="AK302" i="1"/>
  <c r="AL302" i="1"/>
  <c r="AM302" i="1"/>
  <c r="AN302" i="1"/>
  <c r="AO302" i="1"/>
  <c r="AP302" i="1"/>
  <c r="AQ302" i="1"/>
  <c r="AR302" i="1"/>
  <c r="AS302" i="1"/>
  <c r="AT302" i="1"/>
  <c r="AU302" i="1"/>
  <c r="AV302" i="1"/>
  <c r="AW302" i="1"/>
  <c r="AX302" i="1"/>
  <c r="AY302" i="1"/>
  <c r="AZ302" i="1"/>
  <c r="BA302" i="1"/>
  <c r="BB302" i="1"/>
  <c r="BC302" i="1"/>
  <c r="BD302" i="1"/>
  <c r="BE302" i="1"/>
  <c r="BF302" i="1"/>
  <c r="BG302" i="1"/>
  <c r="BH302" i="1"/>
  <c r="J303" i="1"/>
  <c r="K303" i="1"/>
  <c r="L303" i="1"/>
  <c r="M303" i="1"/>
  <c r="N303" i="1"/>
  <c r="O303" i="1"/>
  <c r="P303" i="1"/>
  <c r="Q303" i="1"/>
  <c r="R303" i="1"/>
  <c r="S303" i="1"/>
  <c r="T303" i="1"/>
  <c r="U303" i="1"/>
  <c r="V303" i="1"/>
  <c r="W303" i="1"/>
  <c r="X303" i="1"/>
  <c r="Y303" i="1"/>
  <c r="Z303" i="1"/>
  <c r="AA303" i="1"/>
  <c r="AB303" i="1"/>
  <c r="AC303" i="1"/>
  <c r="AD303" i="1"/>
  <c r="AE303" i="1"/>
  <c r="AF303" i="1"/>
  <c r="AG303" i="1"/>
  <c r="AH303" i="1"/>
  <c r="AI303" i="1"/>
  <c r="AJ303" i="1"/>
  <c r="AK303" i="1"/>
  <c r="AL303" i="1"/>
  <c r="AM303" i="1"/>
  <c r="AN303" i="1"/>
  <c r="AO303" i="1"/>
  <c r="AP303" i="1"/>
  <c r="AQ303" i="1"/>
  <c r="AR303" i="1"/>
  <c r="AS303" i="1"/>
  <c r="AT303" i="1"/>
  <c r="AU303" i="1"/>
  <c r="AV303" i="1"/>
  <c r="AW303" i="1"/>
  <c r="AX303" i="1"/>
  <c r="AY303" i="1"/>
  <c r="AZ303" i="1"/>
  <c r="BA303" i="1"/>
  <c r="BB303" i="1"/>
  <c r="BC303" i="1"/>
  <c r="BD303" i="1"/>
  <c r="BE303" i="1"/>
  <c r="BF303" i="1"/>
  <c r="BG303" i="1"/>
  <c r="BH303" i="1"/>
  <c r="J304" i="1"/>
  <c r="K304" i="1"/>
  <c r="L304" i="1"/>
  <c r="M304" i="1"/>
  <c r="N304" i="1"/>
  <c r="O304" i="1"/>
  <c r="P304" i="1"/>
  <c r="Q304" i="1"/>
  <c r="R304" i="1"/>
  <c r="S304" i="1"/>
  <c r="T304" i="1"/>
  <c r="U304" i="1"/>
  <c r="V304" i="1"/>
  <c r="W304" i="1"/>
  <c r="X304" i="1"/>
  <c r="Y304" i="1"/>
  <c r="Z304" i="1"/>
  <c r="AA304" i="1"/>
  <c r="AB304" i="1"/>
  <c r="AC304" i="1"/>
  <c r="AD304" i="1"/>
  <c r="AE304" i="1"/>
  <c r="AF304" i="1"/>
  <c r="AG304" i="1"/>
  <c r="AH304" i="1"/>
  <c r="AI304" i="1"/>
  <c r="AJ304" i="1"/>
  <c r="AK304" i="1"/>
  <c r="AL304" i="1"/>
  <c r="AM304" i="1"/>
  <c r="AN304" i="1"/>
  <c r="AO304" i="1"/>
  <c r="AP304" i="1"/>
  <c r="AQ304" i="1"/>
  <c r="AR304" i="1"/>
  <c r="AS304" i="1"/>
  <c r="AT304" i="1"/>
  <c r="AU304" i="1"/>
  <c r="AV304" i="1"/>
  <c r="AW304" i="1"/>
  <c r="AX304" i="1"/>
  <c r="AY304" i="1"/>
  <c r="AZ304" i="1"/>
  <c r="BA304" i="1"/>
  <c r="BB304" i="1"/>
  <c r="BC304" i="1"/>
  <c r="BD304" i="1"/>
  <c r="BE304" i="1"/>
  <c r="BF304" i="1"/>
  <c r="BG304" i="1"/>
  <c r="BH304" i="1"/>
  <c r="J305" i="1"/>
  <c r="K305" i="1"/>
  <c r="L305" i="1"/>
  <c r="M305" i="1"/>
  <c r="N305" i="1"/>
  <c r="O305" i="1"/>
  <c r="P305" i="1"/>
  <c r="Q305" i="1"/>
  <c r="R305" i="1"/>
  <c r="S305" i="1"/>
  <c r="T305" i="1"/>
  <c r="U305" i="1"/>
  <c r="V305" i="1"/>
  <c r="W305" i="1"/>
  <c r="X305" i="1"/>
  <c r="Y305" i="1"/>
  <c r="Z305" i="1"/>
  <c r="AA305" i="1"/>
  <c r="AB305" i="1"/>
  <c r="AC305" i="1"/>
  <c r="AD305" i="1"/>
  <c r="AE305" i="1"/>
  <c r="AF305" i="1"/>
  <c r="AG305" i="1"/>
  <c r="AH305" i="1"/>
  <c r="AI305" i="1"/>
  <c r="AJ305" i="1"/>
  <c r="AK305" i="1"/>
  <c r="AL305" i="1"/>
  <c r="AM305" i="1"/>
  <c r="AN305" i="1"/>
  <c r="AO305" i="1"/>
  <c r="AP305" i="1"/>
  <c r="AQ305" i="1"/>
  <c r="AR305" i="1"/>
  <c r="AS305" i="1"/>
  <c r="AT305" i="1"/>
  <c r="AU305" i="1"/>
  <c r="AV305" i="1"/>
  <c r="AW305" i="1"/>
  <c r="AX305" i="1"/>
  <c r="AY305" i="1"/>
  <c r="AZ305" i="1"/>
  <c r="BA305" i="1"/>
  <c r="BB305" i="1"/>
  <c r="BC305" i="1"/>
  <c r="BD305" i="1"/>
  <c r="BE305" i="1"/>
  <c r="BF305" i="1"/>
  <c r="BG305" i="1"/>
  <c r="BH305" i="1"/>
  <c r="J306" i="1"/>
  <c r="K306" i="1"/>
  <c r="L306" i="1"/>
  <c r="M306" i="1"/>
  <c r="N306" i="1"/>
  <c r="O306" i="1"/>
  <c r="P306" i="1"/>
  <c r="Q306" i="1"/>
  <c r="R306" i="1"/>
  <c r="S306" i="1"/>
  <c r="T306" i="1"/>
  <c r="U306" i="1"/>
  <c r="V306" i="1"/>
  <c r="W306" i="1"/>
  <c r="X306" i="1"/>
  <c r="Y306" i="1"/>
  <c r="Z306" i="1"/>
  <c r="AA306" i="1"/>
  <c r="AB306" i="1"/>
  <c r="AC306" i="1"/>
  <c r="AD306" i="1"/>
  <c r="AE306" i="1"/>
  <c r="AF306" i="1"/>
  <c r="AG306" i="1"/>
  <c r="AH306" i="1"/>
  <c r="AI306" i="1"/>
  <c r="AJ306" i="1"/>
  <c r="AK306" i="1"/>
  <c r="AL306" i="1"/>
  <c r="AM306" i="1"/>
  <c r="AN306" i="1"/>
  <c r="AO306" i="1"/>
  <c r="AP306" i="1"/>
  <c r="AQ306" i="1"/>
  <c r="AR306" i="1"/>
  <c r="AS306" i="1"/>
  <c r="AT306" i="1"/>
  <c r="AU306" i="1"/>
  <c r="AV306" i="1"/>
  <c r="AW306" i="1"/>
  <c r="AX306" i="1"/>
  <c r="AY306" i="1"/>
  <c r="AZ306" i="1"/>
  <c r="BA306" i="1"/>
  <c r="BB306" i="1"/>
  <c r="BC306" i="1"/>
  <c r="BD306" i="1"/>
  <c r="BE306" i="1"/>
  <c r="BF306" i="1"/>
  <c r="BG306" i="1"/>
  <c r="BH306" i="1"/>
  <c r="J307" i="1"/>
  <c r="K307" i="1"/>
  <c r="L307" i="1"/>
  <c r="M307" i="1"/>
  <c r="N307" i="1"/>
  <c r="O307" i="1"/>
  <c r="P307" i="1"/>
  <c r="Q307" i="1"/>
  <c r="R307" i="1"/>
  <c r="S307" i="1"/>
  <c r="T307" i="1"/>
  <c r="U307" i="1"/>
  <c r="V307" i="1"/>
  <c r="W307" i="1"/>
  <c r="X307" i="1"/>
  <c r="Y307" i="1"/>
  <c r="Z307" i="1"/>
  <c r="AA307" i="1"/>
  <c r="AB307" i="1"/>
  <c r="AC307" i="1"/>
  <c r="AD307" i="1"/>
  <c r="AE307" i="1"/>
  <c r="AF307" i="1"/>
  <c r="AG307" i="1"/>
  <c r="AH307" i="1"/>
  <c r="AI307" i="1"/>
  <c r="AJ307" i="1"/>
  <c r="AK307" i="1"/>
  <c r="AL307" i="1"/>
  <c r="AM307" i="1"/>
  <c r="AN307" i="1"/>
  <c r="AO307" i="1"/>
  <c r="AP307" i="1"/>
  <c r="AQ307" i="1"/>
  <c r="AR307" i="1"/>
  <c r="AS307" i="1"/>
  <c r="AT307" i="1"/>
  <c r="AU307" i="1"/>
  <c r="AV307" i="1"/>
  <c r="AW307" i="1"/>
  <c r="AX307" i="1"/>
  <c r="AY307" i="1"/>
  <c r="AZ307" i="1"/>
  <c r="BA307" i="1"/>
  <c r="BB307" i="1"/>
  <c r="BC307" i="1"/>
  <c r="BD307" i="1"/>
  <c r="BE307" i="1"/>
  <c r="BF307" i="1"/>
  <c r="BG307" i="1"/>
  <c r="BH307" i="1"/>
  <c r="J308" i="1"/>
  <c r="K308" i="1"/>
  <c r="L308" i="1"/>
  <c r="M308" i="1"/>
  <c r="N308" i="1"/>
  <c r="O308" i="1"/>
  <c r="P308" i="1"/>
  <c r="Q308" i="1"/>
  <c r="R308" i="1"/>
  <c r="S308" i="1"/>
  <c r="T308" i="1"/>
  <c r="U308" i="1"/>
  <c r="V308" i="1"/>
  <c r="W308" i="1"/>
  <c r="X308" i="1"/>
  <c r="Y308" i="1"/>
  <c r="Z308" i="1"/>
  <c r="AA308" i="1"/>
  <c r="AB308" i="1"/>
  <c r="AC308" i="1"/>
  <c r="AD308" i="1"/>
  <c r="AE308" i="1"/>
  <c r="AF308" i="1"/>
  <c r="AG308" i="1"/>
  <c r="AH308" i="1"/>
  <c r="AI308" i="1"/>
  <c r="AJ308" i="1"/>
  <c r="AK308" i="1"/>
  <c r="AL308" i="1"/>
  <c r="AM308" i="1"/>
  <c r="AN308" i="1"/>
  <c r="AO308" i="1"/>
  <c r="AP308" i="1"/>
  <c r="AQ308" i="1"/>
  <c r="AR308" i="1"/>
  <c r="AS308" i="1"/>
  <c r="AT308" i="1"/>
  <c r="AU308" i="1"/>
  <c r="AV308" i="1"/>
  <c r="AW308" i="1"/>
  <c r="AX308" i="1"/>
  <c r="AY308" i="1"/>
  <c r="AZ308" i="1"/>
  <c r="BA308" i="1"/>
  <c r="BB308" i="1"/>
  <c r="BC308" i="1"/>
  <c r="BD308" i="1"/>
  <c r="BE308" i="1"/>
  <c r="BF308" i="1"/>
  <c r="BG308" i="1"/>
  <c r="BH308" i="1"/>
  <c r="J309" i="1"/>
  <c r="K309" i="1"/>
  <c r="L309" i="1"/>
  <c r="M309" i="1"/>
  <c r="N309" i="1"/>
  <c r="O309" i="1"/>
  <c r="P309" i="1"/>
  <c r="Q309" i="1"/>
  <c r="R309" i="1"/>
  <c r="S309" i="1"/>
  <c r="T309" i="1"/>
  <c r="U309" i="1"/>
  <c r="V309" i="1"/>
  <c r="W309" i="1"/>
  <c r="X309" i="1"/>
  <c r="Y309" i="1"/>
  <c r="Z309" i="1"/>
  <c r="AA309" i="1"/>
  <c r="AB309" i="1"/>
  <c r="AC309" i="1"/>
  <c r="AD309" i="1"/>
  <c r="AE309" i="1"/>
  <c r="AF309" i="1"/>
  <c r="AG309" i="1"/>
  <c r="AH309" i="1"/>
  <c r="AI309" i="1"/>
  <c r="AJ309" i="1"/>
  <c r="AK309" i="1"/>
  <c r="AL309" i="1"/>
  <c r="AM309" i="1"/>
  <c r="AN309" i="1"/>
  <c r="AO309" i="1"/>
  <c r="AP309" i="1"/>
  <c r="AQ309" i="1"/>
  <c r="AR309" i="1"/>
  <c r="AS309" i="1"/>
  <c r="AT309" i="1"/>
  <c r="AU309" i="1"/>
  <c r="AV309" i="1"/>
  <c r="AW309" i="1"/>
  <c r="AX309" i="1"/>
  <c r="AY309" i="1"/>
  <c r="AZ309" i="1"/>
  <c r="BA309" i="1"/>
  <c r="BB309" i="1"/>
  <c r="BC309" i="1"/>
  <c r="BD309" i="1"/>
  <c r="BE309" i="1"/>
  <c r="BF309" i="1"/>
  <c r="BG309" i="1"/>
  <c r="BH309" i="1"/>
  <c r="J310" i="1"/>
  <c r="K310" i="1"/>
  <c r="L310" i="1"/>
  <c r="M310" i="1"/>
  <c r="N310" i="1"/>
  <c r="O310" i="1"/>
  <c r="P310" i="1"/>
  <c r="Q310" i="1"/>
  <c r="R310" i="1"/>
  <c r="S310" i="1"/>
  <c r="T310" i="1"/>
  <c r="U310" i="1"/>
  <c r="V310" i="1"/>
  <c r="W310" i="1"/>
  <c r="X310" i="1"/>
  <c r="Y310" i="1"/>
  <c r="Z310" i="1"/>
  <c r="AA310" i="1"/>
  <c r="AB310" i="1"/>
  <c r="AC310" i="1"/>
  <c r="AD310" i="1"/>
  <c r="AE310" i="1"/>
  <c r="AF310" i="1"/>
  <c r="AG310" i="1"/>
  <c r="AH310" i="1"/>
  <c r="AI310" i="1"/>
  <c r="AJ310" i="1"/>
  <c r="AK310" i="1"/>
  <c r="AL310" i="1"/>
  <c r="AM310" i="1"/>
  <c r="AN310" i="1"/>
  <c r="AO310" i="1"/>
  <c r="AP310" i="1"/>
  <c r="AQ310" i="1"/>
  <c r="AR310" i="1"/>
  <c r="AS310" i="1"/>
  <c r="AT310" i="1"/>
  <c r="AU310" i="1"/>
  <c r="AV310" i="1"/>
  <c r="AW310" i="1"/>
  <c r="AX310" i="1"/>
  <c r="AY310" i="1"/>
  <c r="AZ310" i="1"/>
  <c r="BA310" i="1"/>
  <c r="BB310" i="1"/>
  <c r="BC310" i="1"/>
  <c r="BD310" i="1"/>
  <c r="BE310" i="1"/>
  <c r="BF310" i="1"/>
  <c r="BG310" i="1"/>
  <c r="BH310" i="1"/>
  <c r="J311" i="1"/>
  <c r="K311" i="1"/>
  <c r="L311" i="1"/>
  <c r="M311" i="1"/>
  <c r="N311" i="1"/>
  <c r="O311" i="1"/>
  <c r="P311" i="1"/>
  <c r="Q311" i="1"/>
  <c r="R311" i="1"/>
  <c r="S311" i="1"/>
  <c r="T311" i="1"/>
  <c r="U311" i="1"/>
  <c r="V311" i="1"/>
  <c r="W311" i="1"/>
  <c r="X311" i="1"/>
  <c r="Y311" i="1"/>
  <c r="Z311" i="1"/>
  <c r="AA311" i="1"/>
  <c r="AB311" i="1"/>
  <c r="AC311" i="1"/>
  <c r="AD311" i="1"/>
  <c r="AE311" i="1"/>
  <c r="AF311" i="1"/>
  <c r="AG311" i="1"/>
  <c r="AH311" i="1"/>
  <c r="AI311" i="1"/>
  <c r="AJ311" i="1"/>
  <c r="AK311" i="1"/>
  <c r="AL311" i="1"/>
  <c r="AM311" i="1"/>
  <c r="AN311" i="1"/>
  <c r="AO311" i="1"/>
  <c r="AP311" i="1"/>
  <c r="AQ311" i="1"/>
  <c r="AR311" i="1"/>
  <c r="AS311" i="1"/>
  <c r="AT311" i="1"/>
  <c r="AU311" i="1"/>
  <c r="AV311" i="1"/>
  <c r="AW311" i="1"/>
  <c r="AX311" i="1"/>
  <c r="AY311" i="1"/>
  <c r="AZ311" i="1"/>
  <c r="BA311" i="1"/>
  <c r="BB311" i="1"/>
  <c r="BC311" i="1"/>
  <c r="BD311" i="1"/>
  <c r="BE311" i="1"/>
  <c r="BF311" i="1"/>
  <c r="BG311" i="1"/>
  <c r="BH311" i="1"/>
  <c r="J312" i="1"/>
  <c r="K312" i="1"/>
  <c r="L312" i="1"/>
  <c r="M312" i="1"/>
  <c r="N312" i="1"/>
  <c r="O312" i="1"/>
  <c r="P312" i="1"/>
  <c r="Q312" i="1"/>
  <c r="R312" i="1"/>
  <c r="S312" i="1"/>
  <c r="T312" i="1"/>
  <c r="U312" i="1"/>
  <c r="V312" i="1"/>
  <c r="W312" i="1"/>
  <c r="X312" i="1"/>
  <c r="Y312" i="1"/>
  <c r="Z312" i="1"/>
  <c r="AA312" i="1"/>
  <c r="AB312" i="1"/>
  <c r="AC312" i="1"/>
  <c r="AD312" i="1"/>
  <c r="AE312" i="1"/>
  <c r="AF312" i="1"/>
  <c r="AG312" i="1"/>
  <c r="AH312" i="1"/>
  <c r="AI312" i="1"/>
  <c r="AJ312" i="1"/>
  <c r="AK312" i="1"/>
  <c r="AL312" i="1"/>
  <c r="AM312" i="1"/>
  <c r="AN312" i="1"/>
  <c r="AO312" i="1"/>
  <c r="AP312" i="1"/>
  <c r="AQ312" i="1"/>
  <c r="AR312" i="1"/>
  <c r="AS312" i="1"/>
  <c r="AT312" i="1"/>
  <c r="AU312" i="1"/>
  <c r="AV312" i="1"/>
  <c r="AW312" i="1"/>
  <c r="AX312" i="1"/>
  <c r="AY312" i="1"/>
  <c r="AZ312" i="1"/>
  <c r="BA312" i="1"/>
  <c r="BB312" i="1"/>
  <c r="BC312" i="1"/>
  <c r="BD312" i="1"/>
  <c r="BE312" i="1"/>
  <c r="BF312" i="1"/>
  <c r="BG312" i="1"/>
  <c r="BH312" i="1"/>
  <c r="J313" i="1"/>
  <c r="K313" i="1"/>
  <c r="L313" i="1"/>
  <c r="M313" i="1"/>
  <c r="N313" i="1"/>
  <c r="O313" i="1"/>
  <c r="P313" i="1"/>
  <c r="Q313" i="1"/>
  <c r="R313" i="1"/>
  <c r="S313" i="1"/>
  <c r="T313" i="1"/>
  <c r="U313" i="1"/>
  <c r="V313" i="1"/>
  <c r="W313" i="1"/>
  <c r="X313" i="1"/>
  <c r="Y313" i="1"/>
  <c r="Z313" i="1"/>
  <c r="AA313" i="1"/>
  <c r="AB313" i="1"/>
  <c r="AC313" i="1"/>
  <c r="AD313" i="1"/>
  <c r="AE313" i="1"/>
  <c r="AF313" i="1"/>
  <c r="AG313" i="1"/>
  <c r="AH313" i="1"/>
  <c r="AI313" i="1"/>
  <c r="AJ313" i="1"/>
  <c r="AK313" i="1"/>
  <c r="AL313" i="1"/>
  <c r="AM313" i="1"/>
  <c r="AN313" i="1"/>
  <c r="AO313" i="1"/>
  <c r="AP313" i="1"/>
  <c r="AQ313" i="1"/>
  <c r="AR313" i="1"/>
  <c r="AS313" i="1"/>
  <c r="AT313" i="1"/>
  <c r="AU313" i="1"/>
  <c r="AV313" i="1"/>
  <c r="AW313" i="1"/>
  <c r="AX313" i="1"/>
  <c r="AY313" i="1"/>
  <c r="AZ313" i="1"/>
  <c r="BA313" i="1"/>
  <c r="BB313" i="1"/>
  <c r="BC313" i="1"/>
  <c r="BD313" i="1"/>
  <c r="BE313" i="1"/>
  <c r="BF313" i="1"/>
  <c r="BG313" i="1"/>
  <c r="BH313" i="1"/>
  <c r="J314" i="1"/>
  <c r="K314" i="1"/>
  <c r="L314" i="1"/>
  <c r="M314" i="1"/>
  <c r="N314" i="1"/>
  <c r="O314" i="1"/>
  <c r="P314" i="1"/>
  <c r="Q314" i="1"/>
  <c r="R314" i="1"/>
  <c r="S314" i="1"/>
  <c r="T314" i="1"/>
  <c r="U314" i="1"/>
  <c r="V314" i="1"/>
  <c r="W314" i="1"/>
  <c r="X314" i="1"/>
  <c r="Y314" i="1"/>
  <c r="Z314" i="1"/>
  <c r="AA314" i="1"/>
  <c r="AB314" i="1"/>
  <c r="AC314" i="1"/>
  <c r="AD314" i="1"/>
  <c r="AE314" i="1"/>
  <c r="AF314" i="1"/>
  <c r="AG314" i="1"/>
  <c r="AH314" i="1"/>
  <c r="AI314" i="1"/>
  <c r="AJ314" i="1"/>
  <c r="AK314" i="1"/>
  <c r="AL314" i="1"/>
  <c r="AM314" i="1"/>
  <c r="AN314" i="1"/>
  <c r="AO314" i="1"/>
  <c r="AP314" i="1"/>
  <c r="AQ314" i="1"/>
  <c r="AR314" i="1"/>
  <c r="AS314" i="1"/>
  <c r="AT314" i="1"/>
  <c r="AU314" i="1"/>
  <c r="AV314" i="1"/>
  <c r="AW314" i="1"/>
  <c r="AX314" i="1"/>
  <c r="AY314" i="1"/>
  <c r="AZ314" i="1"/>
  <c r="BA314" i="1"/>
  <c r="BB314" i="1"/>
  <c r="BC314" i="1"/>
  <c r="BD314" i="1"/>
  <c r="BE314" i="1"/>
  <c r="BF314" i="1"/>
  <c r="BG314" i="1"/>
  <c r="BH314" i="1"/>
  <c r="J315" i="1"/>
  <c r="K315" i="1"/>
  <c r="L315" i="1"/>
  <c r="M315" i="1"/>
  <c r="N315" i="1"/>
  <c r="O315" i="1"/>
  <c r="P315" i="1"/>
  <c r="Q315" i="1"/>
  <c r="R315" i="1"/>
  <c r="S315" i="1"/>
  <c r="T315" i="1"/>
  <c r="U315" i="1"/>
  <c r="V315" i="1"/>
  <c r="W315" i="1"/>
  <c r="X315" i="1"/>
  <c r="Y315" i="1"/>
  <c r="Z315" i="1"/>
  <c r="AA315" i="1"/>
  <c r="AB315" i="1"/>
  <c r="AC315" i="1"/>
  <c r="AD315" i="1"/>
  <c r="AE315" i="1"/>
  <c r="AF315" i="1"/>
  <c r="AG315" i="1"/>
  <c r="AH315" i="1"/>
  <c r="AI315" i="1"/>
  <c r="AJ315" i="1"/>
  <c r="AK315" i="1"/>
  <c r="AL315" i="1"/>
  <c r="AM315" i="1"/>
  <c r="AN315" i="1"/>
  <c r="AO315" i="1"/>
  <c r="AP315" i="1"/>
  <c r="AQ315" i="1"/>
  <c r="AR315" i="1"/>
  <c r="AS315" i="1"/>
  <c r="AT315" i="1"/>
  <c r="AU315" i="1"/>
  <c r="AV315" i="1"/>
  <c r="AW315" i="1"/>
  <c r="AX315" i="1"/>
  <c r="AY315" i="1"/>
  <c r="AZ315" i="1"/>
  <c r="BA315" i="1"/>
  <c r="BB315" i="1"/>
  <c r="BC315" i="1"/>
  <c r="BD315" i="1"/>
  <c r="BE315" i="1"/>
  <c r="BF315" i="1"/>
  <c r="BG315" i="1"/>
  <c r="BH315" i="1"/>
  <c r="J316" i="1"/>
  <c r="K316" i="1"/>
  <c r="L316" i="1"/>
  <c r="M316" i="1"/>
  <c r="N316" i="1"/>
  <c r="O316" i="1"/>
  <c r="P316" i="1"/>
  <c r="Q316" i="1"/>
  <c r="R316" i="1"/>
  <c r="S316" i="1"/>
  <c r="T316" i="1"/>
  <c r="U316" i="1"/>
  <c r="V316" i="1"/>
  <c r="W316" i="1"/>
  <c r="X316" i="1"/>
  <c r="Y316" i="1"/>
  <c r="Z316" i="1"/>
  <c r="AA316" i="1"/>
  <c r="AB316" i="1"/>
  <c r="AC316" i="1"/>
  <c r="AD316" i="1"/>
  <c r="AE316" i="1"/>
  <c r="AF316" i="1"/>
  <c r="AG316" i="1"/>
  <c r="AH316" i="1"/>
  <c r="AI316" i="1"/>
  <c r="AJ316" i="1"/>
  <c r="AK316" i="1"/>
  <c r="AL316" i="1"/>
  <c r="AM316" i="1"/>
  <c r="AN316" i="1"/>
  <c r="AO316" i="1"/>
  <c r="AP316" i="1"/>
  <c r="AQ316" i="1"/>
  <c r="AR316" i="1"/>
  <c r="AS316" i="1"/>
  <c r="AT316" i="1"/>
  <c r="AU316" i="1"/>
  <c r="AV316" i="1"/>
  <c r="AW316" i="1"/>
  <c r="AX316" i="1"/>
  <c r="AY316" i="1"/>
  <c r="AZ316" i="1"/>
  <c r="BA316" i="1"/>
  <c r="BB316" i="1"/>
  <c r="BC316" i="1"/>
  <c r="BD316" i="1"/>
  <c r="BE316" i="1"/>
  <c r="BF316" i="1"/>
  <c r="BG316" i="1"/>
  <c r="BH316" i="1"/>
  <c r="J317" i="1"/>
  <c r="K317" i="1"/>
  <c r="L317" i="1"/>
  <c r="M317" i="1"/>
  <c r="N317" i="1"/>
  <c r="O317" i="1"/>
  <c r="P317" i="1"/>
  <c r="Q317" i="1"/>
  <c r="R317" i="1"/>
  <c r="S317" i="1"/>
  <c r="T317" i="1"/>
  <c r="U317" i="1"/>
  <c r="V317" i="1"/>
  <c r="W317" i="1"/>
  <c r="X317" i="1"/>
  <c r="Y317" i="1"/>
  <c r="Z317" i="1"/>
  <c r="AA317" i="1"/>
  <c r="AB317" i="1"/>
  <c r="AC317" i="1"/>
  <c r="AD317" i="1"/>
  <c r="AE317" i="1"/>
  <c r="AF317" i="1"/>
  <c r="AG317" i="1"/>
  <c r="AH317" i="1"/>
  <c r="AI317" i="1"/>
  <c r="AJ317" i="1"/>
  <c r="AK317" i="1"/>
  <c r="AL317" i="1"/>
  <c r="AM317" i="1"/>
  <c r="AN317" i="1"/>
  <c r="AO317" i="1"/>
  <c r="AP317" i="1"/>
  <c r="AQ317" i="1"/>
  <c r="AR317" i="1"/>
  <c r="AS317" i="1"/>
  <c r="AT317" i="1"/>
  <c r="AU317" i="1"/>
  <c r="AV317" i="1"/>
  <c r="AW317" i="1"/>
  <c r="AX317" i="1"/>
  <c r="AY317" i="1"/>
  <c r="AZ317" i="1"/>
  <c r="BA317" i="1"/>
  <c r="BB317" i="1"/>
  <c r="BC317" i="1"/>
  <c r="BD317" i="1"/>
  <c r="BE317" i="1"/>
  <c r="BF317" i="1"/>
  <c r="BG317" i="1"/>
  <c r="BH317" i="1"/>
  <c r="J318" i="1"/>
  <c r="K318" i="1"/>
  <c r="L318" i="1"/>
  <c r="M318" i="1"/>
  <c r="N318" i="1"/>
  <c r="O318" i="1"/>
  <c r="P318" i="1"/>
  <c r="Q318" i="1"/>
  <c r="R318" i="1"/>
  <c r="S318" i="1"/>
  <c r="T318" i="1"/>
  <c r="U318" i="1"/>
  <c r="V318" i="1"/>
  <c r="W318" i="1"/>
  <c r="X318" i="1"/>
  <c r="Y318" i="1"/>
  <c r="Z318" i="1"/>
  <c r="AA318" i="1"/>
  <c r="AB318" i="1"/>
  <c r="AC318" i="1"/>
  <c r="AD318" i="1"/>
  <c r="AE318" i="1"/>
  <c r="AF318" i="1"/>
  <c r="AG318" i="1"/>
  <c r="AH318" i="1"/>
  <c r="AI318" i="1"/>
  <c r="AJ318" i="1"/>
  <c r="AK318" i="1"/>
  <c r="AL318" i="1"/>
  <c r="AM318" i="1"/>
  <c r="AN318" i="1"/>
  <c r="AO318" i="1"/>
  <c r="AP318" i="1"/>
  <c r="AQ318" i="1"/>
  <c r="AR318" i="1"/>
  <c r="AS318" i="1"/>
  <c r="AT318" i="1"/>
  <c r="AU318" i="1"/>
  <c r="AV318" i="1"/>
  <c r="AW318" i="1"/>
  <c r="AX318" i="1"/>
  <c r="AY318" i="1"/>
  <c r="AZ318" i="1"/>
  <c r="BA318" i="1"/>
  <c r="BB318" i="1"/>
  <c r="BC318" i="1"/>
  <c r="BD318" i="1"/>
  <c r="BE318" i="1"/>
  <c r="BF318" i="1"/>
  <c r="BG318" i="1"/>
  <c r="BH318" i="1"/>
  <c r="J319" i="1"/>
  <c r="K319" i="1"/>
  <c r="L319" i="1"/>
  <c r="M319" i="1"/>
  <c r="N319" i="1"/>
  <c r="O319" i="1"/>
  <c r="P319" i="1"/>
  <c r="Q319" i="1"/>
  <c r="R319" i="1"/>
  <c r="S319" i="1"/>
  <c r="T319" i="1"/>
  <c r="U319" i="1"/>
  <c r="V319" i="1"/>
  <c r="W319" i="1"/>
  <c r="X319" i="1"/>
  <c r="Y319" i="1"/>
  <c r="Z319" i="1"/>
  <c r="AA319" i="1"/>
  <c r="AB319" i="1"/>
  <c r="AC319" i="1"/>
  <c r="AD319" i="1"/>
  <c r="AE319" i="1"/>
  <c r="AF319" i="1"/>
  <c r="AG319" i="1"/>
  <c r="AH319" i="1"/>
  <c r="AI319" i="1"/>
  <c r="AJ319" i="1"/>
  <c r="AK319" i="1"/>
  <c r="AL319" i="1"/>
  <c r="AM319" i="1"/>
  <c r="AN319" i="1"/>
  <c r="AO319" i="1"/>
  <c r="AP319" i="1"/>
  <c r="AQ319" i="1"/>
  <c r="AR319" i="1"/>
  <c r="AS319" i="1"/>
  <c r="AT319" i="1"/>
  <c r="AU319" i="1"/>
  <c r="AV319" i="1"/>
  <c r="AW319" i="1"/>
  <c r="AX319" i="1"/>
  <c r="AY319" i="1"/>
  <c r="AZ319" i="1"/>
  <c r="BA319" i="1"/>
  <c r="BB319" i="1"/>
  <c r="BC319" i="1"/>
  <c r="BD319" i="1"/>
  <c r="BE319" i="1"/>
  <c r="BF319" i="1"/>
  <c r="BG319" i="1"/>
  <c r="BH319" i="1"/>
  <c r="J320" i="1"/>
  <c r="K320" i="1"/>
  <c r="L320" i="1"/>
  <c r="M320" i="1"/>
  <c r="N320" i="1"/>
  <c r="O320" i="1"/>
  <c r="P320" i="1"/>
  <c r="Q320" i="1"/>
  <c r="R320" i="1"/>
  <c r="S320" i="1"/>
  <c r="T320" i="1"/>
  <c r="U320" i="1"/>
  <c r="V320" i="1"/>
  <c r="W320" i="1"/>
  <c r="X320" i="1"/>
  <c r="Y320" i="1"/>
  <c r="Z320" i="1"/>
  <c r="AA320" i="1"/>
  <c r="AB320" i="1"/>
  <c r="AC320" i="1"/>
  <c r="AD320" i="1"/>
  <c r="AE320" i="1"/>
  <c r="AF320" i="1"/>
  <c r="AG320" i="1"/>
  <c r="AH320" i="1"/>
  <c r="AI320" i="1"/>
  <c r="AJ320" i="1"/>
  <c r="AK320" i="1"/>
  <c r="AL320" i="1"/>
  <c r="AM320" i="1"/>
  <c r="AN320" i="1"/>
  <c r="AO320" i="1"/>
  <c r="AP320" i="1"/>
  <c r="AQ320" i="1"/>
  <c r="AR320" i="1"/>
  <c r="AS320" i="1"/>
  <c r="AT320" i="1"/>
  <c r="AU320" i="1"/>
  <c r="AV320" i="1"/>
  <c r="AW320" i="1"/>
  <c r="AX320" i="1"/>
  <c r="AY320" i="1"/>
  <c r="AZ320" i="1"/>
  <c r="BA320" i="1"/>
  <c r="BB320" i="1"/>
  <c r="BC320" i="1"/>
  <c r="BD320" i="1"/>
  <c r="BE320" i="1"/>
  <c r="BF320" i="1"/>
  <c r="BG320" i="1"/>
  <c r="BH320" i="1"/>
  <c r="J321" i="1"/>
  <c r="K321" i="1"/>
  <c r="L321" i="1"/>
  <c r="M321" i="1"/>
  <c r="N321" i="1"/>
  <c r="O321" i="1"/>
  <c r="P321" i="1"/>
  <c r="Q321" i="1"/>
  <c r="R321" i="1"/>
  <c r="S321" i="1"/>
  <c r="T321" i="1"/>
  <c r="U321" i="1"/>
  <c r="V321" i="1"/>
  <c r="W321" i="1"/>
  <c r="X321" i="1"/>
  <c r="Y321" i="1"/>
  <c r="Z321" i="1"/>
  <c r="AA321" i="1"/>
  <c r="AB321" i="1"/>
  <c r="AC321" i="1"/>
  <c r="AD321" i="1"/>
  <c r="AE321" i="1"/>
  <c r="AF321" i="1"/>
  <c r="AG321" i="1"/>
  <c r="AH321" i="1"/>
  <c r="AI321" i="1"/>
  <c r="AJ321" i="1"/>
  <c r="AK321" i="1"/>
  <c r="AL321" i="1"/>
  <c r="AM321" i="1"/>
  <c r="AN321" i="1"/>
  <c r="AO321" i="1"/>
  <c r="AP321" i="1"/>
  <c r="AQ321" i="1"/>
  <c r="AR321" i="1"/>
  <c r="AS321" i="1"/>
  <c r="AT321" i="1"/>
  <c r="AU321" i="1"/>
  <c r="AV321" i="1"/>
  <c r="AW321" i="1"/>
  <c r="AX321" i="1"/>
  <c r="AY321" i="1"/>
  <c r="AZ321" i="1"/>
  <c r="BA321" i="1"/>
  <c r="BB321" i="1"/>
  <c r="BC321" i="1"/>
  <c r="BD321" i="1"/>
  <c r="BE321" i="1"/>
  <c r="BF321" i="1"/>
  <c r="BG321" i="1"/>
  <c r="BH321" i="1"/>
  <c r="J322" i="1"/>
  <c r="K322" i="1"/>
  <c r="L322" i="1"/>
  <c r="M322" i="1"/>
  <c r="N322" i="1"/>
  <c r="O322" i="1"/>
  <c r="P322" i="1"/>
  <c r="Q322" i="1"/>
  <c r="R322" i="1"/>
  <c r="S322" i="1"/>
  <c r="T322" i="1"/>
  <c r="U322" i="1"/>
  <c r="V322" i="1"/>
  <c r="W322" i="1"/>
  <c r="X322" i="1"/>
  <c r="Y322" i="1"/>
  <c r="Z322" i="1"/>
  <c r="AA322" i="1"/>
  <c r="AB322" i="1"/>
  <c r="AC322" i="1"/>
  <c r="AD322" i="1"/>
  <c r="AE322" i="1"/>
  <c r="AF322" i="1"/>
  <c r="AG322" i="1"/>
  <c r="AH322" i="1"/>
  <c r="AI322" i="1"/>
  <c r="AJ322" i="1"/>
  <c r="AK322" i="1"/>
  <c r="AL322" i="1"/>
  <c r="AM322" i="1"/>
  <c r="AN322" i="1"/>
  <c r="AO322" i="1"/>
  <c r="AP322" i="1"/>
  <c r="AQ322" i="1"/>
  <c r="AR322" i="1"/>
  <c r="AS322" i="1"/>
  <c r="AT322" i="1"/>
  <c r="AU322" i="1"/>
  <c r="AV322" i="1"/>
  <c r="AW322" i="1"/>
  <c r="AX322" i="1"/>
  <c r="AY322" i="1"/>
  <c r="AZ322" i="1"/>
  <c r="BA322" i="1"/>
  <c r="BB322" i="1"/>
  <c r="BC322" i="1"/>
  <c r="BD322" i="1"/>
  <c r="BE322" i="1"/>
  <c r="BF322" i="1"/>
  <c r="BG322" i="1"/>
  <c r="BH322" i="1"/>
  <c r="J323" i="1"/>
  <c r="K323" i="1"/>
  <c r="L323" i="1"/>
  <c r="M323" i="1"/>
  <c r="N323" i="1"/>
  <c r="O323" i="1"/>
  <c r="P323" i="1"/>
  <c r="Q323" i="1"/>
  <c r="R323" i="1"/>
  <c r="S323" i="1"/>
  <c r="T323" i="1"/>
  <c r="U323" i="1"/>
  <c r="V323" i="1"/>
  <c r="W323" i="1"/>
  <c r="X323" i="1"/>
  <c r="Y323" i="1"/>
  <c r="Z323" i="1"/>
  <c r="AA323" i="1"/>
  <c r="AB323" i="1"/>
  <c r="AC323" i="1"/>
  <c r="AD323" i="1"/>
  <c r="AE323" i="1"/>
  <c r="AF323" i="1"/>
  <c r="AG323" i="1"/>
  <c r="AH323" i="1"/>
  <c r="AI323" i="1"/>
  <c r="AJ323" i="1"/>
  <c r="AK323" i="1"/>
  <c r="AL323" i="1"/>
  <c r="AM323" i="1"/>
  <c r="AN323" i="1"/>
  <c r="AO323" i="1"/>
  <c r="AP323" i="1"/>
  <c r="AQ323" i="1"/>
  <c r="AR323" i="1"/>
  <c r="AS323" i="1"/>
  <c r="AT323" i="1"/>
  <c r="AU323" i="1"/>
  <c r="AV323" i="1"/>
  <c r="AW323" i="1"/>
  <c r="AX323" i="1"/>
  <c r="AY323" i="1"/>
  <c r="AZ323" i="1"/>
  <c r="BA323" i="1"/>
  <c r="BB323" i="1"/>
  <c r="BC323" i="1"/>
  <c r="BD323" i="1"/>
  <c r="BE323" i="1"/>
  <c r="BF323" i="1"/>
  <c r="BG323" i="1"/>
  <c r="BH323" i="1"/>
  <c r="J324" i="1"/>
  <c r="K324" i="1"/>
  <c r="L324" i="1"/>
  <c r="M324" i="1"/>
  <c r="N324" i="1"/>
  <c r="O324" i="1"/>
  <c r="P324" i="1"/>
  <c r="Q324" i="1"/>
  <c r="R324" i="1"/>
  <c r="S324" i="1"/>
  <c r="T324" i="1"/>
  <c r="U324" i="1"/>
  <c r="V324" i="1"/>
  <c r="W324" i="1"/>
  <c r="X324" i="1"/>
  <c r="Y324" i="1"/>
  <c r="Z324" i="1"/>
  <c r="AA324" i="1"/>
  <c r="AB324" i="1"/>
  <c r="AC324" i="1"/>
  <c r="AD324" i="1"/>
  <c r="AE324" i="1"/>
  <c r="AF324" i="1"/>
  <c r="AG324" i="1"/>
  <c r="AH324" i="1"/>
  <c r="AI324" i="1"/>
  <c r="AJ324" i="1"/>
  <c r="AK324" i="1"/>
  <c r="AL324" i="1"/>
  <c r="AM324" i="1"/>
  <c r="AN324" i="1"/>
  <c r="AO324" i="1"/>
  <c r="AP324" i="1"/>
  <c r="AQ324" i="1"/>
  <c r="AR324" i="1"/>
  <c r="AS324" i="1"/>
  <c r="AT324" i="1"/>
  <c r="AU324" i="1"/>
  <c r="AV324" i="1"/>
  <c r="AW324" i="1"/>
  <c r="AX324" i="1"/>
  <c r="AY324" i="1"/>
  <c r="AZ324" i="1"/>
  <c r="BA324" i="1"/>
  <c r="BB324" i="1"/>
  <c r="BC324" i="1"/>
  <c r="BD324" i="1"/>
  <c r="BE324" i="1"/>
  <c r="BF324" i="1"/>
  <c r="BG324" i="1"/>
  <c r="BH324" i="1"/>
  <c r="J325" i="1"/>
  <c r="K325" i="1"/>
  <c r="L325" i="1"/>
  <c r="M325" i="1"/>
  <c r="N325" i="1"/>
  <c r="O325" i="1"/>
  <c r="P325" i="1"/>
  <c r="Q325" i="1"/>
  <c r="R325" i="1"/>
  <c r="S325" i="1"/>
  <c r="T325" i="1"/>
  <c r="U325" i="1"/>
  <c r="V325" i="1"/>
  <c r="W325" i="1"/>
  <c r="X325" i="1"/>
  <c r="Y325" i="1"/>
  <c r="Z325" i="1"/>
  <c r="AA325" i="1"/>
  <c r="AB325" i="1"/>
  <c r="AC325" i="1"/>
  <c r="AD325" i="1"/>
  <c r="AE325" i="1"/>
  <c r="AF325" i="1"/>
  <c r="AG325" i="1"/>
  <c r="AH325" i="1"/>
  <c r="AI325" i="1"/>
  <c r="AJ325" i="1"/>
  <c r="AK325" i="1"/>
  <c r="AL325" i="1"/>
  <c r="AM325" i="1"/>
  <c r="AN325" i="1"/>
  <c r="AO325" i="1"/>
  <c r="AP325" i="1"/>
  <c r="AQ325" i="1"/>
  <c r="AR325" i="1"/>
  <c r="AS325" i="1"/>
  <c r="AT325" i="1"/>
  <c r="AU325" i="1"/>
  <c r="AV325" i="1"/>
  <c r="AW325" i="1"/>
  <c r="AX325" i="1"/>
  <c r="AY325" i="1"/>
  <c r="AZ325" i="1"/>
  <c r="BA325" i="1"/>
  <c r="BB325" i="1"/>
  <c r="BC325" i="1"/>
  <c r="BD325" i="1"/>
  <c r="BE325" i="1"/>
  <c r="BF325" i="1"/>
  <c r="BG325" i="1"/>
  <c r="BH325" i="1"/>
  <c r="J326" i="1"/>
  <c r="K326" i="1"/>
  <c r="L326" i="1"/>
  <c r="M326" i="1"/>
  <c r="N326" i="1"/>
  <c r="O326" i="1"/>
  <c r="P326" i="1"/>
  <c r="Q326" i="1"/>
  <c r="R326" i="1"/>
  <c r="S326" i="1"/>
  <c r="T326" i="1"/>
  <c r="U326" i="1"/>
  <c r="V326" i="1"/>
  <c r="W326" i="1"/>
  <c r="X326" i="1"/>
  <c r="Y326" i="1"/>
  <c r="Z326" i="1"/>
  <c r="AA326" i="1"/>
  <c r="AB326" i="1"/>
  <c r="AC326" i="1"/>
  <c r="AD326" i="1"/>
  <c r="AE326" i="1"/>
  <c r="AF326" i="1"/>
  <c r="AG326" i="1"/>
  <c r="AH326" i="1"/>
  <c r="AI326" i="1"/>
  <c r="AJ326" i="1"/>
  <c r="AK326" i="1"/>
  <c r="AL326" i="1"/>
  <c r="AM326" i="1"/>
  <c r="AN326" i="1"/>
  <c r="AO326" i="1"/>
  <c r="AP326" i="1"/>
  <c r="AQ326" i="1"/>
  <c r="AR326" i="1"/>
  <c r="AS326" i="1"/>
  <c r="AT326" i="1"/>
  <c r="AU326" i="1"/>
  <c r="AV326" i="1"/>
  <c r="AW326" i="1"/>
  <c r="AX326" i="1"/>
  <c r="AY326" i="1"/>
  <c r="AZ326" i="1"/>
  <c r="BA326" i="1"/>
  <c r="BB326" i="1"/>
  <c r="BC326" i="1"/>
  <c r="BD326" i="1"/>
  <c r="BE326" i="1"/>
  <c r="BF326" i="1"/>
  <c r="BG326" i="1"/>
  <c r="BH326" i="1"/>
  <c r="J327" i="1"/>
  <c r="K327" i="1"/>
  <c r="L327" i="1"/>
  <c r="M327" i="1"/>
  <c r="N327" i="1"/>
  <c r="O327" i="1"/>
  <c r="P327" i="1"/>
  <c r="Q327" i="1"/>
  <c r="R327" i="1"/>
  <c r="S327" i="1"/>
  <c r="T327" i="1"/>
  <c r="U327" i="1"/>
  <c r="V327" i="1"/>
  <c r="W327" i="1"/>
  <c r="X327" i="1"/>
  <c r="Y327" i="1"/>
  <c r="Z327" i="1"/>
  <c r="AA327" i="1"/>
  <c r="AB327" i="1"/>
  <c r="AC327" i="1"/>
  <c r="AD327" i="1"/>
  <c r="AE327" i="1"/>
  <c r="AF327" i="1"/>
  <c r="AG327" i="1"/>
  <c r="AH327" i="1"/>
  <c r="AI327" i="1"/>
  <c r="AJ327" i="1"/>
  <c r="AK327" i="1"/>
  <c r="AL327" i="1"/>
  <c r="AM327" i="1"/>
  <c r="AN327" i="1"/>
  <c r="AO327" i="1"/>
  <c r="AP327" i="1"/>
  <c r="AQ327" i="1"/>
  <c r="AR327" i="1"/>
  <c r="AS327" i="1"/>
  <c r="AT327" i="1"/>
  <c r="AU327" i="1"/>
  <c r="AV327" i="1"/>
  <c r="AW327" i="1"/>
  <c r="AX327" i="1"/>
  <c r="AY327" i="1"/>
  <c r="AZ327" i="1"/>
  <c r="BA327" i="1"/>
  <c r="BB327" i="1"/>
  <c r="BC327" i="1"/>
  <c r="BD327" i="1"/>
  <c r="BE327" i="1"/>
  <c r="BF327" i="1"/>
  <c r="BG327" i="1"/>
  <c r="BH327" i="1"/>
  <c r="J328" i="1"/>
  <c r="K328" i="1"/>
  <c r="L328" i="1"/>
  <c r="M328" i="1"/>
  <c r="N328" i="1"/>
  <c r="O328" i="1"/>
  <c r="P328" i="1"/>
  <c r="Q328" i="1"/>
  <c r="R328" i="1"/>
  <c r="S328" i="1"/>
  <c r="T328" i="1"/>
  <c r="U328" i="1"/>
  <c r="V328" i="1"/>
  <c r="W328" i="1"/>
  <c r="X328" i="1"/>
  <c r="Y328" i="1"/>
  <c r="Z328" i="1"/>
  <c r="AA328" i="1"/>
  <c r="AB328" i="1"/>
  <c r="AC328" i="1"/>
  <c r="AD328" i="1"/>
  <c r="AE328" i="1"/>
  <c r="AF328" i="1"/>
  <c r="AG328" i="1"/>
  <c r="AH328" i="1"/>
  <c r="AI328" i="1"/>
  <c r="AJ328" i="1"/>
  <c r="AK328" i="1"/>
  <c r="AL328" i="1"/>
  <c r="AM328" i="1"/>
  <c r="AN328" i="1"/>
  <c r="AO328" i="1"/>
  <c r="AP328" i="1"/>
  <c r="AQ328" i="1"/>
  <c r="AR328" i="1"/>
  <c r="AS328" i="1"/>
  <c r="AT328" i="1"/>
  <c r="AU328" i="1"/>
  <c r="AV328" i="1"/>
  <c r="AW328" i="1"/>
  <c r="AX328" i="1"/>
  <c r="AY328" i="1"/>
  <c r="AZ328" i="1"/>
  <c r="BA328" i="1"/>
  <c r="BB328" i="1"/>
  <c r="BC328" i="1"/>
  <c r="BD328" i="1"/>
  <c r="BE328" i="1"/>
  <c r="BF328" i="1"/>
  <c r="BG328" i="1"/>
  <c r="BH328" i="1"/>
  <c r="J329" i="1"/>
  <c r="K329" i="1"/>
  <c r="L329" i="1"/>
  <c r="M329" i="1"/>
  <c r="N329" i="1"/>
  <c r="O329" i="1"/>
  <c r="P329" i="1"/>
  <c r="Q329" i="1"/>
  <c r="R329" i="1"/>
  <c r="S329" i="1"/>
  <c r="T329" i="1"/>
  <c r="U329" i="1"/>
  <c r="V329" i="1"/>
  <c r="W329" i="1"/>
  <c r="X329" i="1"/>
  <c r="Y329" i="1"/>
  <c r="Z329" i="1"/>
  <c r="AA329" i="1"/>
  <c r="AB329" i="1"/>
  <c r="AC329" i="1"/>
  <c r="AD329" i="1"/>
  <c r="AE329" i="1"/>
  <c r="AF329" i="1"/>
  <c r="AG329" i="1"/>
  <c r="AH329" i="1"/>
  <c r="AI329" i="1"/>
  <c r="AJ329" i="1"/>
  <c r="AK329" i="1"/>
  <c r="AL329" i="1"/>
  <c r="AM329" i="1"/>
  <c r="AN329" i="1"/>
  <c r="AO329" i="1"/>
  <c r="AP329" i="1"/>
  <c r="AQ329" i="1"/>
  <c r="AR329" i="1"/>
  <c r="AS329" i="1"/>
  <c r="AT329" i="1"/>
  <c r="AU329" i="1"/>
  <c r="AV329" i="1"/>
  <c r="AW329" i="1"/>
  <c r="AX329" i="1"/>
  <c r="AY329" i="1"/>
  <c r="AZ329" i="1"/>
  <c r="BA329" i="1"/>
  <c r="BB329" i="1"/>
  <c r="BC329" i="1"/>
  <c r="BD329" i="1"/>
  <c r="BE329" i="1"/>
  <c r="BF329" i="1"/>
  <c r="BG329" i="1"/>
  <c r="BH329" i="1"/>
  <c r="J330" i="1"/>
  <c r="K330" i="1"/>
  <c r="L330" i="1"/>
  <c r="M330" i="1"/>
  <c r="N330" i="1"/>
  <c r="O330" i="1"/>
  <c r="P330" i="1"/>
  <c r="Q330" i="1"/>
  <c r="R330" i="1"/>
  <c r="S330" i="1"/>
  <c r="T330" i="1"/>
  <c r="U330" i="1"/>
  <c r="V330" i="1"/>
  <c r="W330" i="1"/>
  <c r="X330" i="1"/>
  <c r="Y330" i="1"/>
  <c r="Z330" i="1"/>
  <c r="AA330" i="1"/>
  <c r="AB330" i="1"/>
  <c r="AC330" i="1"/>
  <c r="AD330" i="1"/>
  <c r="AE330" i="1"/>
  <c r="AF330" i="1"/>
  <c r="AG330" i="1"/>
  <c r="AH330" i="1"/>
  <c r="AI330" i="1"/>
  <c r="AJ330" i="1"/>
  <c r="AK330" i="1"/>
  <c r="AL330" i="1"/>
  <c r="AM330" i="1"/>
  <c r="AN330" i="1"/>
  <c r="AO330" i="1"/>
  <c r="AP330" i="1"/>
  <c r="AQ330" i="1"/>
  <c r="AR330" i="1"/>
  <c r="AS330" i="1"/>
  <c r="AT330" i="1"/>
  <c r="AU330" i="1"/>
  <c r="AV330" i="1"/>
  <c r="AW330" i="1"/>
  <c r="AX330" i="1"/>
  <c r="AY330" i="1"/>
  <c r="AZ330" i="1"/>
  <c r="BA330" i="1"/>
  <c r="BB330" i="1"/>
  <c r="BC330" i="1"/>
  <c r="BD330" i="1"/>
  <c r="BE330" i="1"/>
  <c r="BF330" i="1"/>
  <c r="BG330" i="1"/>
  <c r="BH330" i="1"/>
  <c r="J331" i="1"/>
  <c r="K331" i="1"/>
  <c r="L331" i="1"/>
  <c r="M331" i="1"/>
  <c r="N331" i="1"/>
  <c r="O331" i="1"/>
  <c r="P331" i="1"/>
  <c r="Q331" i="1"/>
  <c r="R331" i="1"/>
  <c r="S331" i="1"/>
  <c r="T331" i="1"/>
  <c r="U331" i="1"/>
  <c r="V331" i="1"/>
  <c r="W331" i="1"/>
  <c r="X331" i="1"/>
  <c r="Y331" i="1"/>
  <c r="Z331" i="1"/>
  <c r="AA331" i="1"/>
  <c r="AB331" i="1"/>
  <c r="AC331" i="1"/>
  <c r="AD331" i="1"/>
  <c r="AE331" i="1"/>
  <c r="AF331" i="1"/>
  <c r="AG331" i="1"/>
  <c r="AH331" i="1"/>
  <c r="AI331" i="1"/>
  <c r="AJ331" i="1"/>
  <c r="AK331" i="1"/>
  <c r="AL331" i="1"/>
  <c r="AM331" i="1"/>
  <c r="AN331" i="1"/>
  <c r="AO331" i="1"/>
  <c r="AP331" i="1"/>
  <c r="AQ331" i="1"/>
  <c r="AR331" i="1"/>
  <c r="AS331" i="1"/>
  <c r="AT331" i="1"/>
  <c r="AU331" i="1"/>
  <c r="AV331" i="1"/>
  <c r="AW331" i="1"/>
  <c r="AX331" i="1"/>
  <c r="AY331" i="1"/>
  <c r="AZ331" i="1"/>
  <c r="BA331" i="1"/>
  <c r="BB331" i="1"/>
  <c r="BC331" i="1"/>
  <c r="BD331" i="1"/>
  <c r="BE331" i="1"/>
  <c r="BF331" i="1"/>
  <c r="BG331" i="1"/>
  <c r="BH331" i="1"/>
  <c r="J332" i="1"/>
  <c r="K332" i="1"/>
  <c r="L332" i="1"/>
  <c r="M332" i="1"/>
  <c r="N332" i="1"/>
  <c r="O332" i="1"/>
  <c r="P332" i="1"/>
  <c r="Q332" i="1"/>
  <c r="R332" i="1"/>
  <c r="S332" i="1"/>
  <c r="T332" i="1"/>
  <c r="U332" i="1"/>
  <c r="V332" i="1"/>
  <c r="W332" i="1"/>
  <c r="X332" i="1"/>
  <c r="Y332" i="1"/>
  <c r="Z332" i="1"/>
  <c r="AA332" i="1"/>
  <c r="AB332" i="1"/>
  <c r="AC332" i="1"/>
  <c r="AD332" i="1"/>
  <c r="AE332" i="1"/>
  <c r="AF332" i="1"/>
  <c r="AG332" i="1"/>
  <c r="AH332" i="1"/>
  <c r="AI332" i="1"/>
  <c r="AJ332" i="1"/>
  <c r="AK332" i="1"/>
  <c r="AL332" i="1"/>
  <c r="AM332" i="1"/>
  <c r="AN332" i="1"/>
  <c r="AO332" i="1"/>
  <c r="AP332" i="1"/>
  <c r="AQ332" i="1"/>
  <c r="AR332" i="1"/>
  <c r="AS332" i="1"/>
  <c r="AT332" i="1"/>
  <c r="AU332" i="1"/>
  <c r="AV332" i="1"/>
  <c r="AW332" i="1"/>
  <c r="AX332" i="1"/>
  <c r="AY332" i="1"/>
  <c r="AZ332" i="1"/>
  <c r="BA332" i="1"/>
  <c r="BB332" i="1"/>
  <c r="BC332" i="1"/>
  <c r="BD332" i="1"/>
  <c r="BE332" i="1"/>
  <c r="BF332" i="1"/>
  <c r="BG332" i="1"/>
  <c r="BH332" i="1"/>
  <c r="J333" i="1"/>
  <c r="K333" i="1"/>
  <c r="L333" i="1"/>
  <c r="M333" i="1"/>
  <c r="N333" i="1"/>
  <c r="O333" i="1"/>
  <c r="P333" i="1"/>
  <c r="Q333" i="1"/>
  <c r="R333" i="1"/>
  <c r="S333" i="1"/>
  <c r="T333" i="1"/>
  <c r="U333" i="1"/>
  <c r="V333" i="1"/>
  <c r="W333" i="1"/>
  <c r="X333" i="1"/>
  <c r="Y333" i="1"/>
  <c r="Z333" i="1"/>
  <c r="AA333" i="1"/>
  <c r="AB333" i="1"/>
  <c r="AC333" i="1"/>
  <c r="AD333" i="1"/>
  <c r="AE333" i="1"/>
  <c r="AF333" i="1"/>
  <c r="AG333" i="1"/>
  <c r="AH333" i="1"/>
  <c r="AI333" i="1"/>
  <c r="AJ333" i="1"/>
  <c r="AK333" i="1"/>
  <c r="AL333" i="1"/>
  <c r="AM333" i="1"/>
  <c r="AN333" i="1"/>
  <c r="AO333" i="1"/>
  <c r="AP333" i="1"/>
  <c r="AQ333" i="1"/>
  <c r="AR333" i="1"/>
  <c r="AS333" i="1"/>
  <c r="AT333" i="1"/>
  <c r="AU333" i="1"/>
  <c r="AV333" i="1"/>
  <c r="AW333" i="1"/>
  <c r="AX333" i="1"/>
  <c r="AY333" i="1"/>
  <c r="AZ333" i="1"/>
  <c r="BA333" i="1"/>
  <c r="BB333" i="1"/>
  <c r="BC333" i="1"/>
  <c r="BD333" i="1"/>
  <c r="BE333" i="1"/>
  <c r="BF333" i="1"/>
  <c r="BG333" i="1"/>
  <c r="BH333" i="1"/>
  <c r="J334" i="1"/>
  <c r="K334" i="1"/>
  <c r="L334" i="1"/>
  <c r="M334" i="1"/>
  <c r="N334" i="1"/>
  <c r="O334" i="1"/>
  <c r="P334" i="1"/>
  <c r="Q334" i="1"/>
  <c r="R334" i="1"/>
  <c r="S334" i="1"/>
  <c r="T334" i="1"/>
  <c r="U334" i="1"/>
  <c r="V334" i="1"/>
  <c r="W334" i="1"/>
  <c r="X334" i="1"/>
  <c r="Y334" i="1"/>
  <c r="Z334" i="1"/>
  <c r="AA334" i="1"/>
  <c r="AB334" i="1"/>
  <c r="AC334" i="1"/>
  <c r="AD334" i="1"/>
  <c r="AE334" i="1"/>
  <c r="AF334" i="1"/>
  <c r="AG334" i="1"/>
  <c r="AH334" i="1"/>
  <c r="AI334" i="1"/>
  <c r="AJ334" i="1"/>
  <c r="AK334" i="1"/>
  <c r="AL334" i="1"/>
  <c r="AM334" i="1"/>
  <c r="AN334" i="1"/>
  <c r="AO334" i="1"/>
  <c r="AP334" i="1"/>
  <c r="AQ334" i="1"/>
  <c r="AR334" i="1"/>
  <c r="AS334" i="1"/>
  <c r="AT334" i="1"/>
  <c r="AU334" i="1"/>
  <c r="AV334" i="1"/>
  <c r="AW334" i="1"/>
  <c r="AX334" i="1"/>
  <c r="AY334" i="1"/>
  <c r="AZ334" i="1"/>
  <c r="BA334" i="1"/>
  <c r="BB334" i="1"/>
  <c r="BC334" i="1"/>
  <c r="BD334" i="1"/>
  <c r="BE334" i="1"/>
  <c r="BF334" i="1"/>
  <c r="BG334" i="1"/>
  <c r="BH334" i="1"/>
  <c r="J335" i="1"/>
  <c r="K335" i="1"/>
  <c r="L335" i="1"/>
  <c r="M335" i="1"/>
  <c r="N335" i="1"/>
  <c r="O335" i="1"/>
  <c r="P335" i="1"/>
  <c r="Q335" i="1"/>
  <c r="R335" i="1"/>
  <c r="S335" i="1"/>
  <c r="T335" i="1"/>
  <c r="U335" i="1"/>
  <c r="V335" i="1"/>
  <c r="W335" i="1"/>
  <c r="X335" i="1"/>
  <c r="Y335" i="1"/>
  <c r="Z335" i="1"/>
  <c r="AA335" i="1"/>
  <c r="AB335" i="1"/>
  <c r="AC335" i="1"/>
  <c r="AD335" i="1"/>
  <c r="AE335" i="1"/>
  <c r="AF335" i="1"/>
  <c r="AG335" i="1"/>
  <c r="AH335" i="1"/>
  <c r="AI335" i="1"/>
  <c r="AJ335" i="1"/>
  <c r="AK335" i="1"/>
  <c r="AL335" i="1"/>
  <c r="AM335" i="1"/>
  <c r="AN335" i="1"/>
  <c r="AO335" i="1"/>
  <c r="AP335" i="1"/>
  <c r="AQ335" i="1"/>
  <c r="AR335" i="1"/>
  <c r="AS335" i="1"/>
  <c r="AT335" i="1"/>
  <c r="AU335" i="1"/>
  <c r="AV335" i="1"/>
  <c r="AW335" i="1"/>
  <c r="AX335" i="1"/>
  <c r="AY335" i="1"/>
  <c r="AZ335" i="1"/>
  <c r="BA335" i="1"/>
  <c r="BB335" i="1"/>
  <c r="BC335" i="1"/>
  <c r="BD335" i="1"/>
  <c r="BE335" i="1"/>
  <c r="BF335" i="1"/>
  <c r="BG335" i="1"/>
  <c r="BH335" i="1"/>
  <c r="J336" i="1"/>
  <c r="K336" i="1"/>
  <c r="L336" i="1"/>
  <c r="M336" i="1"/>
  <c r="N336" i="1"/>
  <c r="O336" i="1"/>
  <c r="P336" i="1"/>
  <c r="Q336" i="1"/>
  <c r="R336" i="1"/>
  <c r="S336" i="1"/>
  <c r="T336" i="1"/>
  <c r="U336" i="1"/>
  <c r="V336" i="1"/>
  <c r="W336" i="1"/>
  <c r="X336" i="1"/>
  <c r="Y336" i="1"/>
  <c r="Z336" i="1"/>
  <c r="AA336" i="1"/>
  <c r="AB336" i="1"/>
  <c r="AC336" i="1"/>
  <c r="AD336" i="1"/>
  <c r="AE336" i="1"/>
  <c r="AF336" i="1"/>
  <c r="AG336" i="1"/>
  <c r="AH336" i="1"/>
  <c r="AI336" i="1"/>
  <c r="AJ336" i="1"/>
  <c r="AK336" i="1"/>
  <c r="AL336" i="1"/>
  <c r="AM336" i="1"/>
  <c r="AN336" i="1"/>
  <c r="AO336" i="1"/>
  <c r="AP336" i="1"/>
  <c r="AQ336" i="1"/>
  <c r="AR336" i="1"/>
  <c r="AS336" i="1"/>
  <c r="AT336" i="1"/>
  <c r="AU336" i="1"/>
  <c r="AV336" i="1"/>
  <c r="AW336" i="1"/>
  <c r="AX336" i="1"/>
  <c r="AY336" i="1"/>
  <c r="AZ336" i="1"/>
  <c r="BA336" i="1"/>
  <c r="BB336" i="1"/>
  <c r="BC336" i="1"/>
  <c r="BD336" i="1"/>
  <c r="BE336" i="1"/>
  <c r="BF336" i="1"/>
  <c r="BG336" i="1"/>
  <c r="BH336" i="1"/>
  <c r="J337" i="1"/>
  <c r="K337" i="1"/>
  <c r="L337" i="1"/>
  <c r="M337" i="1"/>
  <c r="N337" i="1"/>
  <c r="O337" i="1"/>
  <c r="P337" i="1"/>
  <c r="Q337" i="1"/>
  <c r="R337" i="1"/>
  <c r="S337" i="1"/>
  <c r="T337" i="1"/>
  <c r="U337" i="1"/>
  <c r="V337" i="1"/>
  <c r="W337" i="1"/>
  <c r="X337" i="1"/>
  <c r="Y337" i="1"/>
  <c r="Z337" i="1"/>
  <c r="AA337" i="1"/>
  <c r="AB337" i="1"/>
  <c r="AC337" i="1"/>
  <c r="AD337" i="1"/>
  <c r="AE337" i="1"/>
  <c r="AF337" i="1"/>
  <c r="AG337" i="1"/>
  <c r="AH337" i="1"/>
  <c r="AI337" i="1"/>
  <c r="AJ337" i="1"/>
  <c r="AK337" i="1"/>
  <c r="AL337" i="1"/>
  <c r="AM337" i="1"/>
  <c r="AN337" i="1"/>
  <c r="AO337" i="1"/>
  <c r="AP337" i="1"/>
  <c r="AQ337" i="1"/>
  <c r="AR337" i="1"/>
  <c r="AS337" i="1"/>
  <c r="AT337" i="1"/>
  <c r="AU337" i="1"/>
  <c r="AV337" i="1"/>
  <c r="AW337" i="1"/>
  <c r="AX337" i="1"/>
  <c r="AY337" i="1"/>
  <c r="AZ337" i="1"/>
  <c r="BA337" i="1"/>
  <c r="BB337" i="1"/>
  <c r="BC337" i="1"/>
  <c r="BD337" i="1"/>
  <c r="BE337" i="1"/>
  <c r="BF337" i="1"/>
  <c r="BG337" i="1"/>
  <c r="BH337" i="1"/>
  <c r="J338" i="1"/>
  <c r="K338" i="1"/>
  <c r="L338" i="1"/>
  <c r="M338" i="1"/>
  <c r="N338" i="1"/>
  <c r="O338" i="1"/>
  <c r="P338" i="1"/>
  <c r="Q338" i="1"/>
  <c r="R338" i="1"/>
  <c r="S338" i="1"/>
  <c r="T338" i="1"/>
  <c r="U338" i="1"/>
  <c r="V338" i="1"/>
  <c r="W338" i="1"/>
  <c r="X338" i="1"/>
  <c r="Y338" i="1"/>
  <c r="Z338" i="1"/>
  <c r="AA338" i="1"/>
  <c r="AB338" i="1"/>
  <c r="AC338" i="1"/>
  <c r="AD338" i="1"/>
  <c r="AE338" i="1"/>
  <c r="AF338" i="1"/>
  <c r="AG338" i="1"/>
  <c r="AH338" i="1"/>
  <c r="AI338" i="1"/>
  <c r="AJ338" i="1"/>
  <c r="AK338" i="1"/>
  <c r="AL338" i="1"/>
  <c r="AM338" i="1"/>
  <c r="AN338" i="1"/>
  <c r="AO338" i="1"/>
  <c r="AP338" i="1"/>
  <c r="AQ338" i="1"/>
  <c r="AR338" i="1"/>
  <c r="AS338" i="1"/>
  <c r="AT338" i="1"/>
  <c r="AU338" i="1"/>
  <c r="AV338" i="1"/>
  <c r="AW338" i="1"/>
  <c r="AX338" i="1"/>
  <c r="AY338" i="1"/>
  <c r="AZ338" i="1"/>
  <c r="BA338" i="1"/>
  <c r="BB338" i="1"/>
  <c r="BC338" i="1"/>
  <c r="BD338" i="1"/>
  <c r="BE338" i="1"/>
  <c r="BF338" i="1"/>
  <c r="BG338" i="1"/>
  <c r="BH338" i="1"/>
  <c r="J339" i="1"/>
  <c r="K339" i="1"/>
  <c r="L339" i="1"/>
  <c r="M339" i="1"/>
  <c r="N339" i="1"/>
  <c r="O339" i="1"/>
  <c r="P339" i="1"/>
  <c r="Q339" i="1"/>
  <c r="R339" i="1"/>
  <c r="S339" i="1"/>
  <c r="T339" i="1"/>
  <c r="U339" i="1"/>
  <c r="V339" i="1"/>
  <c r="W339" i="1"/>
  <c r="X339" i="1"/>
  <c r="Y339" i="1"/>
  <c r="Z339" i="1"/>
  <c r="AA339" i="1"/>
  <c r="AB339" i="1"/>
  <c r="AC339" i="1"/>
  <c r="AD339" i="1"/>
  <c r="AE339" i="1"/>
  <c r="AF339" i="1"/>
  <c r="AG339" i="1"/>
  <c r="AH339" i="1"/>
  <c r="AI339" i="1"/>
  <c r="AJ339" i="1"/>
  <c r="AK339" i="1"/>
  <c r="AL339" i="1"/>
  <c r="AM339" i="1"/>
  <c r="AN339" i="1"/>
  <c r="AO339" i="1"/>
  <c r="AP339" i="1"/>
  <c r="AQ339" i="1"/>
  <c r="AR339" i="1"/>
  <c r="AS339" i="1"/>
  <c r="AT339" i="1"/>
  <c r="AU339" i="1"/>
  <c r="AV339" i="1"/>
  <c r="AW339" i="1"/>
  <c r="AX339" i="1"/>
  <c r="AY339" i="1"/>
  <c r="AZ339" i="1"/>
  <c r="BA339" i="1"/>
  <c r="BB339" i="1"/>
  <c r="BC339" i="1"/>
  <c r="BD339" i="1"/>
  <c r="BE339" i="1"/>
  <c r="BF339" i="1"/>
  <c r="BG339" i="1"/>
  <c r="BH339" i="1"/>
  <c r="J340" i="1"/>
  <c r="K340" i="1"/>
  <c r="L340" i="1"/>
  <c r="M340" i="1"/>
  <c r="N340" i="1"/>
  <c r="O340" i="1"/>
  <c r="P340" i="1"/>
  <c r="Q340" i="1"/>
  <c r="R340" i="1"/>
  <c r="S340" i="1"/>
  <c r="T340" i="1"/>
  <c r="U340" i="1"/>
  <c r="V340" i="1"/>
  <c r="W340" i="1"/>
  <c r="X340" i="1"/>
  <c r="Y340" i="1"/>
  <c r="Z340" i="1"/>
  <c r="AA340" i="1"/>
  <c r="AB340" i="1"/>
  <c r="AC340" i="1"/>
  <c r="AD340" i="1"/>
  <c r="AE340" i="1"/>
  <c r="AF340" i="1"/>
  <c r="AG340" i="1"/>
  <c r="AH340" i="1"/>
  <c r="AI340" i="1"/>
  <c r="AJ340" i="1"/>
  <c r="AK340" i="1"/>
  <c r="AL340" i="1"/>
  <c r="AM340" i="1"/>
  <c r="AN340" i="1"/>
  <c r="AO340" i="1"/>
  <c r="AP340" i="1"/>
  <c r="AQ340" i="1"/>
  <c r="AR340" i="1"/>
  <c r="AS340" i="1"/>
  <c r="AT340" i="1"/>
  <c r="AU340" i="1"/>
  <c r="AV340" i="1"/>
  <c r="AW340" i="1"/>
  <c r="AX340" i="1"/>
  <c r="AY340" i="1"/>
  <c r="AZ340" i="1"/>
  <c r="BA340" i="1"/>
  <c r="BB340" i="1"/>
  <c r="BC340" i="1"/>
  <c r="BD340" i="1"/>
  <c r="BE340" i="1"/>
  <c r="BF340" i="1"/>
  <c r="BG340" i="1"/>
  <c r="BH340" i="1"/>
  <c r="J341" i="1"/>
  <c r="K341" i="1"/>
  <c r="L341" i="1"/>
  <c r="M341" i="1"/>
  <c r="N341" i="1"/>
  <c r="O341" i="1"/>
  <c r="P341" i="1"/>
  <c r="Q341" i="1"/>
  <c r="R341" i="1"/>
  <c r="S341" i="1"/>
  <c r="T341" i="1"/>
  <c r="U341" i="1"/>
  <c r="V341" i="1"/>
  <c r="W341" i="1"/>
  <c r="X341" i="1"/>
  <c r="Y341" i="1"/>
  <c r="Z341" i="1"/>
  <c r="AA341" i="1"/>
  <c r="AB341" i="1"/>
  <c r="AC341" i="1"/>
  <c r="AD341" i="1"/>
  <c r="AE341" i="1"/>
  <c r="AF341" i="1"/>
  <c r="AG341" i="1"/>
  <c r="AH341" i="1"/>
  <c r="AI341" i="1"/>
  <c r="AJ341" i="1"/>
  <c r="AK341" i="1"/>
  <c r="AL341" i="1"/>
  <c r="AM341" i="1"/>
  <c r="AN341" i="1"/>
  <c r="AO341" i="1"/>
  <c r="AP341" i="1"/>
  <c r="AQ341" i="1"/>
  <c r="AR341" i="1"/>
  <c r="AS341" i="1"/>
  <c r="AT341" i="1"/>
  <c r="AU341" i="1"/>
  <c r="AV341" i="1"/>
  <c r="AW341" i="1"/>
  <c r="AX341" i="1"/>
  <c r="AY341" i="1"/>
  <c r="AZ341" i="1"/>
  <c r="BA341" i="1"/>
  <c r="BB341" i="1"/>
  <c r="BC341" i="1"/>
  <c r="BD341" i="1"/>
  <c r="BE341" i="1"/>
  <c r="BF341" i="1"/>
  <c r="BG341" i="1"/>
  <c r="BH341" i="1"/>
  <c r="J342" i="1"/>
  <c r="K342" i="1"/>
  <c r="L342" i="1"/>
  <c r="M342" i="1"/>
  <c r="N342" i="1"/>
  <c r="O342" i="1"/>
  <c r="P342" i="1"/>
  <c r="Q342" i="1"/>
  <c r="R342" i="1"/>
  <c r="S342" i="1"/>
  <c r="T342" i="1"/>
  <c r="U342" i="1"/>
  <c r="V342" i="1"/>
  <c r="W342" i="1"/>
  <c r="X342" i="1"/>
  <c r="Y342" i="1"/>
  <c r="Z342" i="1"/>
  <c r="AA342" i="1"/>
  <c r="AB342" i="1"/>
  <c r="AC342" i="1"/>
  <c r="AD342" i="1"/>
  <c r="AE342" i="1"/>
  <c r="AF342" i="1"/>
  <c r="AG342" i="1"/>
  <c r="AH342" i="1"/>
  <c r="AI342" i="1"/>
  <c r="AJ342" i="1"/>
  <c r="AK342" i="1"/>
  <c r="AL342" i="1"/>
  <c r="AM342" i="1"/>
  <c r="AN342" i="1"/>
  <c r="AO342" i="1"/>
  <c r="AP342" i="1"/>
  <c r="AQ342" i="1"/>
  <c r="AR342" i="1"/>
  <c r="AS342" i="1"/>
  <c r="AT342" i="1"/>
  <c r="AU342" i="1"/>
  <c r="AV342" i="1"/>
  <c r="AW342" i="1"/>
  <c r="AX342" i="1"/>
  <c r="AY342" i="1"/>
  <c r="AZ342" i="1"/>
  <c r="BA342" i="1"/>
  <c r="BB342" i="1"/>
  <c r="BC342" i="1"/>
  <c r="BD342" i="1"/>
  <c r="BE342" i="1"/>
  <c r="BF342" i="1"/>
  <c r="BG342" i="1"/>
  <c r="BH342" i="1"/>
  <c r="J343" i="1"/>
  <c r="K343" i="1"/>
  <c r="L343" i="1"/>
  <c r="M343" i="1"/>
  <c r="N343" i="1"/>
  <c r="O343" i="1"/>
  <c r="P343" i="1"/>
  <c r="Q343" i="1"/>
  <c r="R343" i="1"/>
  <c r="S343" i="1"/>
  <c r="T343" i="1"/>
  <c r="U343" i="1"/>
  <c r="V343" i="1"/>
  <c r="W343" i="1"/>
  <c r="X343" i="1"/>
  <c r="Y343" i="1"/>
  <c r="Z343" i="1"/>
  <c r="AA343" i="1"/>
  <c r="AB343" i="1"/>
  <c r="AC343" i="1"/>
  <c r="AD343" i="1"/>
  <c r="AE343" i="1"/>
  <c r="AF343" i="1"/>
  <c r="AG343" i="1"/>
  <c r="AH343" i="1"/>
  <c r="AI343" i="1"/>
  <c r="AJ343" i="1"/>
  <c r="AK343" i="1"/>
  <c r="AL343" i="1"/>
  <c r="AM343" i="1"/>
  <c r="AN343" i="1"/>
  <c r="AO343" i="1"/>
  <c r="AP343" i="1"/>
  <c r="AQ343" i="1"/>
  <c r="AR343" i="1"/>
  <c r="AS343" i="1"/>
  <c r="AT343" i="1"/>
  <c r="AU343" i="1"/>
  <c r="AV343" i="1"/>
  <c r="AW343" i="1"/>
  <c r="AX343" i="1"/>
  <c r="AY343" i="1"/>
  <c r="AZ343" i="1"/>
  <c r="BA343" i="1"/>
  <c r="BB343" i="1"/>
  <c r="BC343" i="1"/>
  <c r="BD343" i="1"/>
  <c r="BE343" i="1"/>
  <c r="BF343" i="1"/>
  <c r="BG343" i="1"/>
  <c r="BH343" i="1"/>
  <c r="J344" i="1"/>
  <c r="K344" i="1"/>
  <c r="L344" i="1"/>
  <c r="M344" i="1"/>
  <c r="N344" i="1"/>
  <c r="O344" i="1"/>
  <c r="P344" i="1"/>
  <c r="Q344" i="1"/>
  <c r="R344" i="1"/>
  <c r="S344" i="1"/>
  <c r="T344" i="1"/>
  <c r="U344" i="1"/>
  <c r="V344" i="1"/>
  <c r="W344" i="1"/>
  <c r="X344" i="1"/>
  <c r="Y344" i="1"/>
  <c r="Z344" i="1"/>
  <c r="AA344" i="1"/>
  <c r="AB344" i="1"/>
  <c r="AC344" i="1"/>
  <c r="AD344" i="1"/>
  <c r="AE344" i="1"/>
  <c r="AF344" i="1"/>
  <c r="AG344" i="1"/>
  <c r="AH344" i="1"/>
  <c r="AI344" i="1"/>
  <c r="AJ344" i="1"/>
  <c r="AK344" i="1"/>
  <c r="AL344" i="1"/>
  <c r="AM344" i="1"/>
  <c r="AN344" i="1"/>
  <c r="AO344" i="1"/>
  <c r="AP344" i="1"/>
  <c r="AQ344" i="1"/>
  <c r="AR344" i="1"/>
  <c r="AS344" i="1"/>
  <c r="AT344" i="1"/>
  <c r="AU344" i="1"/>
  <c r="AV344" i="1"/>
  <c r="AW344" i="1"/>
  <c r="AX344" i="1"/>
  <c r="AY344" i="1"/>
  <c r="AZ344" i="1"/>
  <c r="BA344" i="1"/>
  <c r="BB344" i="1"/>
  <c r="BC344" i="1"/>
  <c r="BD344" i="1"/>
  <c r="BE344" i="1"/>
  <c r="BF344" i="1"/>
  <c r="BG344" i="1"/>
  <c r="BH344" i="1"/>
  <c r="J345" i="1"/>
  <c r="K345" i="1"/>
  <c r="L345" i="1"/>
  <c r="M345" i="1"/>
  <c r="N345" i="1"/>
  <c r="O345" i="1"/>
  <c r="P345" i="1"/>
  <c r="Q345" i="1"/>
  <c r="R345" i="1"/>
  <c r="S345" i="1"/>
  <c r="T345" i="1"/>
  <c r="U345" i="1"/>
  <c r="V345" i="1"/>
  <c r="W345" i="1"/>
  <c r="X345" i="1"/>
  <c r="Y345" i="1"/>
  <c r="Z345" i="1"/>
  <c r="AA345" i="1"/>
  <c r="AB345" i="1"/>
  <c r="AC345" i="1"/>
  <c r="AD345" i="1"/>
  <c r="AE345" i="1"/>
  <c r="AF345" i="1"/>
  <c r="AG345" i="1"/>
  <c r="AH345" i="1"/>
  <c r="AI345" i="1"/>
  <c r="AJ345" i="1"/>
  <c r="AK345" i="1"/>
  <c r="AL345" i="1"/>
  <c r="AM345" i="1"/>
  <c r="AN345" i="1"/>
  <c r="AO345" i="1"/>
  <c r="AP345" i="1"/>
  <c r="AQ345" i="1"/>
  <c r="AR345" i="1"/>
  <c r="AS345" i="1"/>
  <c r="AT345" i="1"/>
  <c r="AU345" i="1"/>
  <c r="AV345" i="1"/>
  <c r="AW345" i="1"/>
  <c r="AX345" i="1"/>
  <c r="AY345" i="1"/>
  <c r="AZ345" i="1"/>
  <c r="BA345" i="1"/>
  <c r="BB345" i="1"/>
  <c r="BC345" i="1"/>
  <c r="BD345" i="1"/>
  <c r="BE345" i="1"/>
  <c r="BF345" i="1"/>
  <c r="BG345" i="1"/>
  <c r="BH345" i="1"/>
  <c r="J346" i="1"/>
  <c r="K346" i="1"/>
  <c r="L346" i="1"/>
  <c r="M346" i="1"/>
  <c r="N346" i="1"/>
  <c r="O346" i="1"/>
  <c r="P346" i="1"/>
  <c r="Q346" i="1"/>
  <c r="R346" i="1"/>
  <c r="S346" i="1"/>
  <c r="T346" i="1"/>
  <c r="U346" i="1"/>
  <c r="V346" i="1"/>
  <c r="W346" i="1"/>
  <c r="X346" i="1"/>
  <c r="Y346" i="1"/>
  <c r="Z346" i="1"/>
  <c r="AA346" i="1"/>
  <c r="AB346" i="1"/>
  <c r="AC346" i="1"/>
  <c r="AD346" i="1"/>
  <c r="AE346" i="1"/>
  <c r="AF346" i="1"/>
  <c r="AG346" i="1"/>
  <c r="AH346" i="1"/>
  <c r="AI346" i="1"/>
  <c r="AJ346" i="1"/>
  <c r="AK346" i="1"/>
  <c r="AL346" i="1"/>
  <c r="AM346" i="1"/>
  <c r="AN346" i="1"/>
  <c r="AO346" i="1"/>
  <c r="AP346" i="1"/>
  <c r="AQ346" i="1"/>
  <c r="AR346" i="1"/>
  <c r="AS346" i="1"/>
  <c r="AT346" i="1"/>
  <c r="AU346" i="1"/>
  <c r="AV346" i="1"/>
  <c r="AW346" i="1"/>
  <c r="AX346" i="1"/>
  <c r="AY346" i="1"/>
  <c r="AZ346" i="1"/>
  <c r="BA346" i="1"/>
  <c r="BB346" i="1"/>
  <c r="BC346" i="1"/>
  <c r="BD346" i="1"/>
  <c r="BE346" i="1"/>
  <c r="BF346" i="1"/>
  <c r="BG346" i="1"/>
  <c r="BH346" i="1"/>
  <c r="J347" i="1"/>
  <c r="K347" i="1"/>
  <c r="L347" i="1"/>
  <c r="M347" i="1"/>
  <c r="N347" i="1"/>
  <c r="O347" i="1"/>
  <c r="P347" i="1"/>
  <c r="Q347" i="1"/>
  <c r="R347" i="1"/>
  <c r="S347" i="1"/>
  <c r="T347" i="1"/>
  <c r="U347" i="1"/>
  <c r="V347" i="1"/>
  <c r="W347" i="1"/>
  <c r="X347" i="1"/>
  <c r="Y347" i="1"/>
  <c r="Z347" i="1"/>
  <c r="AA347" i="1"/>
  <c r="AB347" i="1"/>
  <c r="AC347" i="1"/>
  <c r="AD347" i="1"/>
  <c r="AE347" i="1"/>
  <c r="AF347" i="1"/>
  <c r="AG347" i="1"/>
  <c r="AH347" i="1"/>
  <c r="AI347" i="1"/>
  <c r="AJ347" i="1"/>
  <c r="AK347" i="1"/>
  <c r="AL347" i="1"/>
  <c r="AM347" i="1"/>
  <c r="AN347" i="1"/>
  <c r="AO347" i="1"/>
  <c r="AP347" i="1"/>
  <c r="AQ347" i="1"/>
  <c r="AR347" i="1"/>
  <c r="AS347" i="1"/>
  <c r="AT347" i="1"/>
  <c r="AU347" i="1"/>
  <c r="AV347" i="1"/>
  <c r="AW347" i="1"/>
  <c r="AX347" i="1"/>
  <c r="AY347" i="1"/>
  <c r="AZ347" i="1"/>
  <c r="BA347" i="1"/>
  <c r="BB347" i="1"/>
  <c r="BC347" i="1"/>
  <c r="BD347" i="1"/>
  <c r="BE347" i="1"/>
  <c r="BF347" i="1"/>
  <c r="BG347" i="1"/>
  <c r="BH347" i="1"/>
  <c r="J348" i="1"/>
  <c r="K348" i="1"/>
  <c r="L348" i="1"/>
  <c r="M348" i="1"/>
  <c r="N348" i="1"/>
  <c r="O348" i="1"/>
  <c r="P348" i="1"/>
  <c r="Q348" i="1"/>
  <c r="R348" i="1"/>
  <c r="S348" i="1"/>
  <c r="T348" i="1"/>
  <c r="U348" i="1"/>
  <c r="V348" i="1"/>
  <c r="W348" i="1"/>
  <c r="X348" i="1"/>
  <c r="Y348" i="1"/>
  <c r="Z348" i="1"/>
  <c r="AA348" i="1"/>
  <c r="AB348" i="1"/>
  <c r="AC348" i="1"/>
  <c r="AD348" i="1"/>
  <c r="AE348" i="1"/>
  <c r="AF348" i="1"/>
  <c r="AG348" i="1"/>
  <c r="AH348" i="1"/>
  <c r="AI348" i="1"/>
  <c r="AJ348" i="1"/>
  <c r="AK348" i="1"/>
  <c r="AL348" i="1"/>
  <c r="AM348" i="1"/>
  <c r="AN348" i="1"/>
  <c r="AO348" i="1"/>
  <c r="AP348" i="1"/>
  <c r="AQ348" i="1"/>
  <c r="AR348" i="1"/>
  <c r="AS348" i="1"/>
  <c r="AT348" i="1"/>
  <c r="AU348" i="1"/>
  <c r="AV348" i="1"/>
  <c r="AW348" i="1"/>
  <c r="AX348" i="1"/>
  <c r="AY348" i="1"/>
  <c r="AZ348" i="1"/>
  <c r="BA348" i="1"/>
  <c r="BB348" i="1"/>
  <c r="BC348" i="1"/>
  <c r="BD348" i="1"/>
  <c r="BE348" i="1"/>
  <c r="BF348" i="1"/>
  <c r="BG348" i="1"/>
  <c r="BH348"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177" i="1"/>
  <c r="H299" i="1"/>
  <c r="E77" i="5"/>
  <c r="F77" i="5"/>
  <c r="G77" i="5"/>
  <c r="H77" i="5"/>
  <c r="I77" i="5"/>
  <c r="J77" i="5"/>
  <c r="K77" i="5"/>
  <c r="L77" i="5"/>
  <c r="M77" i="5"/>
  <c r="N77" i="5"/>
  <c r="O77" i="5"/>
  <c r="P77" i="5"/>
  <c r="Q77" i="5"/>
  <c r="R77" i="5"/>
  <c r="S77" i="5"/>
  <c r="T77" i="5"/>
  <c r="U77" i="5"/>
  <c r="V77" i="5"/>
  <c r="E78" i="5"/>
  <c r="F78" i="5"/>
  <c r="G78" i="5"/>
  <c r="H78" i="5"/>
  <c r="I78" i="5"/>
  <c r="J78" i="5"/>
  <c r="K78" i="5"/>
  <c r="L78" i="5"/>
  <c r="M78" i="5"/>
  <c r="N78" i="5"/>
  <c r="O78" i="5"/>
  <c r="P78" i="5"/>
  <c r="Q78" i="5"/>
  <c r="R78" i="5"/>
  <c r="S78" i="5"/>
  <c r="T78" i="5"/>
  <c r="U78" i="5"/>
  <c r="V78" i="5"/>
  <c r="E79" i="5"/>
  <c r="F79" i="5"/>
  <c r="G79" i="5"/>
  <c r="H79" i="5"/>
  <c r="I79" i="5"/>
  <c r="J79" i="5"/>
  <c r="K79" i="5"/>
  <c r="L79" i="5"/>
  <c r="M79" i="5"/>
  <c r="N79" i="5"/>
  <c r="O79" i="5"/>
  <c r="P79" i="5"/>
  <c r="Q79" i="5"/>
  <c r="R79" i="5"/>
  <c r="S79" i="5"/>
  <c r="T79" i="5"/>
  <c r="U79" i="5"/>
  <c r="V79" i="5"/>
  <c r="E80" i="5"/>
  <c r="F80" i="5"/>
  <c r="G80" i="5"/>
  <c r="H80" i="5"/>
  <c r="I80" i="5"/>
  <c r="J80" i="5"/>
  <c r="K80" i="5"/>
  <c r="L80" i="5"/>
  <c r="M80" i="5"/>
  <c r="N80" i="5"/>
  <c r="O80" i="5"/>
  <c r="P80" i="5"/>
  <c r="Q80" i="5"/>
  <c r="R80" i="5"/>
  <c r="S80" i="5"/>
  <c r="T80" i="5"/>
  <c r="U80" i="5"/>
  <c r="V80" i="5"/>
  <c r="E81" i="5"/>
  <c r="F81" i="5"/>
  <c r="G81" i="5"/>
  <c r="H81" i="5"/>
  <c r="I81" i="5"/>
  <c r="J81" i="5"/>
  <c r="K81" i="5"/>
  <c r="L81" i="5"/>
  <c r="M81" i="5"/>
  <c r="N81" i="5"/>
  <c r="O81" i="5"/>
  <c r="P81" i="5"/>
  <c r="Q81" i="5"/>
  <c r="R81" i="5"/>
  <c r="S81" i="5"/>
  <c r="T81" i="5"/>
  <c r="U81" i="5"/>
  <c r="V81" i="5"/>
  <c r="E82" i="5"/>
  <c r="F82" i="5"/>
  <c r="G82" i="5"/>
  <c r="H82" i="5"/>
  <c r="I82" i="5"/>
  <c r="J82" i="5"/>
  <c r="K82" i="5"/>
  <c r="L82" i="5"/>
  <c r="M82" i="5"/>
  <c r="N82" i="5"/>
  <c r="O82" i="5"/>
  <c r="P82" i="5"/>
  <c r="Q82" i="5"/>
  <c r="R82" i="5"/>
  <c r="S82" i="5"/>
  <c r="T82" i="5"/>
  <c r="U82" i="5"/>
  <c r="V82" i="5"/>
  <c r="E83" i="5"/>
  <c r="F83" i="5"/>
  <c r="G83" i="5"/>
  <c r="H83" i="5"/>
  <c r="I83" i="5"/>
  <c r="J83" i="5"/>
  <c r="K83" i="5"/>
  <c r="L83" i="5"/>
  <c r="M83" i="5"/>
  <c r="N83" i="5"/>
  <c r="O83" i="5"/>
  <c r="P83" i="5"/>
  <c r="Q83" i="5"/>
  <c r="R83" i="5"/>
  <c r="S83" i="5"/>
  <c r="T83" i="5"/>
  <c r="U83" i="5"/>
  <c r="V83" i="5"/>
  <c r="E84" i="5"/>
  <c r="F84" i="5"/>
  <c r="G84" i="5"/>
  <c r="H84" i="5"/>
  <c r="I84" i="5"/>
  <c r="J84" i="5"/>
  <c r="K84" i="5"/>
  <c r="L84" i="5"/>
  <c r="M84" i="5"/>
  <c r="N84" i="5"/>
  <c r="O84" i="5"/>
  <c r="P84" i="5"/>
  <c r="Q84" i="5"/>
  <c r="R84" i="5"/>
  <c r="S84" i="5"/>
  <c r="T84" i="5"/>
  <c r="U84" i="5"/>
  <c r="V84" i="5"/>
  <c r="E85" i="5"/>
  <c r="F85" i="5"/>
  <c r="G85" i="5"/>
  <c r="H85" i="5"/>
  <c r="I85" i="5"/>
  <c r="J85" i="5"/>
  <c r="K85" i="5"/>
  <c r="L85" i="5"/>
  <c r="M85" i="5"/>
  <c r="N85" i="5"/>
  <c r="O85" i="5"/>
  <c r="P85" i="5"/>
  <c r="Q85" i="5"/>
  <c r="R85" i="5"/>
  <c r="S85" i="5"/>
  <c r="T85" i="5"/>
  <c r="U85" i="5"/>
  <c r="V85" i="5"/>
  <c r="E86" i="5"/>
  <c r="F86" i="5"/>
  <c r="G86" i="5"/>
  <c r="H86" i="5"/>
  <c r="I86" i="5"/>
  <c r="J86" i="5"/>
  <c r="K86" i="5"/>
  <c r="L86" i="5"/>
  <c r="M86" i="5"/>
  <c r="N86" i="5"/>
  <c r="O86" i="5"/>
  <c r="P86" i="5"/>
  <c r="Q86" i="5"/>
  <c r="R86" i="5"/>
  <c r="S86" i="5"/>
  <c r="T86" i="5"/>
  <c r="U86" i="5"/>
  <c r="V86" i="5"/>
  <c r="E87" i="5"/>
  <c r="F87" i="5"/>
  <c r="G87" i="5"/>
  <c r="H87" i="5"/>
  <c r="I87" i="5"/>
  <c r="J87" i="5"/>
  <c r="K87" i="5"/>
  <c r="L87" i="5"/>
  <c r="M87" i="5"/>
  <c r="N87" i="5"/>
  <c r="O87" i="5"/>
  <c r="P87" i="5"/>
  <c r="Q87" i="5"/>
  <c r="R87" i="5"/>
  <c r="S87" i="5"/>
  <c r="T87" i="5"/>
  <c r="U87" i="5"/>
  <c r="V87" i="5"/>
  <c r="E88" i="5"/>
  <c r="F88" i="5"/>
  <c r="G88" i="5"/>
  <c r="H88" i="5"/>
  <c r="I88" i="5"/>
  <c r="J88" i="5"/>
  <c r="K88" i="5"/>
  <c r="L88" i="5"/>
  <c r="M88" i="5"/>
  <c r="N88" i="5"/>
  <c r="O88" i="5"/>
  <c r="P88" i="5"/>
  <c r="Q88" i="5"/>
  <c r="R88" i="5"/>
  <c r="S88" i="5"/>
  <c r="T88" i="5"/>
  <c r="U88" i="5"/>
  <c r="V88" i="5"/>
  <c r="E89" i="5"/>
  <c r="F89" i="5"/>
  <c r="G89" i="5"/>
  <c r="H89" i="5"/>
  <c r="I89" i="5"/>
  <c r="J89" i="5"/>
  <c r="K89" i="5"/>
  <c r="L89" i="5"/>
  <c r="M89" i="5"/>
  <c r="N89" i="5"/>
  <c r="O89" i="5"/>
  <c r="P89" i="5"/>
  <c r="Q89" i="5"/>
  <c r="R89" i="5"/>
  <c r="S89" i="5"/>
  <c r="T89" i="5"/>
  <c r="U89" i="5"/>
  <c r="V89" i="5"/>
  <c r="E90" i="5"/>
  <c r="F90" i="5"/>
  <c r="G90" i="5"/>
  <c r="H90" i="5"/>
  <c r="I90" i="5"/>
  <c r="J90" i="5"/>
  <c r="K90" i="5"/>
  <c r="L90" i="5"/>
  <c r="M90" i="5"/>
  <c r="N90" i="5"/>
  <c r="O90" i="5"/>
  <c r="P90" i="5"/>
  <c r="Q90" i="5"/>
  <c r="R90" i="5"/>
  <c r="S90" i="5"/>
  <c r="T90" i="5"/>
  <c r="U90" i="5"/>
  <c r="V90" i="5"/>
  <c r="E91" i="5"/>
  <c r="F91" i="5"/>
  <c r="G91" i="5"/>
  <c r="H91" i="5"/>
  <c r="I91" i="5"/>
  <c r="J91" i="5"/>
  <c r="K91" i="5"/>
  <c r="L91" i="5"/>
  <c r="M91" i="5"/>
  <c r="N91" i="5"/>
  <c r="O91" i="5"/>
  <c r="P91" i="5"/>
  <c r="Q91" i="5"/>
  <c r="R91" i="5"/>
  <c r="S91" i="5"/>
  <c r="T91" i="5"/>
  <c r="U91" i="5"/>
  <c r="V91" i="5"/>
  <c r="E92" i="5"/>
  <c r="F92" i="5"/>
  <c r="G92" i="5"/>
  <c r="H92" i="5"/>
  <c r="I92" i="5"/>
  <c r="J92" i="5"/>
  <c r="K92" i="5"/>
  <c r="L92" i="5"/>
  <c r="M92" i="5"/>
  <c r="N92" i="5"/>
  <c r="O92" i="5"/>
  <c r="P92" i="5"/>
  <c r="Q92" i="5"/>
  <c r="R92" i="5"/>
  <c r="S92" i="5"/>
  <c r="T92" i="5"/>
  <c r="U92" i="5"/>
  <c r="V92" i="5"/>
  <c r="E93" i="5"/>
  <c r="F93" i="5"/>
  <c r="G93" i="5"/>
  <c r="H93" i="5"/>
  <c r="I93" i="5"/>
  <c r="J93" i="5"/>
  <c r="K93" i="5"/>
  <c r="L93" i="5"/>
  <c r="M93" i="5"/>
  <c r="N93" i="5"/>
  <c r="O93" i="5"/>
  <c r="P93" i="5"/>
  <c r="Q93" i="5"/>
  <c r="R93" i="5"/>
  <c r="S93" i="5"/>
  <c r="T93" i="5"/>
  <c r="U93" i="5"/>
  <c r="V93" i="5"/>
  <c r="E94" i="5"/>
  <c r="F94" i="5"/>
  <c r="G94" i="5"/>
  <c r="H94" i="5"/>
  <c r="I94" i="5"/>
  <c r="J94" i="5"/>
  <c r="K94" i="5"/>
  <c r="L94" i="5"/>
  <c r="M94" i="5"/>
  <c r="N94" i="5"/>
  <c r="O94" i="5"/>
  <c r="P94" i="5"/>
  <c r="Q94" i="5"/>
  <c r="R94" i="5"/>
  <c r="S94" i="5"/>
  <c r="T94" i="5"/>
  <c r="U94" i="5"/>
  <c r="V94" i="5"/>
  <c r="E95" i="5"/>
  <c r="F95" i="5"/>
  <c r="G95" i="5"/>
  <c r="H95" i="5"/>
  <c r="I95" i="5"/>
  <c r="J95" i="5"/>
  <c r="K95" i="5"/>
  <c r="L95" i="5"/>
  <c r="M95" i="5"/>
  <c r="N95" i="5"/>
  <c r="O95" i="5"/>
  <c r="P95" i="5"/>
  <c r="Q95" i="5"/>
  <c r="R95" i="5"/>
  <c r="S95" i="5"/>
  <c r="T95" i="5"/>
  <c r="U95" i="5"/>
  <c r="V95" i="5"/>
  <c r="E96" i="5"/>
  <c r="F96" i="5"/>
  <c r="G96" i="5"/>
  <c r="H96" i="5"/>
  <c r="I96" i="5"/>
  <c r="J96" i="5"/>
  <c r="K96" i="5"/>
  <c r="L96" i="5"/>
  <c r="M96" i="5"/>
  <c r="N96" i="5"/>
  <c r="O96" i="5"/>
  <c r="P96" i="5"/>
  <c r="Q96" i="5"/>
  <c r="R96" i="5"/>
  <c r="S96" i="5"/>
  <c r="T96" i="5"/>
  <c r="U96" i="5"/>
  <c r="V96" i="5"/>
  <c r="E97" i="5"/>
  <c r="F97" i="5"/>
  <c r="G97" i="5"/>
  <c r="H97" i="5"/>
  <c r="I97" i="5"/>
  <c r="J97" i="5"/>
  <c r="K97" i="5"/>
  <c r="L97" i="5"/>
  <c r="M97" i="5"/>
  <c r="N97" i="5"/>
  <c r="O97" i="5"/>
  <c r="P97" i="5"/>
  <c r="Q97" i="5"/>
  <c r="R97" i="5"/>
  <c r="S97" i="5"/>
  <c r="T97" i="5"/>
  <c r="U97" i="5"/>
  <c r="V97" i="5"/>
  <c r="E98" i="5"/>
  <c r="F98" i="5"/>
  <c r="G98" i="5"/>
  <c r="H98" i="5"/>
  <c r="I98" i="5"/>
  <c r="J98" i="5"/>
  <c r="K98" i="5"/>
  <c r="L98" i="5"/>
  <c r="M98" i="5"/>
  <c r="N98" i="5"/>
  <c r="O98" i="5"/>
  <c r="P98" i="5"/>
  <c r="Q98" i="5"/>
  <c r="R98" i="5"/>
  <c r="S98" i="5"/>
  <c r="T98" i="5"/>
  <c r="U98" i="5"/>
  <c r="V98" i="5"/>
  <c r="E99" i="5"/>
  <c r="F99" i="5"/>
  <c r="G99" i="5"/>
  <c r="H99" i="5"/>
  <c r="I99" i="5"/>
  <c r="J99" i="5"/>
  <c r="K99" i="5"/>
  <c r="L99" i="5"/>
  <c r="M99" i="5"/>
  <c r="N99" i="5"/>
  <c r="O99" i="5"/>
  <c r="P99" i="5"/>
  <c r="Q99" i="5"/>
  <c r="R99" i="5"/>
  <c r="S99" i="5"/>
  <c r="T99" i="5"/>
  <c r="U99" i="5"/>
  <c r="V99" i="5"/>
  <c r="E100" i="5"/>
  <c r="F100" i="5"/>
  <c r="G100" i="5"/>
  <c r="H100" i="5"/>
  <c r="I100" i="5"/>
  <c r="J100" i="5"/>
  <c r="K100" i="5"/>
  <c r="L100" i="5"/>
  <c r="M100" i="5"/>
  <c r="N100" i="5"/>
  <c r="O100" i="5"/>
  <c r="P100" i="5"/>
  <c r="Q100" i="5"/>
  <c r="R100" i="5"/>
  <c r="S100" i="5"/>
  <c r="T100" i="5"/>
  <c r="U100" i="5"/>
  <c r="V100" i="5"/>
  <c r="E101" i="5"/>
  <c r="F101" i="5"/>
  <c r="G101" i="5"/>
  <c r="H101" i="5"/>
  <c r="I101" i="5"/>
  <c r="J101" i="5"/>
  <c r="K101" i="5"/>
  <c r="L101" i="5"/>
  <c r="M101" i="5"/>
  <c r="N101" i="5"/>
  <c r="O101" i="5"/>
  <c r="P101" i="5"/>
  <c r="Q101" i="5"/>
  <c r="R101" i="5"/>
  <c r="S101" i="5"/>
  <c r="T101" i="5"/>
  <c r="U101" i="5"/>
  <c r="V101" i="5"/>
  <c r="E102" i="5"/>
  <c r="F102" i="5"/>
  <c r="G102" i="5"/>
  <c r="H102" i="5"/>
  <c r="I102" i="5"/>
  <c r="J102" i="5"/>
  <c r="K102" i="5"/>
  <c r="L102" i="5"/>
  <c r="M102" i="5"/>
  <c r="N102" i="5"/>
  <c r="O102" i="5"/>
  <c r="P102" i="5"/>
  <c r="Q102" i="5"/>
  <c r="R102" i="5"/>
  <c r="S102" i="5"/>
  <c r="T102" i="5"/>
  <c r="U102" i="5"/>
  <c r="V102" i="5"/>
  <c r="E103" i="5"/>
  <c r="F103" i="5"/>
  <c r="G103" i="5"/>
  <c r="H103" i="5"/>
  <c r="I103" i="5"/>
  <c r="J103" i="5"/>
  <c r="K103" i="5"/>
  <c r="L103" i="5"/>
  <c r="M103" i="5"/>
  <c r="N103" i="5"/>
  <c r="O103" i="5"/>
  <c r="P103" i="5"/>
  <c r="Q103" i="5"/>
  <c r="R103" i="5"/>
  <c r="S103" i="5"/>
  <c r="T103" i="5"/>
  <c r="U103" i="5"/>
  <c r="V103" i="5"/>
  <c r="E104" i="5"/>
  <c r="F104" i="5"/>
  <c r="G104" i="5"/>
  <c r="H104" i="5"/>
  <c r="I104" i="5"/>
  <c r="J104" i="5"/>
  <c r="K104" i="5"/>
  <c r="L104" i="5"/>
  <c r="M104" i="5"/>
  <c r="N104" i="5"/>
  <c r="O104" i="5"/>
  <c r="P104" i="5"/>
  <c r="Q104" i="5"/>
  <c r="R104" i="5"/>
  <c r="S104" i="5"/>
  <c r="T104" i="5"/>
  <c r="U104" i="5"/>
  <c r="V104" i="5"/>
  <c r="E105" i="5"/>
  <c r="F105" i="5"/>
  <c r="G105" i="5"/>
  <c r="H105" i="5"/>
  <c r="I105" i="5"/>
  <c r="J105" i="5"/>
  <c r="K105" i="5"/>
  <c r="L105" i="5"/>
  <c r="M105" i="5"/>
  <c r="N105" i="5"/>
  <c r="O105" i="5"/>
  <c r="P105" i="5"/>
  <c r="Q105" i="5"/>
  <c r="R105" i="5"/>
  <c r="S105" i="5"/>
  <c r="T105" i="5"/>
  <c r="U105" i="5"/>
  <c r="V105" i="5"/>
  <c r="E106" i="5"/>
  <c r="F106" i="5"/>
  <c r="G106" i="5"/>
  <c r="H106" i="5"/>
  <c r="I106" i="5"/>
  <c r="J106" i="5"/>
  <c r="K106" i="5"/>
  <c r="L106" i="5"/>
  <c r="M106" i="5"/>
  <c r="N106" i="5"/>
  <c r="O106" i="5"/>
  <c r="P106" i="5"/>
  <c r="Q106" i="5"/>
  <c r="R106" i="5"/>
  <c r="S106" i="5"/>
  <c r="T106" i="5"/>
  <c r="U106" i="5"/>
  <c r="V106" i="5"/>
  <c r="E107" i="5"/>
  <c r="F107" i="5"/>
  <c r="G107" i="5"/>
  <c r="H107" i="5"/>
  <c r="I107" i="5"/>
  <c r="J107" i="5"/>
  <c r="K107" i="5"/>
  <c r="L107" i="5"/>
  <c r="M107" i="5"/>
  <c r="N107" i="5"/>
  <c r="O107" i="5"/>
  <c r="P107" i="5"/>
  <c r="Q107" i="5"/>
  <c r="R107" i="5"/>
  <c r="S107" i="5"/>
  <c r="T107" i="5"/>
  <c r="U107" i="5"/>
  <c r="V107" i="5"/>
  <c r="E108" i="5"/>
  <c r="F108" i="5"/>
  <c r="G108" i="5"/>
  <c r="H108" i="5"/>
  <c r="I108" i="5"/>
  <c r="J108" i="5"/>
  <c r="K108" i="5"/>
  <c r="L108" i="5"/>
  <c r="M108" i="5"/>
  <c r="N108" i="5"/>
  <c r="O108" i="5"/>
  <c r="P108" i="5"/>
  <c r="Q108" i="5"/>
  <c r="R108" i="5"/>
  <c r="S108" i="5"/>
  <c r="T108" i="5"/>
  <c r="U108" i="5"/>
  <c r="V108" i="5"/>
  <c r="E109" i="5"/>
  <c r="F109" i="5"/>
  <c r="G109" i="5"/>
  <c r="H109" i="5"/>
  <c r="I109" i="5"/>
  <c r="J109" i="5"/>
  <c r="K109" i="5"/>
  <c r="L109" i="5"/>
  <c r="M109" i="5"/>
  <c r="N109" i="5"/>
  <c r="O109" i="5"/>
  <c r="P109" i="5"/>
  <c r="Q109" i="5"/>
  <c r="R109" i="5"/>
  <c r="S109" i="5"/>
  <c r="T109" i="5"/>
  <c r="U109" i="5"/>
  <c r="V109" i="5"/>
  <c r="E110" i="5"/>
  <c r="F110" i="5"/>
  <c r="G110" i="5"/>
  <c r="H110" i="5"/>
  <c r="I110" i="5"/>
  <c r="J110" i="5"/>
  <c r="K110" i="5"/>
  <c r="L110" i="5"/>
  <c r="M110" i="5"/>
  <c r="N110" i="5"/>
  <c r="O110" i="5"/>
  <c r="P110" i="5"/>
  <c r="Q110" i="5"/>
  <c r="R110" i="5"/>
  <c r="S110" i="5"/>
  <c r="T110" i="5"/>
  <c r="U110" i="5"/>
  <c r="V110" i="5"/>
  <c r="E111" i="5"/>
  <c r="F111" i="5"/>
  <c r="G111" i="5"/>
  <c r="H111" i="5"/>
  <c r="I111" i="5"/>
  <c r="J111" i="5"/>
  <c r="K111" i="5"/>
  <c r="L111" i="5"/>
  <c r="M111" i="5"/>
  <c r="N111" i="5"/>
  <c r="O111" i="5"/>
  <c r="P111" i="5"/>
  <c r="Q111" i="5"/>
  <c r="R111" i="5"/>
  <c r="S111" i="5"/>
  <c r="T111" i="5"/>
  <c r="U111" i="5"/>
  <c r="V111" i="5"/>
  <c r="E112" i="5"/>
  <c r="F112" i="5"/>
  <c r="G112" i="5"/>
  <c r="H112" i="5"/>
  <c r="I112" i="5"/>
  <c r="J112" i="5"/>
  <c r="K112" i="5"/>
  <c r="L112" i="5"/>
  <c r="M112" i="5"/>
  <c r="N112" i="5"/>
  <c r="O112" i="5"/>
  <c r="P112" i="5"/>
  <c r="Q112" i="5"/>
  <c r="R112" i="5"/>
  <c r="S112" i="5"/>
  <c r="T112" i="5"/>
  <c r="U112" i="5"/>
  <c r="V112" i="5"/>
  <c r="E113" i="5"/>
  <c r="F113" i="5"/>
  <c r="G113" i="5"/>
  <c r="H113" i="5"/>
  <c r="I113" i="5"/>
  <c r="J113" i="5"/>
  <c r="K113" i="5"/>
  <c r="L113" i="5"/>
  <c r="M113" i="5"/>
  <c r="N113" i="5"/>
  <c r="O113" i="5"/>
  <c r="P113" i="5"/>
  <c r="Q113" i="5"/>
  <c r="R113" i="5"/>
  <c r="S113" i="5"/>
  <c r="T113" i="5"/>
  <c r="U113" i="5"/>
  <c r="V113" i="5"/>
  <c r="E114" i="5"/>
  <c r="F114" i="5"/>
  <c r="G114" i="5"/>
  <c r="H114" i="5"/>
  <c r="I114" i="5"/>
  <c r="J114" i="5"/>
  <c r="K114" i="5"/>
  <c r="L114" i="5"/>
  <c r="M114" i="5"/>
  <c r="N114" i="5"/>
  <c r="O114" i="5"/>
  <c r="P114" i="5"/>
  <c r="Q114" i="5"/>
  <c r="R114" i="5"/>
  <c r="S114" i="5"/>
  <c r="T114" i="5"/>
  <c r="U114" i="5"/>
  <c r="V114" i="5"/>
  <c r="E115" i="5"/>
  <c r="F115" i="5"/>
  <c r="G115" i="5"/>
  <c r="H115" i="5"/>
  <c r="I115" i="5"/>
  <c r="J115" i="5"/>
  <c r="K115" i="5"/>
  <c r="L115" i="5"/>
  <c r="M115" i="5"/>
  <c r="N115" i="5"/>
  <c r="O115" i="5"/>
  <c r="P115" i="5"/>
  <c r="Q115" i="5"/>
  <c r="R115" i="5"/>
  <c r="S115" i="5"/>
  <c r="T115" i="5"/>
  <c r="U115" i="5"/>
  <c r="V115" i="5"/>
  <c r="E116" i="5"/>
  <c r="F116" i="5"/>
  <c r="G116" i="5"/>
  <c r="H116" i="5"/>
  <c r="I116" i="5"/>
  <c r="J116" i="5"/>
  <c r="K116" i="5"/>
  <c r="L116" i="5"/>
  <c r="M116" i="5"/>
  <c r="N116" i="5"/>
  <c r="O116" i="5"/>
  <c r="P116" i="5"/>
  <c r="Q116" i="5"/>
  <c r="R116" i="5"/>
  <c r="S116" i="5"/>
  <c r="T116" i="5"/>
  <c r="U116" i="5"/>
  <c r="V116" i="5"/>
  <c r="E117" i="5"/>
  <c r="F117" i="5"/>
  <c r="G117" i="5"/>
  <c r="H117" i="5"/>
  <c r="I117" i="5"/>
  <c r="J117" i="5"/>
  <c r="K117" i="5"/>
  <c r="L117" i="5"/>
  <c r="M117" i="5"/>
  <c r="N117" i="5"/>
  <c r="O117" i="5"/>
  <c r="P117" i="5"/>
  <c r="Q117" i="5"/>
  <c r="R117" i="5"/>
  <c r="S117" i="5"/>
  <c r="T117" i="5"/>
  <c r="U117" i="5"/>
  <c r="V117" i="5"/>
  <c r="E118" i="5"/>
  <c r="F118" i="5"/>
  <c r="G118" i="5"/>
  <c r="H118" i="5"/>
  <c r="I118" i="5"/>
  <c r="J118" i="5"/>
  <c r="K118" i="5"/>
  <c r="L118" i="5"/>
  <c r="M118" i="5"/>
  <c r="N118" i="5"/>
  <c r="O118" i="5"/>
  <c r="P118" i="5"/>
  <c r="Q118" i="5"/>
  <c r="R118" i="5"/>
  <c r="S118" i="5"/>
  <c r="T118" i="5"/>
  <c r="U118" i="5"/>
  <c r="V118" i="5"/>
  <c r="E119" i="5"/>
  <c r="F119" i="5"/>
  <c r="G119" i="5"/>
  <c r="H119" i="5"/>
  <c r="I119" i="5"/>
  <c r="J119" i="5"/>
  <c r="K119" i="5"/>
  <c r="L119" i="5"/>
  <c r="M119" i="5"/>
  <c r="N119" i="5"/>
  <c r="O119" i="5"/>
  <c r="P119" i="5"/>
  <c r="Q119" i="5"/>
  <c r="R119" i="5"/>
  <c r="S119" i="5"/>
  <c r="T119" i="5"/>
  <c r="U119" i="5"/>
  <c r="V119" i="5"/>
  <c r="E120" i="5"/>
  <c r="F120" i="5"/>
  <c r="G120" i="5"/>
  <c r="H120" i="5"/>
  <c r="I120" i="5"/>
  <c r="J120" i="5"/>
  <c r="K120" i="5"/>
  <c r="L120" i="5"/>
  <c r="M120" i="5"/>
  <c r="N120" i="5"/>
  <c r="O120" i="5"/>
  <c r="P120" i="5"/>
  <c r="Q120" i="5"/>
  <c r="R120" i="5"/>
  <c r="S120" i="5"/>
  <c r="T120" i="5"/>
  <c r="U120" i="5"/>
  <c r="V120" i="5"/>
  <c r="E121" i="5"/>
  <c r="F121" i="5"/>
  <c r="G121" i="5"/>
  <c r="H121" i="5"/>
  <c r="I121" i="5"/>
  <c r="J121" i="5"/>
  <c r="K121" i="5"/>
  <c r="L121" i="5"/>
  <c r="M121" i="5"/>
  <c r="N121" i="5"/>
  <c r="O121" i="5"/>
  <c r="P121" i="5"/>
  <c r="Q121" i="5"/>
  <c r="R121" i="5"/>
  <c r="S121" i="5"/>
  <c r="T121" i="5"/>
  <c r="U121" i="5"/>
  <c r="V121" i="5"/>
  <c r="E122" i="5"/>
  <c r="F122" i="5"/>
  <c r="G122" i="5"/>
  <c r="H122" i="5"/>
  <c r="I122" i="5"/>
  <c r="J122" i="5"/>
  <c r="K122" i="5"/>
  <c r="L122" i="5"/>
  <c r="M122" i="5"/>
  <c r="N122" i="5"/>
  <c r="O122" i="5"/>
  <c r="P122" i="5"/>
  <c r="Q122" i="5"/>
  <c r="R122" i="5"/>
  <c r="S122" i="5"/>
  <c r="T122" i="5"/>
  <c r="U122" i="5"/>
  <c r="V122" i="5"/>
  <c r="E123" i="5"/>
  <c r="F123" i="5"/>
  <c r="G123" i="5"/>
  <c r="H123" i="5"/>
  <c r="I123" i="5"/>
  <c r="J123" i="5"/>
  <c r="K123" i="5"/>
  <c r="L123" i="5"/>
  <c r="M123" i="5"/>
  <c r="N123" i="5"/>
  <c r="O123" i="5"/>
  <c r="P123" i="5"/>
  <c r="Q123" i="5"/>
  <c r="R123" i="5"/>
  <c r="S123" i="5"/>
  <c r="T123" i="5"/>
  <c r="U123" i="5"/>
  <c r="V123" i="5"/>
  <c r="E124" i="5"/>
  <c r="F124" i="5"/>
  <c r="G124" i="5"/>
  <c r="H124" i="5"/>
  <c r="I124" i="5"/>
  <c r="J124" i="5"/>
  <c r="K124" i="5"/>
  <c r="L124" i="5"/>
  <c r="M124" i="5"/>
  <c r="N124" i="5"/>
  <c r="O124" i="5"/>
  <c r="P124" i="5"/>
  <c r="Q124" i="5"/>
  <c r="R124" i="5"/>
  <c r="S124" i="5"/>
  <c r="T124" i="5"/>
  <c r="U124" i="5"/>
  <c r="V124" i="5"/>
  <c r="E125" i="5"/>
  <c r="F125" i="5"/>
  <c r="G125" i="5"/>
  <c r="H125" i="5"/>
  <c r="I125" i="5"/>
  <c r="J125" i="5"/>
  <c r="K125" i="5"/>
  <c r="L125" i="5"/>
  <c r="M125" i="5"/>
  <c r="N125" i="5"/>
  <c r="O125" i="5"/>
  <c r="P125" i="5"/>
  <c r="Q125" i="5"/>
  <c r="R125" i="5"/>
  <c r="S125" i="5"/>
  <c r="T125" i="5"/>
  <c r="U125" i="5"/>
  <c r="V125" i="5"/>
  <c r="E126" i="5"/>
  <c r="F126" i="5"/>
  <c r="G126" i="5"/>
  <c r="H126" i="5"/>
  <c r="I126" i="5"/>
  <c r="J126" i="5"/>
  <c r="K126" i="5"/>
  <c r="L126" i="5"/>
  <c r="M126" i="5"/>
  <c r="N126" i="5"/>
  <c r="O126" i="5"/>
  <c r="P126" i="5"/>
  <c r="Q126" i="5"/>
  <c r="R126" i="5"/>
  <c r="S126" i="5"/>
  <c r="T126" i="5"/>
  <c r="U126" i="5"/>
  <c r="V126" i="5"/>
  <c r="E127" i="5"/>
  <c r="F127" i="5"/>
  <c r="G127" i="5"/>
  <c r="H127" i="5"/>
  <c r="I127" i="5"/>
  <c r="J127" i="5"/>
  <c r="K127" i="5"/>
  <c r="L127" i="5"/>
  <c r="M127" i="5"/>
  <c r="N127" i="5"/>
  <c r="O127" i="5"/>
  <c r="P127" i="5"/>
  <c r="Q127" i="5"/>
  <c r="R127" i="5"/>
  <c r="S127" i="5"/>
  <c r="T127" i="5"/>
  <c r="U127" i="5"/>
  <c r="V127" i="5"/>
  <c r="E128" i="5"/>
  <c r="F128" i="5"/>
  <c r="G128" i="5"/>
  <c r="H128" i="5"/>
  <c r="I128" i="5"/>
  <c r="J128" i="5"/>
  <c r="K128" i="5"/>
  <c r="L128" i="5"/>
  <c r="M128" i="5"/>
  <c r="N128" i="5"/>
  <c r="O128" i="5"/>
  <c r="P128" i="5"/>
  <c r="Q128" i="5"/>
  <c r="R128" i="5"/>
  <c r="S128" i="5"/>
  <c r="T128" i="5"/>
  <c r="U128" i="5"/>
  <c r="V128" i="5"/>
  <c r="E129" i="5"/>
  <c r="F129" i="5"/>
  <c r="G129" i="5"/>
  <c r="H129" i="5"/>
  <c r="I129" i="5"/>
  <c r="J129" i="5"/>
  <c r="K129" i="5"/>
  <c r="L129" i="5"/>
  <c r="M129" i="5"/>
  <c r="N129" i="5"/>
  <c r="O129" i="5"/>
  <c r="P129" i="5"/>
  <c r="Q129" i="5"/>
  <c r="R129" i="5"/>
  <c r="S129" i="5"/>
  <c r="T129" i="5"/>
  <c r="U129" i="5"/>
  <c r="V129" i="5"/>
  <c r="E130" i="5"/>
  <c r="F130" i="5"/>
  <c r="G130" i="5"/>
  <c r="H130" i="5"/>
  <c r="I130" i="5"/>
  <c r="J130" i="5"/>
  <c r="K130" i="5"/>
  <c r="L130" i="5"/>
  <c r="M130" i="5"/>
  <c r="N130" i="5"/>
  <c r="O130" i="5"/>
  <c r="P130" i="5"/>
  <c r="Q130" i="5"/>
  <c r="R130" i="5"/>
  <c r="S130" i="5"/>
  <c r="T130" i="5"/>
  <c r="U130" i="5"/>
  <c r="V130" i="5"/>
  <c r="E131" i="5"/>
  <c r="F131" i="5"/>
  <c r="G131" i="5"/>
  <c r="H131" i="5"/>
  <c r="I131" i="5"/>
  <c r="J131" i="5"/>
  <c r="K131" i="5"/>
  <c r="L131" i="5"/>
  <c r="M131" i="5"/>
  <c r="N131" i="5"/>
  <c r="O131" i="5"/>
  <c r="P131" i="5"/>
  <c r="Q131" i="5"/>
  <c r="R131" i="5"/>
  <c r="S131" i="5"/>
  <c r="T131" i="5"/>
  <c r="U131" i="5"/>
  <c r="V131" i="5"/>
  <c r="E132" i="5"/>
  <c r="F132" i="5"/>
  <c r="G132" i="5"/>
  <c r="H132" i="5"/>
  <c r="I132" i="5"/>
  <c r="J132" i="5"/>
  <c r="K132" i="5"/>
  <c r="L132" i="5"/>
  <c r="M132" i="5"/>
  <c r="N132" i="5"/>
  <c r="O132" i="5"/>
  <c r="P132" i="5"/>
  <c r="Q132" i="5"/>
  <c r="R132" i="5"/>
  <c r="S132" i="5"/>
  <c r="T132" i="5"/>
  <c r="U132" i="5"/>
  <c r="V132" i="5"/>
  <c r="E133" i="5"/>
  <c r="F133" i="5"/>
  <c r="G133" i="5"/>
  <c r="H133" i="5"/>
  <c r="I133" i="5"/>
  <c r="J133" i="5"/>
  <c r="K133" i="5"/>
  <c r="L133" i="5"/>
  <c r="M133" i="5"/>
  <c r="N133" i="5"/>
  <c r="O133" i="5"/>
  <c r="P133" i="5"/>
  <c r="Q133" i="5"/>
  <c r="R133" i="5"/>
  <c r="S133" i="5"/>
  <c r="T133" i="5"/>
  <c r="U133" i="5"/>
  <c r="V133" i="5"/>
  <c r="E134" i="5"/>
  <c r="F134" i="5"/>
  <c r="G134" i="5"/>
  <c r="H134" i="5"/>
  <c r="I134" i="5"/>
  <c r="J134" i="5"/>
  <c r="K134" i="5"/>
  <c r="L134" i="5"/>
  <c r="M134" i="5"/>
  <c r="N134" i="5"/>
  <c r="O134" i="5"/>
  <c r="P134" i="5"/>
  <c r="Q134" i="5"/>
  <c r="R134" i="5"/>
  <c r="S134" i="5"/>
  <c r="T134" i="5"/>
  <c r="U134" i="5"/>
  <c r="V134" i="5"/>
  <c r="E135" i="5"/>
  <c r="F135" i="5"/>
  <c r="G135" i="5"/>
  <c r="H135" i="5"/>
  <c r="I135" i="5"/>
  <c r="J135" i="5"/>
  <c r="K135" i="5"/>
  <c r="L135" i="5"/>
  <c r="M135" i="5"/>
  <c r="N135" i="5"/>
  <c r="O135" i="5"/>
  <c r="P135" i="5"/>
  <c r="Q135" i="5"/>
  <c r="R135" i="5"/>
  <c r="S135" i="5"/>
  <c r="T135" i="5"/>
  <c r="U135" i="5"/>
  <c r="V135" i="5"/>
  <c r="E136" i="5"/>
  <c r="F136" i="5"/>
  <c r="G136" i="5"/>
  <c r="H136" i="5"/>
  <c r="I136" i="5"/>
  <c r="J136" i="5"/>
  <c r="K136" i="5"/>
  <c r="L136" i="5"/>
  <c r="M136" i="5"/>
  <c r="N136" i="5"/>
  <c r="O136" i="5"/>
  <c r="P136" i="5"/>
  <c r="Q136" i="5"/>
  <c r="R136" i="5"/>
  <c r="S136" i="5"/>
  <c r="T136" i="5"/>
  <c r="U136" i="5"/>
  <c r="V136" i="5"/>
  <c r="E137" i="5"/>
  <c r="F137" i="5"/>
  <c r="G137" i="5"/>
  <c r="H137" i="5"/>
  <c r="I137" i="5"/>
  <c r="J137" i="5"/>
  <c r="K137" i="5"/>
  <c r="L137" i="5"/>
  <c r="M137" i="5"/>
  <c r="N137" i="5"/>
  <c r="O137" i="5"/>
  <c r="P137" i="5"/>
  <c r="Q137" i="5"/>
  <c r="R137" i="5"/>
  <c r="S137" i="5"/>
  <c r="T137" i="5"/>
  <c r="U137" i="5"/>
  <c r="V137" i="5"/>
  <c r="E138" i="5"/>
  <c r="F138" i="5"/>
  <c r="G138" i="5"/>
  <c r="H138" i="5"/>
  <c r="I138" i="5"/>
  <c r="J138" i="5"/>
  <c r="K138" i="5"/>
  <c r="L138" i="5"/>
  <c r="M138" i="5"/>
  <c r="N138" i="5"/>
  <c r="O138" i="5"/>
  <c r="P138" i="5"/>
  <c r="Q138" i="5"/>
  <c r="R138" i="5"/>
  <c r="S138" i="5"/>
  <c r="T138" i="5"/>
  <c r="U138" i="5"/>
  <c r="V138" i="5"/>
  <c r="E139" i="5"/>
  <c r="F139" i="5"/>
  <c r="G139" i="5"/>
  <c r="H139" i="5"/>
  <c r="I139" i="5"/>
  <c r="J139" i="5"/>
  <c r="K139" i="5"/>
  <c r="L139" i="5"/>
  <c r="M139" i="5"/>
  <c r="N139" i="5"/>
  <c r="O139" i="5"/>
  <c r="P139" i="5"/>
  <c r="Q139" i="5"/>
  <c r="R139" i="5"/>
  <c r="S139" i="5"/>
  <c r="T139" i="5"/>
  <c r="U139" i="5"/>
  <c r="V139" i="5"/>
  <c r="E140" i="5"/>
  <c r="F140" i="5"/>
  <c r="G140" i="5"/>
  <c r="H140" i="5"/>
  <c r="I140" i="5"/>
  <c r="J140" i="5"/>
  <c r="K140" i="5"/>
  <c r="L140" i="5"/>
  <c r="M140" i="5"/>
  <c r="N140" i="5"/>
  <c r="O140" i="5"/>
  <c r="P140" i="5"/>
  <c r="Q140" i="5"/>
  <c r="R140" i="5"/>
  <c r="S140" i="5"/>
  <c r="T140" i="5"/>
  <c r="U140" i="5"/>
  <c r="V140" i="5"/>
  <c r="E141" i="5"/>
  <c r="F141" i="5"/>
  <c r="G141" i="5"/>
  <c r="H141" i="5"/>
  <c r="I141" i="5"/>
  <c r="J141" i="5"/>
  <c r="K141" i="5"/>
  <c r="L141" i="5"/>
  <c r="M141" i="5"/>
  <c r="N141" i="5"/>
  <c r="O141" i="5"/>
  <c r="P141" i="5"/>
  <c r="Q141" i="5"/>
  <c r="R141" i="5"/>
  <c r="S141" i="5"/>
  <c r="T141" i="5"/>
  <c r="U141" i="5"/>
  <c r="V141" i="5"/>
  <c r="E142" i="5"/>
  <c r="F142" i="5"/>
  <c r="G142" i="5"/>
  <c r="H142" i="5"/>
  <c r="I142" i="5"/>
  <c r="J142" i="5"/>
  <c r="K142" i="5"/>
  <c r="L142" i="5"/>
  <c r="M142" i="5"/>
  <c r="N142" i="5"/>
  <c r="O142" i="5"/>
  <c r="P142" i="5"/>
  <c r="Q142" i="5"/>
  <c r="R142" i="5"/>
  <c r="S142" i="5"/>
  <c r="T142" i="5"/>
  <c r="U142" i="5"/>
  <c r="V142" i="5"/>
  <c r="E143" i="5"/>
  <c r="F143" i="5"/>
  <c r="G143" i="5"/>
  <c r="H143" i="5"/>
  <c r="I143" i="5"/>
  <c r="J143" i="5"/>
  <c r="K143" i="5"/>
  <c r="L143" i="5"/>
  <c r="M143" i="5"/>
  <c r="N143" i="5"/>
  <c r="O143" i="5"/>
  <c r="P143" i="5"/>
  <c r="Q143" i="5"/>
  <c r="R143" i="5"/>
  <c r="S143" i="5"/>
  <c r="T143" i="5"/>
  <c r="U143" i="5"/>
  <c r="V143" i="5"/>
  <c r="E144" i="5"/>
  <c r="F144" i="5"/>
  <c r="G144" i="5"/>
  <c r="H144" i="5"/>
  <c r="I144" i="5"/>
  <c r="J144" i="5"/>
  <c r="K144" i="5"/>
  <c r="L144" i="5"/>
  <c r="M144" i="5"/>
  <c r="N144" i="5"/>
  <c r="O144" i="5"/>
  <c r="P144" i="5"/>
  <c r="Q144" i="5"/>
  <c r="R144" i="5"/>
  <c r="S144" i="5"/>
  <c r="T144" i="5"/>
  <c r="U144" i="5"/>
  <c r="V144" i="5"/>
  <c r="E145" i="5"/>
  <c r="F145" i="5"/>
  <c r="G145" i="5"/>
  <c r="H145" i="5"/>
  <c r="I145" i="5"/>
  <c r="J145" i="5"/>
  <c r="K145" i="5"/>
  <c r="L145" i="5"/>
  <c r="M145" i="5"/>
  <c r="N145" i="5"/>
  <c r="O145" i="5"/>
  <c r="P145" i="5"/>
  <c r="Q145" i="5"/>
  <c r="R145" i="5"/>
  <c r="S145" i="5"/>
  <c r="T145" i="5"/>
  <c r="U145" i="5"/>
  <c r="V145" i="5"/>
  <c r="E146" i="5"/>
  <c r="F146" i="5"/>
  <c r="G146" i="5"/>
  <c r="H146" i="5"/>
  <c r="I146" i="5"/>
  <c r="J146" i="5"/>
  <c r="K146" i="5"/>
  <c r="L146" i="5"/>
  <c r="M146" i="5"/>
  <c r="N146" i="5"/>
  <c r="O146" i="5"/>
  <c r="P146" i="5"/>
  <c r="Q146" i="5"/>
  <c r="R146" i="5"/>
  <c r="S146" i="5"/>
  <c r="T146" i="5"/>
  <c r="U146" i="5"/>
  <c r="V146" i="5"/>
  <c r="E147" i="5"/>
  <c r="F147" i="5"/>
  <c r="G147" i="5"/>
  <c r="H147" i="5"/>
  <c r="I147" i="5"/>
  <c r="J147" i="5"/>
  <c r="K147" i="5"/>
  <c r="L147" i="5"/>
  <c r="M147" i="5"/>
  <c r="N147" i="5"/>
  <c r="O147" i="5"/>
  <c r="P147" i="5"/>
  <c r="Q147" i="5"/>
  <c r="R147" i="5"/>
  <c r="S147" i="5"/>
  <c r="T147" i="5"/>
  <c r="U147" i="5"/>
  <c r="V147" i="5"/>
  <c r="E148" i="5"/>
  <c r="F148" i="5"/>
  <c r="G148" i="5"/>
  <c r="H148" i="5"/>
  <c r="I148" i="5"/>
  <c r="J148" i="5"/>
  <c r="K148" i="5"/>
  <c r="L148" i="5"/>
  <c r="M148" i="5"/>
  <c r="N148" i="5"/>
  <c r="O148" i="5"/>
  <c r="P148" i="5"/>
  <c r="Q148" i="5"/>
  <c r="R148" i="5"/>
  <c r="S148" i="5"/>
  <c r="T148" i="5"/>
  <c r="U148" i="5"/>
  <c r="V148"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77" i="5"/>
  <c r="A148" i="5"/>
  <c r="B148" i="5"/>
  <c r="A139" i="5"/>
  <c r="B139" i="5"/>
  <c r="A140" i="5"/>
  <c r="B140" i="5"/>
  <c r="A141" i="5"/>
  <c r="B141" i="5"/>
  <c r="A142" i="5"/>
  <c r="B142" i="5"/>
  <c r="A143" i="5"/>
  <c r="B143" i="5"/>
  <c r="A144" i="5"/>
  <c r="B144" i="5"/>
  <c r="A145" i="5"/>
  <c r="B145" i="5"/>
  <c r="A146" i="5"/>
  <c r="B146" i="5"/>
  <c r="A147" i="5"/>
  <c r="B147" i="5"/>
  <c r="A131" i="5"/>
  <c r="B131" i="5"/>
  <c r="A132" i="5"/>
  <c r="B132" i="5"/>
  <c r="A133" i="5"/>
  <c r="B133" i="5"/>
  <c r="A134" i="5"/>
  <c r="B134" i="5"/>
  <c r="A135" i="5"/>
  <c r="B135" i="5"/>
  <c r="A136" i="5"/>
  <c r="B136" i="5"/>
  <c r="A137" i="5"/>
  <c r="B137" i="5"/>
  <c r="A138" i="5"/>
  <c r="B138" i="5"/>
  <c r="A78" i="5"/>
  <c r="B78" i="5"/>
  <c r="A79" i="5"/>
  <c r="B79" i="5"/>
  <c r="A80" i="5"/>
  <c r="B80" i="5"/>
  <c r="A81" i="5"/>
  <c r="B81" i="5"/>
  <c r="A82" i="5"/>
  <c r="B82" i="5"/>
  <c r="A83" i="5"/>
  <c r="B83" i="5"/>
  <c r="A84" i="5"/>
  <c r="B84" i="5"/>
  <c r="A85" i="5"/>
  <c r="B85" i="5"/>
  <c r="A86" i="5"/>
  <c r="B86" i="5"/>
  <c r="A87" i="5"/>
  <c r="B87" i="5"/>
  <c r="A88" i="5"/>
  <c r="B88" i="5"/>
  <c r="A89" i="5"/>
  <c r="B89" i="5"/>
  <c r="A90" i="5"/>
  <c r="B90" i="5"/>
  <c r="A91" i="5"/>
  <c r="B91" i="5"/>
  <c r="A92" i="5"/>
  <c r="B92" i="5"/>
  <c r="A93" i="5"/>
  <c r="B93" i="5"/>
  <c r="A94" i="5"/>
  <c r="B94" i="5"/>
  <c r="A95" i="5"/>
  <c r="B95" i="5"/>
  <c r="A96" i="5"/>
  <c r="B96" i="5"/>
  <c r="A97" i="5"/>
  <c r="B97" i="5"/>
  <c r="A98" i="5"/>
  <c r="B98" i="5"/>
  <c r="A99" i="5"/>
  <c r="B99" i="5"/>
  <c r="A100" i="5"/>
  <c r="B100" i="5"/>
  <c r="A101" i="5"/>
  <c r="B101" i="5"/>
  <c r="A102" i="5"/>
  <c r="B102" i="5"/>
  <c r="A103" i="5"/>
  <c r="B103" i="5"/>
  <c r="A104" i="5"/>
  <c r="B104" i="5"/>
  <c r="A105" i="5"/>
  <c r="B105" i="5"/>
  <c r="A106" i="5"/>
  <c r="B106" i="5"/>
  <c r="A107" i="5"/>
  <c r="B107" i="5"/>
  <c r="A108" i="5"/>
  <c r="B108" i="5"/>
  <c r="A109" i="5"/>
  <c r="B109" i="5"/>
  <c r="A110" i="5"/>
  <c r="B110" i="5"/>
  <c r="A111" i="5"/>
  <c r="B111" i="5"/>
  <c r="A112" i="5"/>
  <c r="B112" i="5"/>
  <c r="A113" i="5"/>
  <c r="B113" i="5"/>
  <c r="A114" i="5"/>
  <c r="B114" i="5"/>
  <c r="A115" i="5"/>
  <c r="B115" i="5"/>
  <c r="A116" i="5"/>
  <c r="B116" i="5"/>
  <c r="A117" i="5"/>
  <c r="B117" i="5"/>
  <c r="A118" i="5"/>
  <c r="B118" i="5"/>
  <c r="A119" i="5"/>
  <c r="B119" i="5"/>
  <c r="A120" i="5"/>
  <c r="B120" i="5"/>
  <c r="A121" i="5"/>
  <c r="B121" i="5"/>
  <c r="A122" i="5"/>
  <c r="B122" i="5"/>
  <c r="A123" i="5"/>
  <c r="B123" i="5"/>
  <c r="A124" i="5"/>
  <c r="B124" i="5"/>
  <c r="A125" i="5"/>
  <c r="B125" i="5"/>
  <c r="A126" i="5"/>
  <c r="B126" i="5"/>
  <c r="A127" i="5"/>
  <c r="B127" i="5"/>
  <c r="A128" i="5"/>
  <c r="B128" i="5"/>
  <c r="A129" i="5"/>
  <c r="B129" i="5"/>
  <c r="A130" i="5"/>
  <c r="B130" i="5"/>
  <c r="B77" i="5"/>
  <c r="A77" i="5"/>
  <c r="A178" i="1"/>
  <c r="B178" i="1"/>
  <c r="C178" i="1"/>
  <c r="D178" i="1"/>
  <c r="E178" i="1"/>
  <c r="A179" i="1"/>
  <c r="B179" i="1"/>
  <c r="C179" i="1"/>
  <c r="D179" i="1"/>
  <c r="E179" i="1"/>
  <c r="A180" i="1"/>
  <c r="B180" i="1"/>
  <c r="C180" i="1"/>
  <c r="D180" i="1"/>
  <c r="E180" i="1"/>
  <c r="A181" i="1"/>
  <c r="B181" i="1"/>
  <c r="C181" i="1"/>
  <c r="D181" i="1"/>
  <c r="E181" i="1"/>
  <c r="A182" i="1"/>
  <c r="B182" i="1"/>
  <c r="C182" i="1"/>
  <c r="D182" i="1"/>
  <c r="E182" i="1"/>
  <c r="A183" i="1"/>
  <c r="B183" i="1"/>
  <c r="C183" i="1"/>
  <c r="D183" i="1"/>
  <c r="E183" i="1"/>
  <c r="A184" i="1"/>
  <c r="B184" i="1"/>
  <c r="C184" i="1"/>
  <c r="D184" i="1"/>
  <c r="E184" i="1"/>
  <c r="A185" i="1"/>
  <c r="B185" i="1"/>
  <c r="C185" i="1"/>
  <c r="D185" i="1"/>
  <c r="E185" i="1"/>
  <c r="A186" i="1"/>
  <c r="B186" i="1"/>
  <c r="C186" i="1"/>
  <c r="D186" i="1"/>
  <c r="E186" i="1"/>
  <c r="A187" i="1"/>
  <c r="B187" i="1"/>
  <c r="C187" i="1"/>
  <c r="D187" i="1"/>
  <c r="E187" i="1"/>
  <c r="A188" i="1"/>
  <c r="B188" i="1"/>
  <c r="C188" i="1"/>
  <c r="D188" i="1"/>
  <c r="E188" i="1"/>
  <c r="A189" i="1"/>
  <c r="B189" i="1"/>
  <c r="C189" i="1"/>
  <c r="D189" i="1"/>
  <c r="E189" i="1"/>
  <c r="A190" i="1"/>
  <c r="B190" i="1"/>
  <c r="C190" i="1"/>
  <c r="D190" i="1"/>
  <c r="E190" i="1"/>
  <c r="A191" i="1"/>
  <c r="B191" i="1"/>
  <c r="C191" i="1"/>
  <c r="D191" i="1"/>
  <c r="E191" i="1"/>
  <c r="A192" i="1"/>
  <c r="B192" i="1"/>
  <c r="C192" i="1"/>
  <c r="D192" i="1"/>
  <c r="E192" i="1"/>
  <c r="A193" i="1"/>
  <c r="B193" i="1"/>
  <c r="C193" i="1"/>
  <c r="D193" i="1"/>
  <c r="E193" i="1"/>
  <c r="A194" i="1"/>
  <c r="B194" i="1"/>
  <c r="C194" i="1"/>
  <c r="D194" i="1"/>
  <c r="E194" i="1"/>
  <c r="A195" i="1"/>
  <c r="B195" i="1"/>
  <c r="C195" i="1"/>
  <c r="D195" i="1"/>
  <c r="E195" i="1"/>
  <c r="A196" i="1"/>
  <c r="B196" i="1"/>
  <c r="C196" i="1"/>
  <c r="D196" i="1"/>
  <c r="E196" i="1"/>
  <c r="A197" i="1"/>
  <c r="B197" i="1"/>
  <c r="C197" i="1"/>
  <c r="D197" i="1"/>
  <c r="E197" i="1"/>
  <c r="A198" i="1"/>
  <c r="B198" i="1"/>
  <c r="C198" i="1"/>
  <c r="D198" i="1"/>
  <c r="E198" i="1"/>
  <c r="A199" i="1"/>
  <c r="B199" i="1"/>
  <c r="C199" i="1"/>
  <c r="D199" i="1"/>
  <c r="E199" i="1"/>
  <c r="A200" i="1"/>
  <c r="B200" i="1"/>
  <c r="C200" i="1"/>
  <c r="D200" i="1"/>
  <c r="E200" i="1"/>
  <c r="A201" i="1"/>
  <c r="B201" i="1"/>
  <c r="C201" i="1"/>
  <c r="D201" i="1"/>
  <c r="E201" i="1"/>
  <c r="A202" i="1"/>
  <c r="B202" i="1"/>
  <c r="C202" i="1"/>
  <c r="D202" i="1"/>
  <c r="E202" i="1"/>
  <c r="A203" i="1"/>
  <c r="B203" i="1"/>
  <c r="C203" i="1"/>
  <c r="D203" i="1"/>
  <c r="E203" i="1"/>
  <c r="A204" i="1"/>
  <c r="B204" i="1"/>
  <c r="C204" i="1"/>
  <c r="D204" i="1"/>
  <c r="E204" i="1"/>
  <c r="A205" i="1"/>
  <c r="B205" i="1"/>
  <c r="C205" i="1"/>
  <c r="D205" i="1"/>
  <c r="E205" i="1"/>
  <c r="A206" i="1"/>
  <c r="B206" i="1"/>
  <c r="C206" i="1"/>
  <c r="D206" i="1"/>
  <c r="E206" i="1"/>
  <c r="A207" i="1"/>
  <c r="B207" i="1"/>
  <c r="C207" i="1"/>
  <c r="D207" i="1"/>
  <c r="E207" i="1"/>
  <c r="A208" i="1"/>
  <c r="B208" i="1"/>
  <c r="C208" i="1"/>
  <c r="D208" i="1"/>
  <c r="E208" i="1"/>
  <c r="A209" i="1"/>
  <c r="B209" i="1"/>
  <c r="C209" i="1"/>
  <c r="D209" i="1"/>
  <c r="E209" i="1"/>
  <c r="A210" i="1"/>
  <c r="B210" i="1"/>
  <c r="C210" i="1"/>
  <c r="D210" i="1"/>
  <c r="E210" i="1"/>
  <c r="A211" i="1"/>
  <c r="B211" i="1"/>
  <c r="C211" i="1"/>
  <c r="D211" i="1"/>
  <c r="E211" i="1"/>
  <c r="A212" i="1"/>
  <c r="B212" i="1"/>
  <c r="C212" i="1"/>
  <c r="D212" i="1"/>
  <c r="E212" i="1"/>
  <c r="A213" i="1"/>
  <c r="B213" i="1"/>
  <c r="C213" i="1"/>
  <c r="D213" i="1"/>
  <c r="E213" i="1"/>
  <c r="A214" i="1"/>
  <c r="B214" i="1"/>
  <c r="C214" i="1"/>
  <c r="D214" i="1"/>
  <c r="E214" i="1"/>
  <c r="A215" i="1"/>
  <c r="B215" i="1"/>
  <c r="C215" i="1"/>
  <c r="D215" i="1"/>
  <c r="E215" i="1"/>
  <c r="A216" i="1"/>
  <c r="B216" i="1"/>
  <c r="C216" i="1"/>
  <c r="D216" i="1"/>
  <c r="E216" i="1"/>
  <c r="A217" i="1"/>
  <c r="B217" i="1"/>
  <c r="C217" i="1"/>
  <c r="D217" i="1"/>
  <c r="E217" i="1"/>
  <c r="A218" i="1"/>
  <c r="B218" i="1"/>
  <c r="C218" i="1"/>
  <c r="D218" i="1"/>
  <c r="E218" i="1"/>
  <c r="A219" i="1"/>
  <c r="B219" i="1"/>
  <c r="C219" i="1"/>
  <c r="D219" i="1"/>
  <c r="E219" i="1"/>
  <c r="A220" i="1"/>
  <c r="B220" i="1"/>
  <c r="C220" i="1"/>
  <c r="D220" i="1"/>
  <c r="E220" i="1"/>
  <c r="A221" i="1"/>
  <c r="B221" i="1"/>
  <c r="C221" i="1"/>
  <c r="D221" i="1"/>
  <c r="E221" i="1"/>
  <c r="A222" i="1"/>
  <c r="B222" i="1"/>
  <c r="C222" i="1"/>
  <c r="D222" i="1"/>
  <c r="E222" i="1"/>
  <c r="A223" i="1"/>
  <c r="B223" i="1"/>
  <c r="C223" i="1"/>
  <c r="D223" i="1"/>
  <c r="E223" i="1"/>
  <c r="A224" i="1"/>
  <c r="B224" i="1"/>
  <c r="C224" i="1"/>
  <c r="D224" i="1"/>
  <c r="E224" i="1"/>
  <c r="A225" i="1"/>
  <c r="B225" i="1"/>
  <c r="C225" i="1"/>
  <c r="D225" i="1"/>
  <c r="E225" i="1"/>
  <c r="A226" i="1"/>
  <c r="B226" i="1"/>
  <c r="C226" i="1"/>
  <c r="D226" i="1"/>
  <c r="E226" i="1"/>
  <c r="A227" i="1"/>
  <c r="B227" i="1"/>
  <c r="C227" i="1"/>
  <c r="D227" i="1"/>
  <c r="E227" i="1"/>
  <c r="A228" i="1"/>
  <c r="B228" i="1"/>
  <c r="C228" i="1"/>
  <c r="D228" i="1"/>
  <c r="E228" i="1"/>
  <c r="A229" i="1"/>
  <c r="B229" i="1"/>
  <c r="C229" i="1"/>
  <c r="D229" i="1"/>
  <c r="E229" i="1"/>
  <c r="A230" i="1"/>
  <c r="B230" i="1"/>
  <c r="C230" i="1"/>
  <c r="D230" i="1"/>
  <c r="E230" i="1"/>
  <c r="A231" i="1"/>
  <c r="B231" i="1"/>
  <c r="C231" i="1"/>
  <c r="D231" i="1"/>
  <c r="E231" i="1"/>
  <c r="A232" i="1"/>
  <c r="B232" i="1"/>
  <c r="C232" i="1"/>
  <c r="D232" i="1"/>
  <c r="E232" i="1"/>
  <c r="A233" i="1"/>
  <c r="B233" i="1"/>
  <c r="C233" i="1"/>
  <c r="D233" i="1"/>
  <c r="E233" i="1"/>
  <c r="A234" i="1"/>
  <c r="B234" i="1"/>
  <c r="C234" i="1"/>
  <c r="D234" i="1"/>
  <c r="E234" i="1"/>
  <c r="A235" i="1"/>
  <c r="B235" i="1"/>
  <c r="C235" i="1"/>
  <c r="D235" i="1"/>
  <c r="E235" i="1"/>
  <c r="A236" i="1"/>
  <c r="B236" i="1"/>
  <c r="C236" i="1"/>
  <c r="D236" i="1"/>
  <c r="E236" i="1"/>
  <c r="A237" i="1"/>
  <c r="B237" i="1"/>
  <c r="C237" i="1"/>
  <c r="D237" i="1"/>
  <c r="E237" i="1"/>
  <c r="A238" i="1"/>
  <c r="B238" i="1"/>
  <c r="C238" i="1"/>
  <c r="D238" i="1"/>
  <c r="E238" i="1"/>
  <c r="A239" i="1"/>
  <c r="B239" i="1"/>
  <c r="C239" i="1"/>
  <c r="D239" i="1"/>
  <c r="E239" i="1"/>
  <c r="A240" i="1"/>
  <c r="B240" i="1"/>
  <c r="C240" i="1"/>
  <c r="D240" i="1"/>
  <c r="E240" i="1"/>
  <c r="A241" i="1"/>
  <c r="B241" i="1"/>
  <c r="C241" i="1"/>
  <c r="D241" i="1"/>
  <c r="E241" i="1"/>
  <c r="A242" i="1"/>
  <c r="B242" i="1"/>
  <c r="C242" i="1"/>
  <c r="D242" i="1"/>
  <c r="E242" i="1"/>
  <c r="A243" i="1"/>
  <c r="B243" i="1"/>
  <c r="C243" i="1"/>
  <c r="D243" i="1"/>
  <c r="E243" i="1"/>
  <c r="A244" i="1"/>
  <c r="B244" i="1"/>
  <c r="C244" i="1"/>
  <c r="D244" i="1"/>
  <c r="E244" i="1"/>
  <c r="A245" i="1"/>
  <c r="B245" i="1"/>
  <c r="C245" i="1"/>
  <c r="D245" i="1"/>
  <c r="E245" i="1"/>
  <c r="A246" i="1"/>
  <c r="B246" i="1"/>
  <c r="C246" i="1"/>
  <c r="D246" i="1"/>
  <c r="E246" i="1"/>
  <c r="A247" i="1"/>
  <c r="B247" i="1"/>
  <c r="C247" i="1"/>
  <c r="D247" i="1"/>
  <c r="E247" i="1"/>
  <c r="A248" i="1"/>
  <c r="B248" i="1"/>
  <c r="C248" i="1"/>
  <c r="D248" i="1"/>
  <c r="E248" i="1"/>
  <c r="A249" i="1"/>
  <c r="B249" i="1"/>
  <c r="C249" i="1"/>
  <c r="D249" i="1"/>
  <c r="E249" i="1"/>
  <c r="A250" i="1"/>
  <c r="B250" i="1"/>
  <c r="C250" i="1"/>
  <c r="D250" i="1"/>
  <c r="E250" i="1"/>
  <c r="A251" i="1"/>
  <c r="B251" i="1"/>
  <c r="C251" i="1"/>
  <c r="D251" i="1"/>
  <c r="E251" i="1"/>
  <c r="A252" i="1"/>
  <c r="B252" i="1"/>
  <c r="C252" i="1"/>
  <c r="D252" i="1"/>
  <c r="E252" i="1"/>
  <c r="A253" i="1"/>
  <c r="B253" i="1"/>
  <c r="C253" i="1"/>
  <c r="D253" i="1"/>
  <c r="E253" i="1"/>
  <c r="A254" i="1"/>
  <c r="B254" i="1"/>
  <c r="C254" i="1"/>
  <c r="D254" i="1"/>
  <c r="E254" i="1"/>
  <c r="A255" i="1"/>
  <c r="B255" i="1"/>
  <c r="C255" i="1"/>
  <c r="D255" i="1"/>
  <c r="E255" i="1"/>
  <c r="A256" i="1"/>
  <c r="B256" i="1"/>
  <c r="C256" i="1"/>
  <c r="D256" i="1"/>
  <c r="E256" i="1"/>
  <c r="A257" i="1"/>
  <c r="B257" i="1"/>
  <c r="C257" i="1"/>
  <c r="D257" i="1"/>
  <c r="E257" i="1"/>
  <c r="A258" i="1"/>
  <c r="B258" i="1"/>
  <c r="C258" i="1"/>
  <c r="D258" i="1"/>
  <c r="E258" i="1"/>
  <c r="A259" i="1"/>
  <c r="B259" i="1"/>
  <c r="C259" i="1"/>
  <c r="D259" i="1"/>
  <c r="E259" i="1"/>
  <c r="A260" i="1"/>
  <c r="B260" i="1"/>
  <c r="C260" i="1"/>
  <c r="D260" i="1"/>
  <c r="E260" i="1"/>
  <c r="A261" i="1"/>
  <c r="B261" i="1"/>
  <c r="C261" i="1"/>
  <c r="D261" i="1"/>
  <c r="E261" i="1"/>
  <c r="A262" i="1"/>
  <c r="B262" i="1"/>
  <c r="C262" i="1"/>
  <c r="D262" i="1"/>
  <c r="E262" i="1"/>
  <c r="A263" i="1"/>
  <c r="B263" i="1"/>
  <c r="C263" i="1"/>
  <c r="D263" i="1"/>
  <c r="E263" i="1"/>
  <c r="A264" i="1"/>
  <c r="B264" i="1"/>
  <c r="C264" i="1"/>
  <c r="D264" i="1"/>
  <c r="E264" i="1"/>
  <c r="A265" i="1"/>
  <c r="B265" i="1"/>
  <c r="C265" i="1"/>
  <c r="D265" i="1"/>
  <c r="E265" i="1"/>
  <c r="A266" i="1"/>
  <c r="B266" i="1"/>
  <c r="C266" i="1"/>
  <c r="D266" i="1"/>
  <c r="E266" i="1"/>
  <c r="A267" i="1"/>
  <c r="B267" i="1"/>
  <c r="C267" i="1"/>
  <c r="D267" i="1"/>
  <c r="E267" i="1"/>
  <c r="A268" i="1"/>
  <c r="B268" i="1"/>
  <c r="C268" i="1"/>
  <c r="D268" i="1"/>
  <c r="E268" i="1"/>
  <c r="A269" i="1"/>
  <c r="B269" i="1"/>
  <c r="C269" i="1"/>
  <c r="D269" i="1"/>
  <c r="E269" i="1"/>
  <c r="A270" i="1"/>
  <c r="B270" i="1"/>
  <c r="C270" i="1"/>
  <c r="D270" i="1"/>
  <c r="E270" i="1"/>
  <c r="A271" i="1"/>
  <c r="B271" i="1"/>
  <c r="C271" i="1"/>
  <c r="D271" i="1"/>
  <c r="E271" i="1"/>
  <c r="A272" i="1"/>
  <c r="B272" i="1"/>
  <c r="C272" i="1"/>
  <c r="D272" i="1"/>
  <c r="E272" i="1"/>
  <c r="A273" i="1"/>
  <c r="B273" i="1"/>
  <c r="C273" i="1"/>
  <c r="D273" i="1"/>
  <c r="E273" i="1"/>
  <c r="A274" i="1"/>
  <c r="B274" i="1"/>
  <c r="C274" i="1"/>
  <c r="D274" i="1"/>
  <c r="E274" i="1"/>
  <c r="A275" i="1"/>
  <c r="B275" i="1"/>
  <c r="C275" i="1"/>
  <c r="D275" i="1"/>
  <c r="E275" i="1"/>
  <c r="A276" i="1"/>
  <c r="B276" i="1"/>
  <c r="C276" i="1"/>
  <c r="D276" i="1"/>
  <c r="E276" i="1"/>
  <c r="A277" i="1"/>
  <c r="B277" i="1"/>
  <c r="C277" i="1"/>
  <c r="D277" i="1"/>
  <c r="E277" i="1"/>
  <c r="A278" i="1"/>
  <c r="B278" i="1"/>
  <c r="C278" i="1"/>
  <c r="D278" i="1"/>
  <c r="E278" i="1"/>
  <c r="A279" i="1"/>
  <c r="B279" i="1"/>
  <c r="C279" i="1"/>
  <c r="D279" i="1"/>
  <c r="E279" i="1"/>
  <c r="A280" i="1"/>
  <c r="B280" i="1"/>
  <c r="C280" i="1"/>
  <c r="D280" i="1"/>
  <c r="E280" i="1"/>
  <c r="A281" i="1"/>
  <c r="B281" i="1"/>
  <c r="C281" i="1"/>
  <c r="D281" i="1"/>
  <c r="E281" i="1"/>
  <c r="A282" i="1"/>
  <c r="B282" i="1"/>
  <c r="C282" i="1"/>
  <c r="D282" i="1"/>
  <c r="E282" i="1"/>
  <c r="A283" i="1"/>
  <c r="B283" i="1"/>
  <c r="C283" i="1"/>
  <c r="D283" i="1"/>
  <c r="E283" i="1"/>
  <c r="A284" i="1"/>
  <c r="B284" i="1"/>
  <c r="C284" i="1"/>
  <c r="D284" i="1"/>
  <c r="E284" i="1"/>
  <c r="A285" i="1"/>
  <c r="B285" i="1"/>
  <c r="C285" i="1"/>
  <c r="D285" i="1"/>
  <c r="E285" i="1"/>
  <c r="A286" i="1"/>
  <c r="B286" i="1"/>
  <c r="C286" i="1"/>
  <c r="D286" i="1"/>
  <c r="E286" i="1"/>
  <c r="A287" i="1"/>
  <c r="B287" i="1"/>
  <c r="C287" i="1"/>
  <c r="D287" i="1"/>
  <c r="E287" i="1"/>
  <c r="A288" i="1"/>
  <c r="B288" i="1"/>
  <c r="C288" i="1"/>
  <c r="D288" i="1"/>
  <c r="E288" i="1"/>
  <c r="A289" i="1"/>
  <c r="B289" i="1"/>
  <c r="C289" i="1"/>
  <c r="D289" i="1"/>
  <c r="E289" i="1"/>
  <c r="A290" i="1"/>
  <c r="B290" i="1"/>
  <c r="C290" i="1"/>
  <c r="D290" i="1"/>
  <c r="E290" i="1"/>
  <c r="A291" i="1"/>
  <c r="B291" i="1"/>
  <c r="C291" i="1"/>
  <c r="D291" i="1"/>
  <c r="E291" i="1"/>
  <c r="A292" i="1"/>
  <c r="B292" i="1"/>
  <c r="C292" i="1"/>
  <c r="D292" i="1"/>
  <c r="E292" i="1"/>
  <c r="A293" i="1"/>
  <c r="B293" i="1"/>
  <c r="C293" i="1"/>
  <c r="D293" i="1"/>
  <c r="E293" i="1"/>
  <c r="A294" i="1"/>
  <c r="B294" i="1"/>
  <c r="C294" i="1"/>
  <c r="D294" i="1"/>
  <c r="E294" i="1"/>
  <c r="A295" i="1"/>
  <c r="B295" i="1"/>
  <c r="C295" i="1"/>
  <c r="D295" i="1"/>
  <c r="E295" i="1"/>
  <c r="A296" i="1"/>
  <c r="B296" i="1"/>
  <c r="C296" i="1"/>
  <c r="D296" i="1"/>
  <c r="E296" i="1"/>
  <c r="A297" i="1"/>
  <c r="B297" i="1"/>
  <c r="C297" i="1"/>
  <c r="D297" i="1"/>
  <c r="E297" i="1"/>
  <c r="A298" i="1"/>
  <c r="B298" i="1"/>
  <c r="C298" i="1"/>
  <c r="D298" i="1"/>
  <c r="E298" i="1"/>
  <c r="A299" i="1"/>
  <c r="B299" i="1"/>
  <c r="C299" i="1"/>
  <c r="D299" i="1"/>
  <c r="E299" i="1"/>
  <c r="A300" i="1"/>
  <c r="B300" i="1"/>
  <c r="C300" i="1"/>
  <c r="D300" i="1"/>
  <c r="E300" i="1"/>
  <c r="A301" i="1"/>
  <c r="B301" i="1"/>
  <c r="C301" i="1"/>
  <c r="D301" i="1"/>
  <c r="E301" i="1"/>
  <c r="A302" i="1"/>
  <c r="B302" i="1"/>
  <c r="C302" i="1"/>
  <c r="D302" i="1"/>
  <c r="E302" i="1"/>
  <c r="A303" i="1"/>
  <c r="B303" i="1"/>
  <c r="C303" i="1"/>
  <c r="D303" i="1"/>
  <c r="E303" i="1"/>
  <c r="A304" i="1"/>
  <c r="B304" i="1"/>
  <c r="C304" i="1"/>
  <c r="D304" i="1"/>
  <c r="E304" i="1"/>
  <c r="A305" i="1"/>
  <c r="B305" i="1"/>
  <c r="C305" i="1"/>
  <c r="D305" i="1"/>
  <c r="E305" i="1"/>
  <c r="A306" i="1"/>
  <c r="B306" i="1"/>
  <c r="C306" i="1"/>
  <c r="D306" i="1"/>
  <c r="E306" i="1"/>
  <c r="A307" i="1"/>
  <c r="B307" i="1"/>
  <c r="C307" i="1"/>
  <c r="D307" i="1"/>
  <c r="E307" i="1"/>
  <c r="A308" i="1"/>
  <c r="B308" i="1"/>
  <c r="C308" i="1"/>
  <c r="D308" i="1"/>
  <c r="E308" i="1"/>
  <c r="A309" i="1"/>
  <c r="B309" i="1"/>
  <c r="C309" i="1"/>
  <c r="D309" i="1"/>
  <c r="E309" i="1"/>
  <c r="A310" i="1"/>
  <c r="B310" i="1"/>
  <c r="C310" i="1"/>
  <c r="D310" i="1"/>
  <c r="E310" i="1"/>
  <c r="A311" i="1"/>
  <c r="B311" i="1"/>
  <c r="C311" i="1"/>
  <c r="D311" i="1"/>
  <c r="E311" i="1"/>
  <c r="A312" i="1"/>
  <c r="B312" i="1"/>
  <c r="C312" i="1"/>
  <c r="D312" i="1"/>
  <c r="E312" i="1"/>
  <c r="A313" i="1"/>
  <c r="B313" i="1"/>
  <c r="C313" i="1"/>
  <c r="D313" i="1"/>
  <c r="E313" i="1"/>
  <c r="A314" i="1"/>
  <c r="B314" i="1"/>
  <c r="C314" i="1"/>
  <c r="D314" i="1"/>
  <c r="E314" i="1"/>
  <c r="A315" i="1"/>
  <c r="B315" i="1"/>
  <c r="C315" i="1"/>
  <c r="D315" i="1"/>
  <c r="E315" i="1"/>
  <c r="A316" i="1"/>
  <c r="B316" i="1"/>
  <c r="C316" i="1"/>
  <c r="D316" i="1"/>
  <c r="E316" i="1"/>
  <c r="A317" i="1"/>
  <c r="B317" i="1"/>
  <c r="C317" i="1"/>
  <c r="D317" i="1"/>
  <c r="E317" i="1"/>
  <c r="A318" i="1"/>
  <c r="B318" i="1"/>
  <c r="C318" i="1"/>
  <c r="D318" i="1"/>
  <c r="E318" i="1"/>
  <c r="A319" i="1"/>
  <c r="B319" i="1"/>
  <c r="C319" i="1"/>
  <c r="D319" i="1"/>
  <c r="E319" i="1"/>
  <c r="A320" i="1"/>
  <c r="B320" i="1"/>
  <c r="C320" i="1"/>
  <c r="D320" i="1"/>
  <c r="E320" i="1"/>
  <c r="A321" i="1"/>
  <c r="B321" i="1"/>
  <c r="C321" i="1"/>
  <c r="D321" i="1"/>
  <c r="E321" i="1"/>
  <c r="A322" i="1"/>
  <c r="B322" i="1"/>
  <c r="C322" i="1"/>
  <c r="D322" i="1"/>
  <c r="E322" i="1"/>
  <c r="A323" i="1"/>
  <c r="B323" i="1"/>
  <c r="C323" i="1"/>
  <c r="D323" i="1"/>
  <c r="E323" i="1"/>
  <c r="A324" i="1"/>
  <c r="B324" i="1"/>
  <c r="C324" i="1"/>
  <c r="D324" i="1"/>
  <c r="E324" i="1"/>
  <c r="A325" i="1"/>
  <c r="B325" i="1"/>
  <c r="C325" i="1"/>
  <c r="D325" i="1"/>
  <c r="E325" i="1"/>
  <c r="A326" i="1"/>
  <c r="B326" i="1"/>
  <c r="C326" i="1"/>
  <c r="D326" i="1"/>
  <c r="E326" i="1"/>
  <c r="A327" i="1"/>
  <c r="B327" i="1"/>
  <c r="C327" i="1"/>
  <c r="D327" i="1"/>
  <c r="E327" i="1"/>
  <c r="A328" i="1"/>
  <c r="B328" i="1"/>
  <c r="C328" i="1"/>
  <c r="D328" i="1"/>
  <c r="E328" i="1"/>
  <c r="A329" i="1"/>
  <c r="B329" i="1"/>
  <c r="C329" i="1"/>
  <c r="D329" i="1"/>
  <c r="E329" i="1"/>
  <c r="A330" i="1"/>
  <c r="B330" i="1"/>
  <c r="C330" i="1"/>
  <c r="D330" i="1"/>
  <c r="E330" i="1"/>
  <c r="A331" i="1"/>
  <c r="B331" i="1"/>
  <c r="C331" i="1"/>
  <c r="D331" i="1"/>
  <c r="E331" i="1"/>
  <c r="A332" i="1"/>
  <c r="B332" i="1"/>
  <c r="C332" i="1"/>
  <c r="D332" i="1"/>
  <c r="E332" i="1"/>
  <c r="A333" i="1"/>
  <c r="B333" i="1"/>
  <c r="C333" i="1"/>
  <c r="D333" i="1"/>
  <c r="E333" i="1"/>
  <c r="A334" i="1"/>
  <c r="B334" i="1"/>
  <c r="C334" i="1"/>
  <c r="D334" i="1"/>
  <c r="E334" i="1"/>
  <c r="A335" i="1"/>
  <c r="B335" i="1"/>
  <c r="C335" i="1"/>
  <c r="D335" i="1"/>
  <c r="E335" i="1"/>
  <c r="A336" i="1"/>
  <c r="B336" i="1"/>
  <c r="C336" i="1"/>
  <c r="D336" i="1"/>
  <c r="E336" i="1"/>
  <c r="A337" i="1"/>
  <c r="B337" i="1"/>
  <c r="C337" i="1"/>
  <c r="D337" i="1"/>
  <c r="E337" i="1"/>
  <c r="A338" i="1"/>
  <c r="B338" i="1"/>
  <c r="C338" i="1"/>
  <c r="D338" i="1"/>
  <c r="E338" i="1"/>
  <c r="A339" i="1"/>
  <c r="B339" i="1"/>
  <c r="C339" i="1"/>
  <c r="D339" i="1"/>
  <c r="E339" i="1"/>
  <c r="A340" i="1"/>
  <c r="B340" i="1"/>
  <c r="C340" i="1"/>
  <c r="D340" i="1"/>
  <c r="E340" i="1"/>
  <c r="A341" i="1"/>
  <c r="B341" i="1"/>
  <c r="C341" i="1"/>
  <c r="D341" i="1"/>
  <c r="E341" i="1"/>
  <c r="A342" i="1"/>
  <c r="B342" i="1"/>
  <c r="C342" i="1"/>
  <c r="D342" i="1"/>
  <c r="E342" i="1"/>
  <c r="A343" i="1"/>
  <c r="B343" i="1"/>
  <c r="C343" i="1"/>
  <c r="D343" i="1"/>
  <c r="E343" i="1"/>
  <c r="A344" i="1"/>
  <c r="B344" i="1"/>
  <c r="C344" i="1"/>
  <c r="D344" i="1"/>
  <c r="E344" i="1"/>
  <c r="A345" i="1"/>
  <c r="B345" i="1"/>
  <c r="C345" i="1"/>
  <c r="D345" i="1"/>
  <c r="E345" i="1"/>
  <c r="A346" i="1"/>
  <c r="B346" i="1"/>
  <c r="C346" i="1"/>
  <c r="D346" i="1"/>
  <c r="E346" i="1"/>
  <c r="A347" i="1"/>
  <c r="B347" i="1"/>
  <c r="C347" i="1"/>
  <c r="D347" i="1"/>
  <c r="E347" i="1"/>
  <c r="A348" i="1"/>
  <c r="B348" i="1"/>
  <c r="C348" i="1"/>
  <c r="D348" i="1"/>
  <c r="E348" i="1"/>
  <c r="D63" i="6"/>
  <c r="D29" i="6"/>
  <c r="C20" i="7"/>
  <c r="H178" i="1"/>
  <c r="H179" i="1"/>
  <c r="H180" i="1"/>
  <c r="H181" i="1"/>
  <c r="H182" i="1"/>
  <c r="H183" i="1"/>
  <c r="H184" i="1"/>
  <c r="H185" i="1"/>
  <c r="H186" i="1"/>
  <c r="H187" i="1"/>
  <c r="H188" i="1"/>
  <c r="H189" i="1"/>
  <c r="H190" i="1"/>
  <c r="H191" i="1"/>
  <c r="H192" i="1"/>
  <c r="H193" i="1"/>
  <c r="H194" i="1"/>
  <c r="H198" i="1"/>
  <c r="H199" i="1"/>
  <c r="H200" i="1"/>
  <c r="H201" i="1"/>
  <c r="H202" i="1"/>
  <c r="H203" i="1"/>
  <c r="H204" i="1"/>
  <c r="H205" i="1"/>
  <c r="H206" i="1"/>
  <c r="H207" i="1"/>
  <c r="H208" i="1"/>
  <c r="H209" i="1"/>
  <c r="H210" i="1"/>
  <c r="H211" i="1"/>
  <c r="H213" i="1"/>
  <c r="H217" i="1"/>
  <c r="H218" i="1"/>
  <c r="H219" i="1"/>
  <c r="H221" i="1"/>
  <c r="H225" i="1"/>
  <c r="H226" i="1"/>
  <c r="H227" i="1"/>
  <c r="H228" i="1"/>
  <c r="H229" i="1"/>
  <c r="H230" i="1"/>
  <c r="H231" i="1"/>
  <c r="H232" i="1"/>
  <c r="H233" i="1"/>
  <c r="H234" i="1"/>
  <c r="H235" i="1"/>
  <c r="H236" i="1"/>
  <c r="H252" i="1"/>
  <c r="H253" i="1"/>
  <c r="H254" i="1"/>
  <c r="H255" i="1"/>
  <c r="H256" i="1"/>
  <c r="H257" i="1"/>
  <c r="H258" i="1"/>
  <c r="H259" i="1"/>
  <c r="H260" i="1"/>
  <c r="H261" i="1"/>
  <c r="H262" i="1"/>
  <c r="H263" i="1"/>
  <c r="H264" i="1"/>
  <c r="H265" i="1"/>
  <c r="H266" i="1"/>
  <c r="H268" i="1"/>
  <c r="H269" i="1"/>
  <c r="H270" i="1"/>
  <c r="H271" i="1"/>
  <c r="H274" i="1"/>
  <c r="H275" i="1"/>
  <c r="H280" i="1"/>
  <c r="H291" i="1"/>
  <c r="H292" i="1"/>
  <c r="H293" i="1"/>
  <c r="H294" i="1"/>
  <c r="H295" i="1"/>
  <c r="H296" i="1"/>
  <c r="H297"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7" i="1"/>
  <c r="H348" i="1"/>
  <c r="H177" i="1"/>
  <c r="BC66" i="2"/>
  <c r="BE12" i="7" l="1"/>
  <c r="BE13" i="7"/>
  <c r="BE14" i="7"/>
  <c r="BE15" i="7"/>
  <c r="BE16" i="7"/>
  <c r="BE17" i="7"/>
  <c r="BE18" i="7"/>
  <c r="BE19" i="7"/>
  <c r="BE20" i="7"/>
  <c r="BE21" i="7"/>
  <c r="BE22" i="7"/>
  <c r="BE23" i="7"/>
  <c r="BE24" i="7"/>
  <c r="BE25" i="7"/>
  <c r="BE26" i="7"/>
  <c r="BE27" i="7"/>
  <c r="AY12" i="7"/>
  <c r="AZ12" i="7"/>
  <c r="BA12" i="7"/>
  <c r="BB12" i="7"/>
  <c r="BC12" i="7"/>
  <c r="AY13" i="7"/>
  <c r="AZ13" i="7"/>
  <c r="BA13" i="7"/>
  <c r="BB13" i="7"/>
  <c r="BC13" i="7"/>
  <c r="D12" i="7"/>
  <c r="E12" i="7"/>
  <c r="F12" i="7"/>
  <c r="G12" i="7"/>
  <c r="H12" i="7"/>
  <c r="I12" i="7"/>
  <c r="J12" i="7"/>
  <c r="K12" i="7"/>
  <c r="L12" i="7"/>
  <c r="M12" i="7"/>
  <c r="N12" i="7"/>
  <c r="O12" i="7"/>
  <c r="P12" i="7"/>
  <c r="Q12" i="7"/>
  <c r="R12" i="7"/>
  <c r="S12" i="7"/>
  <c r="T12" i="7"/>
  <c r="U12" i="7"/>
  <c r="V12" i="7"/>
  <c r="W12" i="7"/>
  <c r="X12" i="7"/>
  <c r="Y12" i="7"/>
  <c r="Z12" i="7"/>
  <c r="AA12" i="7"/>
  <c r="AB12" i="7"/>
  <c r="AC12" i="7"/>
  <c r="AD12" i="7"/>
  <c r="AE12" i="7"/>
  <c r="AF12" i="7"/>
  <c r="AG12" i="7"/>
  <c r="AH12" i="7"/>
  <c r="AI12" i="7"/>
  <c r="AJ12" i="7"/>
  <c r="AK12" i="7"/>
  <c r="AL12" i="7"/>
  <c r="AM12" i="7"/>
  <c r="AN12" i="7"/>
  <c r="AO12" i="7"/>
  <c r="AP12" i="7"/>
  <c r="AQ12" i="7"/>
  <c r="AR12" i="7"/>
  <c r="AS12" i="7"/>
  <c r="AT12" i="7"/>
  <c r="AU12" i="7"/>
  <c r="AV12" i="7"/>
  <c r="AW12" i="7"/>
  <c r="AX12" i="7"/>
  <c r="BD12" i="7"/>
  <c r="D13" i="7"/>
  <c r="E13" i="7"/>
  <c r="F13" i="7"/>
  <c r="G13" i="7"/>
  <c r="H13" i="7"/>
  <c r="I13" i="7"/>
  <c r="J13" i="7"/>
  <c r="K13" i="7"/>
  <c r="L13" i="7"/>
  <c r="M13" i="7"/>
  <c r="N13" i="7"/>
  <c r="O13" i="7"/>
  <c r="P13" i="7"/>
  <c r="Q13" i="7"/>
  <c r="R13" i="7"/>
  <c r="S13" i="7"/>
  <c r="T13" i="7"/>
  <c r="U13" i="7"/>
  <c r="V13" i="7"/>
  <c r="W13" i="7"/>
  <c r="X13" i="7"/>
  <c r="Y13" i="7"/>
  <c r="Z13" i="7"/>
  <c r="AA13" i="7"/>
  <c r="AB13" i="7"/>
  <c r="AC13" i="7"/>
  <c r="AD13" i="7"/>
  <c r="AE13" i="7"/>
  <c r="AF13" i="7"/>
  <c r="AG13" i="7"/>
  <c r="AH13" i="7"/>
  <c r="AI13" i="7"/>
  <c r="AJ13" i="7"/>
  <c r="AK13" i="7"/>
  <c r="AL13" i="7"/>
  <c r="AM13" i="7"/>
  <c r="AN13" i="7"/>
  <c r="AO13" i="7"/>
  <c r="AP13" i="7"/>
  <c r="AQ13" i="7"/>
  <c r="AR13" i="7"/>
  <c r="AS13" i="7"/>
  <c r="AT13" i="7"/>
  <c r="AU13" i="7"/>
  <c r="AV13" i="7"/>
  <c r="AW13" i="7"/>
  <c r="AX13" i="7"/>
  <c r="BD13" i="7"/>
  <c r="D14" i="7"/>
  <c r="E14" i="7"/>
  <c r="F14" i="7"/>
  <c r="G14" i="7"/>
  <c r="H14" i="7"/>
  <c r="I14" i="7"/>
  <c r="J14" i="7"/>
  <c r="K14" i="7"/>
  <c r="L14" i="7"/>
  <c r="M14" i="7"/>
  <c r="N14" i="7"/>
  <c r="O14" i="7"/>
  <c r="P14" i="7"/>
  <c r="Q14" i="7"/>
  <c r="R14" i="7"/>
  <c r="S14" i="7"/>
  <c r="T14" i="7"/>
  <c r="U14" i="7"/>
  <c r="V14" i="7"/>
  <c r="W14" i="7"/>
  <c r="X14" i="7"/>
  <c r="Y14" i="7"/>
  <c r="Z14" i="7"/>
  <c r="AA14" i="7"/>
  <c r="AB14" i="7"/>
  <c r="AC14" i="7"/>
  <c r="AD14" i="7"/>
  <c r="AE14" i="7"/>
  <c r="AF14" i="7"/>
  <c r="AG14" i="7"/>
  <c r="AH14" i="7"/>
  <c r="AI14" i="7"/>
  <c r="AJ14" i="7"/>
  <c r="AK14" i="7"/>
  <c r="AL14" i="7"/>
  <c r="AM14" i="7"/>
  <c r="AN14" i="7"/>
  <c r="AO14" i="7"/>
  <c r="AP14" i="7"/>
  <c r="AQ14" i="7"/>
  <c r="AR14" i="7"/>
  <c r="AS14" i="7"/>
  <c r="AT14" i="7"/>
  <c r="AU14" i="7"/>
  <c r="AV14" i="7"/>
  <c r="AW14" i="7"/>
  <c r="AX14" i="7"/>
  <c r="AY14" i="7"/>
  <c r="AZ14" i="7"/>
  <c r="BA14" i="7"/>
  <c r="BB14" i="7"/>
  <c r="BC14" i="7"/>
  <c r="BD14" i="7"/>
  <c r="D15" i="7"/>
  <c r="E15" i="7"/>
  <c r="F15" i="7"/>
  <c r="G15" i="7"/>
  <c r="H15" i="7"/>
  <c r="I15" i="7"/>
  <c r="J15" i="7"/>
  <c r="K15" i="7"/>
  <c r="L15" i="7"/>
  <c r="M15" i="7"/>
  <c r="N15" i="7"/>
  <c r="O15" i="7"/>
  <c r="P15" i="7"/>
  <c r="Q15" i="7"/>
  <c r="R15" i="7"/>
  <c r="S15" i="7"/>
  <c r="T15" i="7"/>
  <c r="U15" i="7"/>
  <c r="V15" i="7"/>
  <c r="W15" i="7"/>
  <c r="X15" i="7"/>
  <c r="Y15" i="7"/>
  <c r="Z15" i="7"/>
  <c r="AA15" i="7"/>
  <c r="AB15" i="7"/>
  <c r="AC15" i="7"/>
  <c r="AD15" i="7"/>
  <c r="AE15" i="7"/>
  <c r="AF15" i="7"/>
  <c r="AG15" i="7"/>
  <c r="AH15" i="7"/>
  <c r="AI15" i="7"/>
  <c r="AJ15" i="7"/>
  <c r="AK15" i="7"/>
  <c r="AL15" i="7"/>
  <c r="AM15" i="7"/>
  <c r="AN15" i="7"/>
  <c r="AO15" i="7"/>
  <c r="AP15" i="7"/>
  <c r="AQ15" i="7"/>
  <c r="AR15" i="7"/>
  <c r="AS15" i="7"/>
  <c r="AT15" i="7"/>
  <c r="AU15" i="7"/>
  <c r="AV15" i="7"/>
  <c r="AW15" i="7"/>
  <c r="AX15" i="7"/>
  <c r="AY15" i="7"/>
  <c r="AZ15" i="7"/>
  <c r="BA15" i="7"/>
  <c r="BB15" i="7"/>
  <c r="BC15" i="7"/>
  <c r="BD15" i="7"/>
  <c r="D16" i="7"/>
  <c r="E16" i="7"/>
  <c r="F16" i="7"/>
  <c r="G16" i="7"/>
  <c r="H16" i="7"/>
  <c r="I16" i="7"/>
  <c r="J16" i="7"/>
  <c r="K16" i="7"/>
  <c r="L16" i="7"/>
  <c r="M16" i="7"/>
  <c r="N16" i="7"/>
  <c r="O16" i="7"/>
  <c r="P16" i="7"/>
  <c r="Q16" i="7"/>
  <c r="R16" i="7"/>
  <c r="S16" i="7"/>
  <c r="T16" i="7"/>
  <c r="U16" i="7"/>
  <c r="V16" i="7"/>
  <c r="W16" i="7"/>
  <c r="X16" i="7"/>
  <c r="Y16" i="7"/>
  <c r="Z16" i="7"/>
  <c r="AA16" i="7"/>
  <c r="AB16" i="7"/>
  <c r="AC16" i="7"/>
  <c r="AD16" i="7"/>
  <c r="AE16" i="7"/>
  <c r="AF16" i="7"/>
  <c r="AG16" i="7"/>
  <c r="AH16" i="7"/>
  <c r="AI16" i="7"/>
  <c r="AJ16" i="7"/>
  <c r="AK16" i="7"/>
  <c r="AL16" i="7"/>
  <c r="AM16" i="7"/>
  <c r="AN16" i="7"/>
  <c r="AO16" i="7"/>
  <c r="AP16" i="7"/>
  <c r="AQ16" i="7"/>
  <c r="AR16" i="7"/>
  <c r="AS16" i="7"/>
  <c r="AT16" i="7"/>
  <c r="AU16" i="7"/>
  <c r="AV16" i="7"/>
  <c r="AW16" i="7"/>
  <c r="AX16" i="7"/>
  <c r="AY16" i="7"/>
  <c r="AZ16" i="7"/>
  <c r="BA16" i="7"/>
  <c r="BB16" i="7"/>
  <c r="BC16" i="7"/>
  <c r="BD16" i="7"/>
  <c r="D17" i="7"/>
  <c r="E17" i="7"/>
  <c r="F17" i="7"/>
  <c r="G17" i="7"/>
  <c r="H17" i="7"/>
  <c r="I17" i="7"/>
  <c r="J17" i="7"/>
  <c r="K17" i="7"/>
  <c r="L17" i="7"/>
  <c r="M17" i="7"/>
  <c r="N17" i="7"/>
  <c r="O17" i="7"/>
  <c r="P17" i="7"/>
  <c r="Q17" i="7"/>
  <c r="R17" i="7"/>
  <c r="S17" i="7"/>
  <c r="T17" i="7"/>
  <c r="U17" i="7"/>
  <c r="V17" i="7"/>
  <c r="W17" i="7"/>
  <c r="X17" i="7"/>
  <c r="Y17" i="7"/>
  <c r="Z17" i="7"/>
  <c r="AA17" i="7"/>
  <c r="AB17" i="7"/>
  <c r="AC17" i="7"/>
  <c r="AD17" i="7"/>
  <c r="AE17" i="7"/>
  <c r="AF17" i="7"/>
  <c r="AG17" i="7"/>
  <c r="AH17" i="7"/>
  <c r="AI17" i="7"/>
  <c r="AJ17" i="7"/>
  <c r="AK17" i="7"/>
  <c r="AL17" i="7"/>
  <c r="AM17" i="7"/>
  <c r="AN17" i="7"/>
  <c r="AO17" i="7"/>
  <c r="AP17" i="7"/>
  <c r="AQ17" i="7"/>
  <c r="AR17" i="7"/>
  <c r="AS17" i="7"/>
  <c r="AT17" i="7"/>
  <c r="AU17" i="7"/>
  <c r="AV17" i="7"/>
  <c r="AW17" i="7"/>
  <c r="AX17" i="7"/>
  <c r="AY17" i="7"/>
  <c r="AZ17" i="7"/>
  <c r="BA17" i="7"/>
  <c r="BB17" i="7"/>
  <c r="BC17" i="7"/>
  <c r="BD17" i="7"/>
  <c r="D18" i="7"/>
  <c r="E18" i="7"/>
  <c r="F18" i="7"/>
  <c r="G18" i="7"/>
  <c r="H18" i="7"/>
  <c r="I18" i="7"/>
  <c r="J18" i="7"/>
  <c r="K18" i="7"/>
  <c r="L18" i="7"/>
  <c r="M18" i="7"/>
  <c r="N18" i="7"/>
  <c r="O18" i="7"/>
  <c r="P18" i="7"/>
  <c r="Q18" i="7"/>
  <c r="R18" i="7"/>
  <c r="S18" i="7"/>
  <c r="T18" i="7"/>
  <c r="U18" i="7"/>
  <c r="V18" i="7"/>
  <c r="W18" i="7"/>
  <c r="X18" i="7"/>
  <c r="Y18" i="7"/>
  <c r="Z18" i="7"/>
  <c r="AA18" i="7"/>
  <c r="AB18" i="7"/>
  <c r="AC18" i="7"/>
  <c r="AD18" i="7"/>
  <c r="AE18" i="7"/>
  <c r="AF18" i="7"/>
  <c r="AG18" i="7"/>
  <c r="AH18" i="7"/>
  <c r="AI18" i="7"/>
  <c r="AJ18" i="7"/>
  <c r="AK18" i="7"/>
  <c r="AL18" i="7"/>
  <c r="AM18" i="7"/>
  <c r="AN18" i="7"/>
  <c r="AO18" i="7"/>
  <c r="AP18" i="7"/>
  <c r="AQ18" i="7"/>
  <c r="AR18" i="7"/>
  <c r="AS18" i="7"/>
  <c r="AT18" i="7"/>
  <c r="AU18" i="7"/>
  <c r="AV18" i="7"/>
  <c r="AW18" i="7"/>
  <c r="AX18" i="7"/>
  <c r="AY18" i="7"/>
  <c r="AZ18" i="7"/>
  <c r="BA18" i="7"/>
  <c r="BB18" i="7"/>
  <c r="BC18" i="7"/>
  <c r="BD18" i="7"/>
  <c r="D19" i="7"/>
  <c r="E19" i="7"/>
  <c r="F19" i="7"/>
  <c r="G19" i="7"/>
  <c r="H19" i="7"/>
  <c r="I19" i="7"/>
  <c r="J19" i="7"/>
  <c r="K19" i="7"/>
  <c r="L19" i="7"/>
  <c r="M19" i="7"/>
  <c r="N19" i="7"/>
  <c r="O19" i="7"/>
  <c r="P19" i="7"/>
  <c r="Q19" i="7"/>
  <c r="R19" i="7"/>
  <c r="S19" i="7"/>
  <c r="T19" i="7"/>
  <c r="U19" i="7"/>
  <c r="V19" i="7"/>
  <c r="W19" i="7"/>
  <c r="X19" i="7"/>
  <c r="Y19" i="7"/>
  <c r="Z19" i="7"/>
  <c r="AA19" i="7"/>
  <c r="AB19" i="7"/>
  <c r="AC19" i="7"/>
  <c r="AD19" i="7"/>
  <c r="AE19" i="7"/>
  <c r="AF19" i="7"/>
  <c r="AG19" i="7"/>
  <c r="AH19" i="7"/>
  <c r="AI19" i="7"/>
  <c r="AJ19" i="7"/>
  <c r="AK19" i="7"/>
  <c r="AL19" i="7"/>
  <c r="AM19" i="7"/>
  <c r="AN19" i="7"/>
  <c r="AO19" i="7"/>
  <c r="AP19" i="7"/>
  <c r="AQ19" i="7"/>
  <c r="AR19" i="7"/>
  <c r="AS19" i="7"/>
  <c r="AT19" i="7"/>
  <c r="AU19" i="7"/>
  <c r="AV19" i="7"/>
  <c r="AW19" i="7"/>
  <c r="AX19" i="7"/>
  <c r="AY19" i="7"/>
  <c r="AZ19" i="7"/>
  <c r="BA19" i="7"/>
  <c r="BB19" i="7"/>
  <c r="BC19" i="7"/>
  <c r="BD19" i="7"/>
  <c r="D20" i="7"/>
  <c r="E20" i="7"/>
  <c r="F20" i="7"/>
  <c r="G20" i="7"/>
  <c r="H20" i="7"/>
  <c r="I20" i="7"/>
  <c r="J20" i="7"/>
  <c r="K20" i="7"/>
  <c r="L20" i="7"/>
  <c r="M20" i="7"/>
  <c r="N20" i="7"/>
  <c r="O20" i="7"/>
  <c r="P20" i="7"/>
  <c r="Q20" i="7"/>
  <c r="R20" i="7"/>
  <c r="S20" i="7"/>
  <c r="T20" i="7"/>
  <c r="U20" i="7"/>
  <c r="V20" i="7"/>
  <c r="W20" i="7"/>
  <c r="X20" i="7"/>
  <c r="Y20" i="7"/>
  <c r="Z20" i="7"/>
  <c r="AA20" i="7"/>
  <c r="AB20" i="7"/>
  <c r="AC20" i="7"/>
  <c r="AD20" i="7"/>
  <c r="AE20" i="7"/>
  <c r="AF20" i="7"/>
  <c r="AG20" i="7"/>
  <c r="AH20" i="7"/>
  <c r="AI20" i="7"/>
  <c r="AJ20" i="7"/>
  <c r="AK20" i="7"/>
  <c r="AL20" i="7"/>
  <c r="AM20" i="7"/>
  <c r="AN20" i="7"/>
  <c r="AO20" i="7"/>
  <c r="AP20" i="7"/>
  <c r="AQ20" i="7"/>
  <c r="AR20" i="7"/>
  <c r="AS20" i="7"/>
  <c r="AT20" i="7"/>
  <c r="AU20" i="7"/>
  <c r="AV20" i="7"/>
  <c r="AW20" i="7"/>
  <c r="AX20" i="7"/>
  <c r="AY20" i="7"/>
  <c r="AZ20" i="7"/>
  <c r="BA20" i="7"/>
  <c r="BB20" i="7"/>
  <c r="BC20" i="7"/>
  <c r="BD20" i="7"/>
  <c r="D21" i="7"/>
  <c r="E21" i="7"/>
  <c r="F21" i="7"/>
  <c r="G21" i="7"/>
  <c r="H21" i="7"/>
  <c r="I21" i="7"/>
  <c r="J21" i="7"/>
  <c r="K21" i="7"/>
  <c r="L21" i="7"/>
  <c r="M21" i="7"/>
  <c r="N21" i="7"/>
  <c r="O21" i="7"/>
  <c r="P21" i="7"/>
  <c r="Q21" i="7"/>
  <c r="R21" i="7"/>
  <c r="S21" i="7"/>
  <c r="T21" i="7"/>
  <c r="U21" i="7"/>
  <c r="V21" i="7"/>
  <c r="W21" i="7"/>
  <c r="X21" i="7"/>
  <c r="Y21" i="7"/>
  <c r="Z21" i="7"/>
  <c r="AA21" i="7"/>
  <c r="AB21" i="7"/>
  <c r="AC21" i="7"/>
  <c r="AD21" i="7"/>
  <c r="AE21" i="7"/>
  <c r="AF21" i="7"/>
  <c r="AG21" i="7"/>
  <c r="AH21" i="7"/>
  <c r="AI21" i="7"/>
  <c r="AJ21" i="7"/>
  <c r="AK21" i="7"/>
  <c r="AL21" i="7"/>
  <c r="AM21" i="7"/>
  <c r="AN21" i="7"/>
  <c r="AO21" i="7"/>
  <c r="AP21" i="7"/>
  <c r="AQ21" i="7"/>
  <c r="AR21" i="7"/>
  <c r="AS21" i="7"/>
  <c r="AT21" i="7"/>
  <c r="AU21" i="7"/>
  <c r="AV21" i="7"/>
  <c r="AW21" i="7"/>
  <c r="AX21" i="7"/>
  <c r="AY21" i="7"/>
  <c r="AZ21" i="7"/>
  <c r="BA21" i="7"/>
  <c r="BB21" i="7"/>
  <c r="BC21" i="7"/>
  <c r="BD21" i="7"/>
  <c r="D22" i="7"/>
  <c r="E22" i="7"/>
  <c r="F22" i="7"/>
  <c r="G22" i="7"/>
  <c r="H22" i="7"/>
  <c r="I22" i="7"/>
  <c r="J22" i="7"/>
  <c r="K22" i="7"/>
  <c r="L22" i="7"/>
  <c r="M22" i="7"/>
  <c r="N22" i="7"/>
  <c r="O22" i="7"/>
  <c r="P22" i="7"/>
  <c r="Q22" i="7"/>
  <c r="R22" i="7"/>
  <c r="S22" i="7"/>
  <c r="T22" i="7"/>
  <c r="U22" i="7"/>
  <c r="V22" i="7"/>
  <c r="W22" i="7"/>
  <c r="X22" i="7"/>
  <c r="Y22" i="7"/>
  <c r="Z22" i="7"/>
  <c r="AA22" i="7"/>
  <c r="AB22" i="7"/>
  <c r="AC22" i="7"/>
  <c r="AD22" i="7"/>
  <c r="AE22" i="7"/>
  <c r="AF22" i="7"/>
  <c r="AG22" i="7"/>
  <c r="AH22" i="7"/>
  <c r="AI22" i="7"/>
  <c r="AJ22" i="7"/>
  <c r="AK22" i="7"/>
  <c r="AL22" i="7"/>
  <c r="AM22" i="7"/>
  <c r="AN22" i="7"/>
  <c r="AO22" i="7"/>
  <c r="AP22" i="7"/>
  <c r="AQ22" i="7"/>
  <c r="AR22" i="7"/>
  <c r="AS22" i="7"/>
  <c r="AT22" i="7"/>
  <c r="AU22" i="7"/>
  <c r="AV22" i="7"/>
  <c r="AW22" i="7"/>
  <c r="AX22" i="7"/>
  <c r="AY22" i="7"/>
  <c r="AZ22" i="7"/>
  <c r="BA22" i="7"/>
  <c r="BB22" i="7"/>
  <c r="BC22" i="7"/>
  <c r="BD22" i="7"/>
  <c r="D23" i="7"/>
  <c r="E23" i="7"/>
  <c r="F23" i="7"/>
  <c r="G23" i="7"/>
  <c r="H23" i="7"/>
  <c r="I23" i="7"/>
  <c r="J23" i="7"/>
  <c r="K23" i="7"/>
  <c r="L23" i="7"/>
  <c r="M23" i="7"/>
  <c r="N23" i="7"/>
  <c r="O23" i="7"/>
  <c r="P23" i="7"/>
  <c r="Q23" i="7"/>
  <c r="R23" i="7"/>
  <c r="S23" i="7"/>
  <c r="T23" i="7"/>
  <c r="U23" i="7"/>
  <c r="V23" i="7"/>
  <c r="W23" i="7"/>
  <c r="X23" i="7"/>
  <c r="Y23" i="7"/>
  <c r="Z23" i="7"/>
  <c r="AA23" i="7"/>
  <c r="AB23" i="7"/>
  <c r="AC23" i="7"/>
  <c r="AD23" i="7"/>
  <c r="AE23" i="7"/>
  <c r="AF23" i="7"/>
  <c r="AG23" i="7"/>
  <c r="AH23" i="7"/>
  <c r="AI23" i="7"/>
  <c r="AJ23" i="7"/>
  <c r="AK23" i="7"/>
  <c r="AL23" i="7"/>
  <c r="AM23" i="7"/>
  <c r="AN23" i="7"/>
  <c r="AO23" i="7"/>
  <c r="AP23" i="7"/>
  <c r="AQ23" i="7"/>
  <c r="AR23" i="7"/>
  <c r="AS23" i="7"/>
  <c r="AT23" i="7"/>
  <c r="AU23" i="7"/>
  <c r="AV23" i="7"/>
  <c r="AW23" i="7"/>
  <c r="AX23" i="7"/>
  <c r="AY23" i="7"/>
  <c r="AZ23" i="7"/>
  <c r="BA23" i="7"/>
  <c r="BB23" i="7"/>
  <c r="BC23" i="7"/>
  <c r="BD23" i="7"/>
  <c r="D24" i="7"/>
  <c r="E24" i="7"/>
  <c r="F24" i="7"/>
  <c r="G24" i="7"/>
  <c r="H24" i="7"/>
  <c r="I24" i="7"/>
  <c r="J24" i="7"/>
  <c r="K24" i="7"/>
  <c r="L24" i="7"/>
  <c r="M24" i="7"/>
  <c r="N24" i="7"/>
  <c r="O24" i="7"/>
  <c r="P24" i="7"/>
  <c r="Q24" i="7"/>
  <c r="R24" i="7"/>
  <c r="S24" i="7"/>
  <c r="T24" i="7"/>
  <c r="U24" i="7"/>
  <c r="V24" i="7"/>
  <c r="W24" i="7"/>
  <c r="X24" i="7"/>
  <c r="Y24" i="7"/>
  <c r="Z24" i="7"/>
  <c r="AA24" i="7"/>
  <c r="AB24" i="7"/>
  <c r="AC24" i="7"/>
  <c r="AD24" i="7"/>
  <c r="AE24" i="7"/>
  <c r="AF24" i="7"/>
  <c r="AG24" i="7"/>
  <c r="AH24" i="7"/>
  <c r="AI24" i="7"/>
  <c r="AJ24" i="7"/>
  <c r="AK24" i="7"/>
  <c r="AL24" i="7"/>
  <c r="AM24" i="7"/>
  <c r="AN24" i="7"/>
  <c r="AO24" i="7"/>
  <c r="AP24" i="7"/>
  <c r="AQ24" i="7"/>
  <c r="AR24" i="7"/>
  <c r="AS24" i="7"/>
  <c r="AT24" i="7"/>
  <c r="AU24" i="7"/>
  <c r="AV24" i="7"/>
  <c r="AW24" i="7"/>
  <c r="AX24" i="7"/>
  <c r="AY24" i="7"/>
  <c r="AZ24" i="7"/>
  <c r="BA24" i="7"/>
  <c r="BB24" i="7"/>
  <c r="BC24" i="7"/>
  <c r="BD24" i="7"/>
  <c r="D25" i="7"/>
  <c r="E25" i="7"/>
  <c r="F25" i="7"/>
  <c r="G25" i="7"/>
  <c r="H25" i="7"/>
  <c r="I25" i="7"/>
  <c r="J25" i="7"/>
  <c r="K25" i="7"/>
  <c r="L25" i="7"/>
  <c r="M25" i="7"/>
  <c r="N25" i="7"/>
  <c r="O25" i="7"/>
  <c r="P25" i="7"/>
  <c r="Q25" i="7"/>
  <c r="R25" i="7"/>
  <c r="S25" i="7"/>
  <c r="T25" i="7"/>
  <c r="U25" i="7"/>
  <c r="V25" i="7"/>
  <c r="W25" i="7"/>
  <c r="X25" i="7"/>
  <c r="Y25" i="7"/>
  <c r="Z25" i="7"/>
  <c r="AA25" i="7"/>
  <c r="AB25" i="7"/>
  <c r="AC25" i="7"/>
  <c r="AD25" i="7"/>
  <c r="AE25" i="7"/>
  <c r="AF25" i="7"/>
  <c r="AG25" i="7"/>
  <c r="AH25" i="7"/>
  <c r="AI25" i="7"/>
  <c r="AJ25" i="7"/>
  <c r="AK25" i="7"/>
  <c r="AL25" i="7"/>
  <c r="AM25" i="7"/>
  <c r="AN25" i="7"/>
  <c r="AO25" i="7"/>
  <c r="AP25" i="7"/>
  <c r="AQ25" i="7"/>
  <c r="AR25" i="7"/>
  <c r="AS25" i="7"/>
  <c r="AT25" i="7"/>
  <c r="AU25" i="7"/>
  <c r="AV25" i="7"/>
  <c r="AW25" i="7"/>
  <c r="AX25" i="7"/>
  <c r="AY25" i="7"/>
  <c r="AZ25" i="7"/>
  <c r="BA25" i="7"/>
  <c r="BB25" i="7"/>
  <c r="BC25" i="7"/>
  <c r="BD25" i="7"/>
  <c r="D26" i="7"/>
  <c r="E26" i="7"/>
  <c r="F26" i="7"/>
  <c r="G26" i="7"/>
  <c r="H26" i="7"/>
  <c r="I26" i="7"/>
  <c r="J26" i="7"/>
  <c r="K26" i="7"/>
  <c r="L26" i="7"/>
  <c r="M26" i="7"/>
  <c r="N26" i="7"/>
  <c r="O26" i="7"/>
  <c r="P26" i="7"/>
  <c r="Q26" i="7"/>
  <c r="R26" i="7"/>
  <c r="S26" i="7"/>
  <c r="T26" i="7"/>
  <c r="U26" i="7"/>
  <c r="V26" i="7"/>
  <c r="W26" i="7"/>
  <c r="X26" i="7"/>
  <c r="Y26" i="7"/>
  <c r="Z26" i="7"/>
  <c r="AA26" i="7"/>
  <c r="AB26" i="7"/>
  <c r="AC26" i="7"/>
  <c r="AD26" i="7"/>
  <c r="AE26" i="7"/>
  <c r="AF26" i="7"/>
  <c r="AG26" i="7"/>
  <c r="AH26" i="7"/>
  <c r="AI26" i="7"/>
  <c r="AJ26" i="7"/>
  <c r="AK26" i="7"/>
  <c r="AL26" i="7"/>
  <c r="AM26" i="7"/>
  <c r="AN26" i="7"/>
  <c r="AO26" i="7"/>
  <c r="AP26" i="7"/>
  <c r="AQ26" i="7"/>
  <c r="AR26" i="7"/>
  <c r="AS26" i="7"/>
  <c r="AT26" i="7"/>
  <c r="AU26" i="7"/>
  <c r="AV26" i="7"/>
  <c r="AW26" i="7"/>
  <c r="AX26" i="7"/>
  <c r="AY26" i="7"/>
  <c r="AZ26" i="7"/>
  <c r="BA26" i="7"/>
  <c r="BB26" i="7"/>
  <c r="BC26" i="7"/>
  <c r="BD26" i="7"/>
  <c r="D27" i="7"/>
  <c r="E27" i="7"/>
  <c r="F27" i="7"/>
  <c r="G27" i="7"/>
  <c r="H27" i="7"/>
  <c r="I27"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AQ27" i="7"/>
  <c r="AR27" i="7"/>
  <c r="AS27" i="7"/>
  <c r="AT27" i="7"/>
  <c r="AU27" i="7"/>
  <c r="AV27" i="7"/>
  <c r="AW27" i="7"/>
  <c r="AX27" i="7"/>
  <c r="AY27" i="7"/>
  <c r="AZ27" i="7"/>
  <c r="BA27" i="7"/>
  <c r="BB27" i="7"/>
  <c r="BC27" i="7"/>
  <c r="BD27" i="7"/>
  <c r="C21" i="7"/>
  <c r="C22" i="7"/>
  <c r="C23" i="7"/>
  <c r="C24" i="7"/>
  <c r="C25" i="7"/>
  <c r="C26" i="7"/>
  <c r="C27" i="7"/>
  <c r="C13" i="7"/>
  <c r="C14" i="7"/>
  <c r="C15" i="7"/>
  <c r="C16" i="7"/>
  <c r="C17" i="7"/>
  <c r="C18" i="7"/>
  <c r="C19" i="7"/>
  <c r="C12" i="7"/>
  <c r="E54" i="6" l="1"/>
  <c r="F54" i="6"/>
  <c r="G54" i="6"/>
  <c r="H54" i="6"/>
  <c r="I54" i="6"/>
  <c r="J54" i="6"/>
  <c r="K54" i="6"/>
  <c r="L54" i="6"/>
  <c r="M54" i="6"/>
  <c r="N54" i="6"/>
  <c r="O54" i="6"/>
  <c r="P54" i="6"/>
  <c r="Q54" i="6"/>
  <c r="R54" i="6"/>
  <c r="S54" i="6"/>
  <c r="T54" i="6"/>
  <c r="U54" i="6"/>
  <c r="V54" i="6"/>
  <c r="W54" i="6"/>
  <c r="X54" i="6"/>
  <c r="Y54" i="6"/>
  <c r="Z54" i="6"/>
  <c r="AA54" i="6"/>
  <c r="AB54" i="6"/>
  <c r="AC54" i="6"/>
  <c r="AD54" i="6"/>
  <c r="AE54" i="6"/>
  <c r="AF54" i="6"/>
  <c r="AG54" i="6"/>
  <c r="AH54" i="6"/>
  <c r="AI54" i="6"/>
  <c r="AJ54" i="6"/>
  <c r="AK54" i="6"/>
  <c r="AL54" i="6"/>
  <c r="AM54" i="6"/>
  <c r="AN54" i="6"/>
  <c r="AO54" i="6"/>
  <c r="AP54" i="6"/>
  <c r="AQ54" i="6"/>
  <c r="AR54" i="6"/>
  <c r="AS54" i="6"/>
  <c r="AT54" i="6"/>
  <c r="AU54" i="6"/>
  <c r="AV54" i="6"/>
  <c r="AW54" i="6"/>
  <c r="AX54" i="6"/>
  <c r="AY54" i="6"/>
  <c r="AZ54" i="6"/>
  <c r="BA54" i="6"/>
  <c r="BB54" i="6"/>
  <c r="BC54" i="6"/>
  <c r="BD54" i="6"/>
  <c r="BE54" i="6"/>
  <c r="BF54" i="6"/>
  <c r="BG54" i="6"/>
  <c r="BH54" i="6"/>
  <c r="BI54" i="6"/>
  <c r="BJ54" i="6"/>
  <c r="BK54" i="6"/>
  <c r="BL54" i="6"/>
  <c r="BM54" i="6"/>
  <c r="BN54" i="6"/>
  <c r="BO54" i="6"/>
  <c r="BP54" i="6"/>
  <c r="BQ54" i="6"/>
  <c r="BR54" i="6"/>
  <c r="BS54" i="6"/>
  <c r="BT54" i="6"/>
  <c r="BU54" i="6"/>
  <c r="BV54" i="6"/>
  <c r="E55" i="6"/>
  <c r="F55" i="6"/>
  <c r="G55" i="6"/>
  <c r="H55" i="6"/>
  <c r="I55" i="6"/>
  <c r="J55" i="6"/>
  <c r="K55" i="6"/>
  <c r="L55" i="6"/>
  <c r="M55" i="6"/>
  <c r="N55" i="6"/>
  <c r="O55" i="6"/>
  <c r="P55" i="6"/>
  <c r="Q55" i="6"/>
  <c r="R55" i="6"/>
  <c r="S55" i="6"/>
  <c r="T55" i="6"/>
  <c r="U55" i="6"/>
  <c r="V55" i="6"/>
  <c r="W55" i="6"/>
  <c r="X55" i="6"/>
  <c r="Y55" i="6"/>
  <c r="Z55" i="6"/>
  <c r="AA55" i="6"/>
  <c r="AB55" i="6"/>
  <c r="AC55" i="6"/>
  <c r="AD55" i="6"/>
  <c r="AE55" i="6"/>
  <c r="AF55" i="6"/>
  <c r="AG55" i="6"/>
  <c r="AH55" i="6"/>
  <c r="AI55" i="6"/>
  <c r="AJ55" i="6"/>
  <c r="AK55" i="6"/>
  <c r="AL55" i="6"/>
  <c r="AM55" i="6"/>
  <c r="AN55" i="6"/>
  <c r="AO55" i="6"/>
  <c r="AP55" i="6"/>
  <c r="AQ55" i="6"/>
  <c r="AR55" i="6"/>
  <c r="AS55" i="6"/>
  <c r="AT55" i="6"/>
  <c r="AU55" i="6"/>
  <c r="AV55" i="6"/>
  <c r="AW55" i="6"/>
  <c r="AX55" i="6"/>
  <c r="AY55" i="6"/>
  <c r="AZ55" i="6"/>
  <c r="BA55" i="6"/>
  <c r="BB55" i="6"/>
  <c r="BC55" i="6"/>
  <c r="BD55" i="6"/>
  <c r="BE55" i="6"/>
  <c r="BF55" i="6"/>
  <c r="BG55" i="6"/>
  <c r="BH55" i="6"/>
  <c r="BI55" i="6"/>
  <c r="BJ55" i="6"/>
  <c r="BK55" i="6"/>
  <c r="BL55" i="6"/>
  <c r="BM55" i="6"/>
  <c r="BN55" i="6"/>
  <c r="BO55" i="6"/>
  <c r="BP55" i="6"/>
  <c r="BQ55" i="6"/>
  <c r="BR55" i="6"/>
  <c r="BS55" i="6"/>
  <c r="BT55" i="6"/>
  <c r="BU55" i="6"/>
  <c r="BV55" i="6"/>
  <c r="E56" i="6"/>
  <c r="F56" i="6"/>
  <c r="G56" i="6"/>
  <c r="H56" i="6"/>
  <c r="I56" i="6"/>
  <c r="J56" i="6"/>
  <c r="K56" i="6"/>
  <c r="L56" i="6"/>
  <c r="M56" i="6"/>
  <c r="N56" i="6"/>
  <c r="O56" i="6"/>
  <c r="P56" i="6"/>
  <c r="Q56" i="6"/>
  <c r="R56" i="6"/>
  <c r="S56" i="6"/>
  <c r="T56" i="6"/>
  <c r="U56" i="6"/>
  <c r="V56" i="6"/>
  <c r="W56" i="6"/>
  <c r="X56" i="6"/>
  <c r="Y56" i="6"/>
  <c r="Z56" i="6"/>
  <c r="AA56" i="6"/>
  <c r="AB56" i="6"/>
  <c r="AC56" i="6"/>
  <c r="AD56" i="6"/>
  <c r="AE56" i="6"/>
  <c r="AF56" i="6"/>
  <c r="AG56" i="6"/>
  <c r="AH56" i="6"/>
  <c r="AI56" i="6"/>
  <c r="AJ56" i="6"/>
  <c r="AK56" i="6"/>
  <c r="AL56" i="6"/>
  <c r="AM56" i="6"/>
  <c r="AN56" i="6"/>
  <c r="AO56" i="6"/>
  <c r="AP56" i="6"/>
  <c r="AQ56" i="6"/>
  <c r="AR56" i="6"/>
  <c r="AS56" i="6"/>
  <c r="AT56" i="6"/>
  <c r="AU56" i="6"/>
  <c r="AV56" i="6"/>
  <c r="AW56" i="6"/>
  <c r="AX56" i="6"/>
  <c r="AY56" i="6"/>
  <c r="AZ56" i="6"/>
  <c r="BA56" i="6"/>
  <c r="BB56" i="6"/>
  <c r="BC56" i="6"/>
  <c r="BD56" i="6"/>
  <c r="BE56" i="6"/>
  <c r="BF56" i="6"/>
  <c r="BG56" i="6"/>
  <c r="BH56" i="6"/>
  <c r="BI56" i="6"/>
  <c r="BJ56" i="6"/>
  <c r="BK56" i="6"/>
  <c r="BL56" i="6"/>
  <c r="BM56" i="6"/>
  <c r="BN56" i="6"/>
  <c r="BO56" i="6"/>
  <c r="BP56" i="6"/>
  <c r="BQ56" i="6"/>
  <c r="BR56" i="6"/>
  <c r="BS56" i="6"/>
  <c r="BT56" i="6"/>
  <c r="BU56" i="6"/>
  <c r="BV56" i="6"/>
  <c r="E57" i="6"/>
  <c r="F57" i="6"/>
  <c r="G57" i="6"/>
  <c r="H57" i="6"/>
  <c r="I57" i="6"/>
  <c r="J57" i="6"/>
  <c r="K57" i="6"/>
  <c r="L57" i="6"/>
  <c r="M57" i="6"/>
  <c r="N57" i="6"/>
  <c r="O57" i="6"/>
  <c r="P57" i="6"/>
  <c r="Q57" i="6"/>
  <c r="R57" i="6"/>
  <c r="S57" i="6"/>
  <c r="T57" i="6"/>
  <c r="U57" i="6"/>
  <c r="V57" i="6"/>
  <c r="W57" i="6"/>
  <c r="X57" i="6"/>
  <c r="Y57" i="6"/>
  <c r="Z57" i="6"/>
  <c r="AA57" i="6"/>
  <c r="AB57" i="6"/>
  <c r="AC57" i="6"/>
  <c r="AD57" i="6"/>
  <c r="AE57" i="6"/>
  <c r="AF57" i="6"/>
  <c r="AG57" i="6"/>
  <c r="AH57" i="6"/>
  <c r="AI57" i="6"/>
  <c r="AJ57" i="6"/>
  <c r="AK57" i="6"/>
  <c r="AL57" i="6"/>
  <c r="AM57" i="6"/>
  <c r="AN57" i="6"/>
  <c r="AO57" i="6"/>
  <c r="AP57" i="6"/>
  <c r="AQ57" i="6"/>
  <c r="AR57" i="6"/>
  <c r="AS57" i="6"/>
  <c r="AT57" i="6"/>
  <c r="AU57" i="6"/>
  <c r="AV57" i="6"/>
  <c r="AW57" i="6"/>
  <c r="AX57" i="6"/>
  <c r="AY57" i="6"/>
  <c r="AZ57" i="6"/>
  <c r="BA57" i="6"/>
  <c r="BB57" i="6"/>
  <c r="BC57" i="6"/>
  <c r="BD57" i="6"/>
  <c r="BE57" i="6"/>
  <c r="BF57" i="6"/>
  <c r="BG57" i="6"/>
  <c r="BH57" i="6"/>
  <c r="BI57" i="6"/>
  <c r="BJ57" i="6"/>
  <c r="BK57" i="6"/>
  <c r="BL57" i="6"/>
  <c r="BM57" i="6"/>
  <c r="BN57" i="6"/>
  <c r="BO57" i="6"/>
  <c r="BP57" i="6"/>
  <c r="BQ57" i="6"/>
  <c r="BR57" i="6"/>
  <c r="BS57" i="6"/>
  <c r="BT57" i="6"/>
  <c r="BU57" i="6"/>
  <c r="BV57" i="6"/>
  <c r="E58" i="6"/>
  <c r="F58" i="6"/>
  <c r="G58" i="6"/>
  <c r="H58" i="6"/>
  <c r="I58" i="6"/>
  <c r="J58" i="6"/>
  <c r="K58" i="6"/>
  <c r="L58" i="6"/>
  <c r="M58" i="6"/>
  <c r="N58" i="6"/>
  <c r="O58" i="6"/>
  <c r="P58" i="6"/>
  <c r="Q58" i="6"/>
  <c r="R58" i="6"/>
  <c r="S58" i="6"/>
  <c r="T58" i="6"/>
  <c r="U58" i="6"/>
  <c r="V58" i="6"/>
  <c r="W58" i="6"/>
  <c r="X58" i="6"/>
  <c r="Y58" i="6"/>
  <c r="Z58" i="6"/>
  <c r="AA58" i="6"/>
  <c r="AB58" i="6"/>
  <c r="AC58" i="6"/>
  <c r="AD58" i="6"/>
  <c r="AE58" i="6"/>
  <c r="AF58" i="6"/>
  <c r="AG58" i="6"/>
  <c r="AH58" i="6"/>
  <c r="AI58" i="6"/>
  <c r="AJ58" i="6"/>
  <c r="AK58" i="6"/>
  <c r="AL58" i="6"/>
  <c r="AM58" i="6"/>
  <c r="AN58" i="6"/>
  <c r="AO58" i="6"/>
  <c r="AP58" i="6"/>
  <c r="AQ58" i="6"/>
  <c r="AR58" i="6"/>
  <c r="AS58" i="6"/>
  <c r="AT58" i="6"/>
  <c r="AU58" i="6"/>
  <c r="AV58" i="6"/>
  <c r="AW58" i="6"/>
  <c r="AX58" i="6"/>
  <c r="AY58" i="6"/>
  <c r="AZ58" i="6"/>
  <c r="BA58" i="6"/>
  <c r="BB58" i="6"/>
  <c r="BC58" i="6"/>
  <c r="BD58" i="6"/>
  <c r="BE58" i="6"/>
  <c r="BF58" i="6"/>
  <c r="BG58" i="6"/>
  <c r="BH58" i="6"/>
  <c r="BI58" i="6"/>
  <c r="BJ58" i="6"/>
  <c r="BK58" i="6"/>
  <c r="BL58" i="6"/>
  <c r="BM58" i="6"/>
  <c r="E59" i="6"/>
  <c r="F59" i="6"/>
  <c r="G59" i="6"/>
  <c r="H59" i="6"/>
  <c r="I59" i="6"/>
  <c r="J59" i="6"/>
  <c r="K59" i="6"/>
  <c r="L59" i="6"/>
  <c r="M59" i="6"/>
  <c r="N59" i="6"/>
  <c r="O59" i="6"/>
  <c r="P59" i="6"/>
  <c r="Q59" i="6"/>
  <c r="R59" i="6"/>
  <c r="S59" i="6"/>
  <c r="T59" i="6"/>
  <c r="U59" i="6"/>
  <c r="V59" i="6"/>
  <c r="W59" i="6"/>
  <c r="X59" i="6"/>
  <c r="Y59" i="6"/>
  <c r="Z59" i="6"/>
  <c r="AA59" i="6"/>
  <c r="AB59" i="6"/>
  <c r="AC59" i="6"/>
  <c r="AD59" i="6"/>
  <c r="AE59" i="6"/>
  <c r="AF59" i="6"/>
  <c r="AG59" i="6"/>
  <c r="AH59" i="6"/>
  <c r="AI59" i="6"/>
  <c r="AJ59" i="6"/>
  <c r="AK59" i="6"/>
  <c r="AL59" i="6"/>
  <c r="AM59" i="6"/>
  <c r="AN59" i="6"/>
  <c r="AO59" i="6"/>
  <c r="AP59" i="6"/>
  <c r="AQ59" i="6"/>
  <c r="AR59" i="6"/>
  <c r="AS59" i="6"/>
  <c r="AT59" i="6"/>
  <c r="AU59" i="6"/>
  <c r="AV59" i="6"/>
  <c r="AW59" i="6"/>
  <c r="AX59" i="6"/>
  <c r="AY59" i="6"/>
  <c r="AZ59" i="6"/>
  <c r="BA59" i="6"/>
  <c r="BB59" i="6"/>
  <c r="BC59" i="6"/>
  <c r="BD59" i="6"/>
  <c r="BE59" i="6"/>
  <c r="BF59" i="6"/>
  <c r="BG59" i="6"/>
  <c r="BH59" i="6"/>
  <c r="BI59" i="6"/>
  <c r="BJ59" i="6"/>
  <c r="BK59" i="6"/>
  <c r="BL59" i="6"/>
  <c r="BM59" i="6"/>
  <c r="BN59" i="6"/>
  <c r="BO59" i="6"/>
  <c r="BP59" i="6"/>
  <c r="BQ59" i="6"/>
  <c r="BR59" i="6"/>
  <c r="BS59" i="6"/>
  <c r="BT59" i="6"/>
  <c r="BU59" i="6"/>
  <c r="BV59" i="6"/>
  <c r="E60" i="6"/>
  <c r="F60" i="6"/>
  <c r="G60" i="6"/>
  <c r="H60" i="6"/>
  <c r="I60" i="6"/>
  <c r="J60" i="6"/>
  <c r="K60" i="6"/>
  <c r="L60" i="6"/>
  <c r="M60" i="6"/>
  <c r="N60" i="6"/>
  <c r="O60" i="6"/>
  <c r="P60" i="6"/>
  <c r="Q60" i="6"/>
  <c r="R60" i="6"/>
  <c r="S60" i="6"/>
  <c r="T60" i="6"/>
  <c r="U60" i="6"/>
  <c r="V60" i="6"/>
  <c r="W60" i="6"/>
  <c r="X60" i="6"/>
  <c r="Y60" i="6"/>
  <c r="Z60" i="6"/>
  <c r="AA60" i="6"/>
  <c r="AB60" i="6"/>
  <c r="AC60" i="6"/>
  <c r="AD60" i="6"/>
  <c r="AE60" i="6"/>
  <c r="AF60" i="6"/>
  <c r="AG60" i="6"/>
  <c r="AH60" i="6"/>
  <c r="AI60" i="6"/>
  <c r="AJ60" i="6"/>
  <c r="AK60" i="6"/>
  <c r="AL60" i="6"/>
  <c r="AM60" i="6"/>
  <c r="AN60" i="6"/>
  <c r="AO60" i="6"/>
  <c r="AP60" i="6"/>
  <c r="AQ60" i="6"/>
  <c r="AR60" i="6"/>
  <c r="AS60" i="6"/>
  <c r="AT60" i="6"/>
  <c r="AU60" i="6"/>
  <c r="AV60" i="6"/>
  <c r="AW60" i="6"/>
  <c r="AX60" i="6"/>
  <c r="AY60" i="6"/>
  <c r="AZ60" i="6"/>
  <c r="BA60" i="6"/>
  <c r="BB60" i="6"/>
  <c r="BC60" i="6"/>
  <c r="BD60" i="6"/>
  <c r="BE60" i="6"/>
  <c r="BF60" i="6"/>
  <c r="BG60" i="6"/>
  <c r="BH60" i="6"/>
  <c r="BI60" i="6"/>
  <c r="BJ60" i="6"/>
  <c r="BK60" i="6"/>
  <c r="BL60" i="6"/>
  <c r="BM60" i="6"/>
  <c r="BN60" i="6"/>
  <c r="BO60" i="6"/>
  <c r="BP60" i="6"/>
  <c r="BQ60" i="6"/>
  <c r="BR60" i="6"/>
  <c r="BS60" i="6"/>
  <c r="BT60" i="6"/>
  <c r="BU60" i="6"/>
  <c r="BV60" i="6"/>
  <c r="E61" i="6"/>
  <c r="F61" i="6"/>
  <c r="G61" i="6"/>
  <c r="H61" i="6"/>
  <c r="I61" i="6"/>
  <c r="J61" i="6"/>
  <c r="K61" i="6"/>
  <c r="L61" i="6"/>
  <c r="M61" i="6"/>
  <c r="N61" i="6"/>
  <c r="O61" i="6"/>
  <c r="P61" i="6"/>
  <c r="Q61" i="6"/>
  <c r="R61" i="6"/>
  <c r="S61" i="6"/>
  <c r="T61" i="6"/>
  <c r="U61" i="6"/>
  <c r="V61" i="6"/>
  <c r="W61" i="6"/>
  <c r="X61" i="6"/>
  <c r="Y61" i="6"/>
  <c r="Z61" i="6"/>
  <c r="AA61" i="6"/>
  <c r="AB61" i="6"/>
  <c r="AC61" i="6"/>
  <c r="AD61" i="6"/>
  <c r="AE61" i="6"/>
  <c r="AF61" i="6"/>
  <c r="AG61" i="6"/>
  <c r="AH61" i="6"/>
  <c r="AI61" i="6"/>
  <c r="AJ61" i="6"/>
  <c r="AK61" i="6"/>
  <c r="AL61" i="6"/>
  <c r="AM61" i="6"/>
  <c r="AN61" i="6"/>
  <c r="AO61" i="6"/>
  <c r="AP61" i="6"/>
  <c r="AQ61" i="6"/>
  <c r="AR61" i="6"/>
  <c r="AS61" i="6"/>
  <c r="AT61" i="6"/>
  <c r="AU61" i="6"/>
  <c r="AV61" i="6"/>
  <c r="AW61" i="6"/>
  <c r="AX61" i="6"/>
  <c r="AY61" i="6"/>
  <c r="AZ61" i="6"/>
  <c r="BA61" i="6"/>
  <c r="BB61" i="6"/>
  <c r="BC61" i="6"/>
  <c r="BD61" i="6"/>
  <c r="BE61" i="6"/>
  <c r="BF61" i="6"/>
  <c r="BG61" i="6"/>
  <c r="BH61" i="6"/>
  <c r="BI61" i="6"/>
  <c r="BJ61" i="6"/>
  <c r="BK61" i="6"/>
  <c r="BL61" i="6"/>
  <c r="BM61" i="6"/>
  <c r="BN61" i="6"/>
  <c r="BO61" i="6"/>
  <c r="BP61" i="6"/>
  <c r="BQ61" i="6"/>
  <c r="BR61" i="6"/>
  <c r="BS61" i="6"/>
  <c r="BT61" i="6"/>
  <c r="BU61" i="6"/>
  <c r="BV61"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BQ62" i="6"/>
  <c r="BR62" i="6"/>
  <c r="BS62" i="6"/>
  <c r="BT62" i="6"/>
  <c r="BU62" i="6"/>
  <c r="BV62" i="6"/>
  <c r="E63" i="6"/>
  <c r="F63" i="6"/>
  <c r="G63" i="6"/>
  <c r="H63" i="6"/>
  <c r="I63" i="6"/>
  <c r="J63" i="6"/>
  <c r="K63" i="6"/>
  <c r="L63" i="6"/>
  <c r="M63" i="6"/>
  <c r="N63" i="6"/>
  <c r="O63" i="6"/>
  <c r="P63" i="6"/>
  <c r="Q63" i="6"/>
  <c r="R63" i="6"/>
  <c r="S63" i="6"/>
  <c r="T63" i="6"/>
  <c r="U63" i="6"/>
  <c r="V63" i="6"/>
  <c r="W63" i="6"/>
  <c r="X63" i="6"/>
  <c r="Y63" i="6"/>
  <c r="Z63" i="6"/>
  <c r="AA63" i="6"/>
  <c r="AB63" i="6"/>
  <c r="AC63" i="6"/>
  <c r="AD63" i="6"/>
  <c r="AE63" i="6"/>
  <c r="AF63" i="6"/>
  <c r="AG63" i="6"/>
  <c r="AH63" i="6"/>
  <c r="AI63" i="6"/>
  <c r="AJ63" i="6"/>
  <c r="AK63" i="6"/>
  <c r="AL63" i="6"/>
  <c r="AM63" i="6"/>
  <c r="AN63" i="6"/>
  <c r="AO63" i="6"/>
  <c r="AP63" i="6"/>
  <c r="AQ63" i="6"/>
  <c r="AR63" i="6"/>
  <c r="AS63" i="6"/>
  <c r="AT63" i="6"/>
  <c r="AU63" i="6"/>
  <c r="AV63" i="6"/>
  <c r="AW63" i="6"/>
  <c r="AX63" i="6"/>
  <c r="AY63" i="6"/>
  <c r="AZ63" i="6"/>
  <c r="BA63" i="6"/>
  <c r="BB63" i="6"/>
  <c r="BC63" i="6"/>
  <c r="BD63" i="6"/>
  <c r="BE63" i="6"/>
  <c r="BF63" i="6"/>
  <c r="BG63" i="6"/>
  <c r="BH63" i="6"/>
  <c r="BI63" i="6"/>
  <c r="BJ63" i="6"/>
  <c r="BK63" i="6"/>
  <c r="BL63" i="6"/>
  <c r="BM63" i="6"/>
  <c r="BN63" i="6"/>
  <c r="BO63" i="6"/>
  <c r="BP63" i="6"/>
  <c r="BQ63" i="6"/>
  <c r="BR63" i="6"/>
  <c r="BS63" i="6"/>
  <c r="BT63" i="6"/>
  <c r="BU63" i="6"/>
  <c r="BV63" i="6"/>
  <c r="E64" i="6"/>
  <c r="F64" i="6"/>
  <c r="G64" i="6"/>
  <c r="H64" i="6"/>
  <c r="I64" i="6"/>
  <c r="J64" i="6"/>
  <c r="K64" i="6"/>
  <c r="L64" i="6"/>
  <c r="M64" i="6"/>
  <c r="N64" i="6"/>
  <c r="O64" i="6"/>
  <c r="P64" i="6"/>
  <c r="Q64" i="6"/>
  <c r="R64" i="6"/>
  <c r="S64" i="6"/>
  <c r="T64" i="6"/>
  <c r="U64" i="6"/>
  <c r="V64" i="6"/>
  <c r="W64" i="6"/>
  <c r="X64" i="6"/>
  <c r="Y64" i="6"/>
  <c r="Z64" i="6"/>
  <c r="AA64" i="6"/>
  <c r="AB64" i="6"/>
  <c r="AC64" i="6"/>
  <c r="AD64" i="6"/>
  <c r="AE64" i="6"/>
  <c r="AF64" i="6"/>
  <c r="AG64" i="6"/>
  <c r="AH64" i="6"/>
  <c r="AI64" i="6"/>
  <c r="AJ64" i="6"/>
  <c r="AK64" i="6"/>
  <c r="AL64" i="6"/>
  <c r="AM64" i="6"/>
  <c r="AN64" i="6"/>
  <c r="AO64" i="6"/>
  <c r="AP64" i="6"/>
  <c r="AQ64" i="6"/>
  <c r="AR64" i="6"/>
  <c r="AS64" i="6"/>
  <c r="AT64" i="6"/>
  <c r="AU64" i="6"/>
  <c r="AV64" i="6"/>
  <c r="AW64" i="6"/>
  <c r="AX64" i="6"/>
  <c r="AY64" i="6"/>
  <c r="AZ64" i="6"/>
  <c r="BA64" i="6"/>
  <c r="BB64" i="6"/>
  <c r="BC64" i="6"/>
  <c r="BD64" i="6"/>
  <c r="BE64" i="6"/>
  <c r="BF64" i="6"/>
  <c r="BG64" i="6"/>
  <c r="BH64" i="6"/>
  <c r="BI64" i="6"/>
  <c r="BJ64" i="6"/>
  <c r="BK64" i="6"/>
  <c r="BL64" i="6"/>
  <c r="BM64" i="6"/>
  <c r="BN64" i="6"/>
  <c r="BO64" i="6"/>
  <c r="BP64" i="6"/>
  <c r="BQ64" i="6"/>
  <c r="BR64" i="6"/>
  <c r="BS64" i="6"/>
  <c r="BT64" i="6"/>
  <c r="BU64" i="6"/>
  <c r="BV64" i="6"/>
  <c r="E65" i="6"/>
  <c r="F65" i="6"/>
  <c r="G65" i="6"/>
  <c r="H65" i="6"/>
  <c r="I65" i="6"/>
  <c r="J65" i="6"/>
  <c r="K65" i="6"/>
  <c r="L65" i="6"/>
  <c r="M65" i="6"/>
  <c r="N65" i="6"/>
  <c r="O65" i="6"/>
  <c r="P65" i="6"/>
  <c r="Q65" i="6"/>
  <c r="R65" i="6"/>
  <c r="S65" i="6"/>
  <c r="T65" i="6"/>
  <c r="U65" i="6"/>
  <c r="V65" i="6"/>
  <c r="W65" i="6"/>
  <c r="X65" i="6"/>
  <c r="Y65" i="6"/>
  <c r="Z65" i="6"/>
  <c r="AA65" i="6"/>
  <c r="AB65" i="6"/>
  <c r="AC65" i="6"/>
  <c r="AD65" i="6"/>
  <c r="AE65" i="6"/>
  <c r="AF65" i="6"/>
  <c r="AG65" i="6"/>
  <c r="AH65" i="6"/>
  <c r="AI65" i="6"/>
  <c r="AJ65" i="6"/>
  <c r="AK65" i="6"/>
  <c r="AL65" i="6"/>
  <c r="AM65" i="6"/>
  <c r="AN65" i="6"/>
  <c r="AO65" i="6"/>
  <c r="AP65" i="6"/>
  <c r="AQ65" i="6"/>
  <c r="AR65" i="6"/>
  <c r="AS65" i="6"/>
  <c r="AT65" i="6"/>
  <c r="AU65" i="6"/>
  <c r="AV65" i="6"/>
  <c r="AW65" i="6"/>
  <c r="AX65" i="6"/>
  <c r="AY65" i="6"/>
  <c r="AZ65" i="6"/>
  <c r="BA65" i="6"/>
  <c r="BB65" i="6"/>
  <c r="BC65" i="6"/>
  <c r="BD65" i="6"/>
  <c r="BE65" i="6"/>
  <c r="BF65" i="6"/>
  <c r="BG65" i="6"/>
  <c r="BH65" i="6"/>
  <c r="BI65" i="6"/>
  <c r="BJ65" i="6"/>
  <c r="BK65" i="6"/>
  <c r="BL65" i="6"/>
  <c r="BM65" i="6"/>
  <c r="BN65" i="6"/>
  <c r="BO65" i="6"/>
  <c r="BP65" i="6"/>
  <c r="BQ65" i="6"/>
  <c r="BR65" i="6"/>
  <c r="BS65" i="6"/>
  <c r="BT65" i="6"/>
  <c r="BU65" i="6"/>
  <c r="BV65" i="6"/>
  <c r="E66" i="6"/>
  <c r="F66" i="6"/>
  <c r="G66" i="6"/>
  <c r="H66" i="6"/>
  <c r="I66" i="6"/>
  <c r="J66" i="6"/>
  <c r="K66" i="6"/>
  <c r="L66" i="6"/>
  <c r="M66" i="6"/>
  <c r="N66" i="6"/>
  <c r="O66" i="6"/>
  <c r="P66" i="6"/>
  <c r="Q66" i="6"/>
  <c r="R66" i="6"/>
  <c r="S66" i="6"/>
  <c r="T66" i="6"/>
  <c r="U66" i="6"/>
  <c r="V66" i="6"/>
  <c r="W66" i="6"/>
  <c r="X66" i="6"/>
  <c r="Y66" i="6"/>
  <c r="Z66" i="6"/>
  <c r="AA66" i="6"/>
  <c r="AB66" i="6"/>
  <c r="AC66" i="6"/>
  <c r="AD66" i="6"/>
  <c r="AE66" i="6"/>
  <c r="AF66" i="6"/>
  <c r="AG66" i="6"/>
  <c r="AH66" i="6"/>
  <c r="AI66" i="6"/>
  <c r="AJ66" i="6"/>
  <c r="AK66" i="6"/>
  <c r="AL66" i="6"/>
  <c r="AM66" i="6"/>
  <c r="AN66" i="6"/>
  <c r="AO66" i="6"/>
  <c r="AP66" i="6"/>
  <c r="AQ66" i="6"/>
  <c r="AR66" i="6"/>
  <c r="AS66" i="6"/>
  <c r="AT66" i="6"/>
  <c r="AU66" i="6"/>
  <c r="AV66" i="6"/>
  <c r="AW66" i="6"/>
  <c r="AX66" i="6"/>
  <c r="AY66" i="6"/>
  <c r="AZ66" i="6"/>
  <c r="BA66" i="6"/>
  <c r="BB66" i="6"/>
  <c r="BC66" i="6"/>
  <c r="BD66" i="6"/>
  <c r="BE66" i="6"/>
  <c r="BF66" i="6"/>
  <c r="BG66" i="6"/>
  <c r="BH66" i="6"/>
  <c r="BI66" i="6"/>
  <c r="BJ66" i="6"/>
  <c r="BK66" i="6"/>
  <c r="BL66" i="6"/>
  <c r="BM66" i="6"/>
  <c r="BN66" i="6"/>
  <c r="BO66" i="6"/>
  <c r="BP66" i="6"/>
  <c r="BQ66" i="6"/>
  <c r="BR66" i="6"/>
  <c r="BS66" i="6"/>
  <c r="BT66" i="6"/>
  <c r="BU66" i="6"/>
  <c r="BV66" i="6"/>
  <c r="E67" i="6"/>
  <c r="F67" i="6"/>
  <c r="G67" i="6"/>
  <c r="H67" i="6"/>
  <c r="I67" i="6"/>
  <c r="J67" i="6"/>
  <c r="K67" i="6"/>
  <c r="L67" i="6"/>
  <c r="M67" i="6"/>
  <c r="N67" i="6"/>
  <c r="O67" i="6"/>
  <c r="P67" i="6"/>
  <c r="Q67" i="6"/>
  <c r="R67" i="6"/>
  <c r="S67" i="6"/>
  <c r="T67" i="6"/>
  <c r="U67" i="6"/>
  <c r="V67" i="6"/>
  <c r="W67" i="6"/>
  <c r="X67" i="6"/>
  <c r="Y67" i="6"/>
  <c r="Z67" i="6"/>
  <c r="AA67" i="6"/>
  <c r="AB67" i="6"/>
  <c r="AC67" i="6"/>
  <c r="AD67" i="6"/>
  <c r="AE67" i="6"/>
  <c r="AF67" i="6"/>
  <c r="AG67" i="6"/>
  <c r="AH67" i="6"/>
  <c r="AI67" i="6"/>
  <c r="AJ67" i="6"/>
  <c r="AK67" i="6"/>
  <c r="AL67" i="6"/>
  <c r="AM67" i="6"/>
  <c r="AN67" i="6"/>
  <c r="AO67" i="6"/>
  <c r="AP67" i="6"/>
  <c r="AQ67" i="6"/>
  <c r="AR67" i="6"/>
  <c r="AS67" i="6"/>
  <c r="AT67" i="6"/>
  <c r="AU67" i="6"/>
  <c r="AV67" i="6"/>
  <c r="AW67" i="6"/>
  <c r="AX67" i="6"/>
  <c r="AY67" i="6"/>
  <c r="AZ67" i="6"/>
  <c r="BA67" i="6"/>
  <c r="BB67" i="6"/>
  <c r="BC67" i="6"/>
  <c r="BD67" i="6"/>
  <c r="BE67" i="6"/>
  <c r="BF67" i="6"/>
  <c r="BG67" i="6"/>
  <c r="BH67" i="6"/>
  <c r="BI67" i="6"/>
  <c r="BJ67" i="6"/>
  <c r="BK67" i="6"/>
  <c r="BL67" i="6"/>
  <c r="BM67" i="6"/>
  <c r="BN67" i="6"/>
  <c r="BO67" i="6"/>
  <c r="BP67" i="6"/>
  <c r="BQ67" i="6"/>
  <c r="BR67" i="6"/>
  <c r="BS67" i="6"/>
  <c r="BT67" i="6"/>
  <c r="BU67" i="6"/>
  <c r="BV67" i="6"/>
  <c r="E68" i="6"/>
  <c r="F68" i="6"/>
  <c r="G68" i="6"/>
  <c r="H68" i="6"/>
  <c r="I68" i="6"/>
  <c r="J68" i="6"/>
  <c r="K68" i="6"/>
  <c r="L68" i="6"/>
  <c r="M68" i="6"/>
  <c r="N68" i="6"/>
  <c r="O68" i="6"/>
  <c r="P68" i="6"/>
  <c r="Q68" i="6"/>
  <c r="R68" i="6"/>
  <c r="S68" i="6"/>
  <c r="T68" i="6"/>
  <c r="U68" i="6"/>
  <c r="V68" i="6"/>
  <c r="W68" i="6"/>
  <c r="X68" i="6"/>
  <c r="Y68" i="6"/>
  <c r="Z68" i="6"/>
  <c r="AA68" i="6"/>
  <c r="AB68" i="6"/>
  <c r="AC68" i="6"/>
  <c r="AD68" i="6"/>
  <c r="AE68" i="6"/>
  <c r="AF68" i="6"/>
  <c r="AG68" i="6"/>
  <c r="AH68" i="6"/>
  <c r="AI68" i="6"/>
  <c r="AJ68" i="6"/>
  <c r="AK68" i="6"/>
  <c r="AL68" i="6"/>
  <c r="AM68" i="6"/>
  <c r="AN68" i="6"/>
  <c r="AO68" i="6"/>
  <c r="AP68" i="6"/>
  <c r="AQ68" i="6"/>
  <c r="AR68" i="6"/>
  <c r="AS68" i="6"/>
  <c r="AT68" i="6"/>
  <c r="AU68" i="6"/>
  <c r="AV68" i="6"/>
  <c r="AW68" i="6"/>
  <c r="AX68" i="6"/>
  <c r="AY68" i="6"/>
  <c r="AZ68" i="6"/>
  <c r="BA68" i="6"/>
  <c r="BB68" i="6"/>
  <c r="BC68" i="6"/>
  <c r="BD68" i="6"/>
  <c r="BE68" i="6"/>
  <c r="BF68" i="6"/>
  <c r="BG68" i="6"/>
  <c r="BH68" i="6"/>
  <c r="BI68" i="6"/>
  <c r="BJ68" i="6"/>
  <c r="BK68" i="6"/>
  <c r="BL68" i="6"/>
  <c r="BM68" i="6"/>
  <c r="BN68" i="6"/>
  <c r="BO68" i="6"/>
  <c r="BP68" i="6"/>
  <c r="BQ68" i="6"/>
  <c r="BR68" i="6"/>
  <c r="BS68" i="6"/>
  <c r="BT68" i="6"/>
  <c r="BU68" i="6"/>
  <c r="BV68" i="6"/>
  <c r="E69" i="6"/>
  <c r="F69" i="6"/>
  <c r="G69" i="6"/>
  <c r="H69" i="6"/>
  <c r="I69" i="6"/>
  <c r="J69" i="6"/>
  <c r="K69" i="6"/>
  <c r="L69" i="6"/>
  <c r="M69" i="6"/>
  <c r="N69" i="6"/>
  <c r="O69" i="6"/>
  <c r="P69" i="6"/>
  <c r="Q69" i="6"/>
  <c r="R69" i="6"/>
  <c r="S69" i="6"/>
  <c r="T69" i="6"/>
  <c r="U69" i="6"/>
  <c r="V69" i="6"/>
  <c r="W69" i="6"/>
  <c r="X69" i="6"/>
  <c r="Y69" i="6"/>
  <c r="Z69" i="6"/>
  <c r="AA69" i="6"/>
  <c r="AB69" i="6"/>
  <c r="AC69" i="6"/>
  <c r="AD69" i="6"/>
  <c r="AE69" i="6"/>
  <c r="AF69" i="6"/>
  <c r="AG69" i="6"/>
  <c r="AH69" i="6"/>
  <c r="AI69" i="6"/>
  <c r="AJ69" i="6"/>
  <c r="AK69" i="6"/>
  <c r="AL69" i="6"/>
  <c r="AM69" i="6"/>
  <c r="AN69" i="6"/>
  <c r="AO69" i="6"/>
  <c r="AP69" i="6"/>
  <c r="AQ69" i="6"/>
  <c r="AR69" i="6"/>
  <c r="AS69" i="6"/>
  <c r="AT69" i="6"/>
  <c r="AU69" i="6"/>
  <c r="AV69" i="6"/>
  <c r="AW69" i="6"/>
  <c r="AX69" i="6"/>
  <c r="AY69" i="6"/>
  <c r="AZ69" i="6"/>
  <c r="BA69" i="6"/>
  <c r="BB69" i="6"/>
  <c r="BC69" i="6"/>
  <c r="BD69" i="6"/>
  <c r="BE69" i="6"/>
  <c r="BF69" i="6"/>
  <c r="BG69" i="6"/>
  <c r="BH69" i="6"/>
  <c r="BI69" i="6"/>
  <c r="BJ69" i="6"/>
  <c r="BK69" i="6"/>
  <c r="BL69" i="6"/>
  <c r="BM69" i="6"/>
  <c r="BN69" i="6"/>
  <c r="BO69" i="6"/>
  <c r="BP69" i="6"/>
  <c r="BQ69" i="6"/>
  <c r="BR69" i="6"/>
  <c r="BS69" i="6"/>
  <c r="BT69" i="6"/>
  <c r="BU69" i="6"/>
  <c r="BV69" i="6"/>
  <c r="E70" i="6"/>
  <c r="F70" i="6"/>
  <c r="G70" i="6"/>
  <c r="H70" i="6"/>
  <c r="I70" i="6"/>
  <c r="J70" i="6"/>
  <c r="K70" i="6"/>
  <c r="L70" i="6"/>
  <c r="M70" i="6"/>
  <c r="N70" i="6"/>
  <c r="O70" i="6"/>
  <c r="P70" i="6"/>
  <c r="Q70" i="6"/>
  <c r="R70" i="6"/>
  <c r="S70" i="6"/>
  <c r="T70" i="6"/>
  <c r="U70" i="6"/>
  <c r="V70" i="6"/>
  <c r="W70" i="6"/>
  <c r="X70" i="6"/>
  <c r="Y70" i="6"/>
  <c r="Z70" i="6"/>
  <c r="AA70" i="6"/>
  <c r="AB70" i="6"/>
  <c r="AC70" i="6"/>
  <c r="AD70" i="6"/>
  <c r="AE70" i="6"/>
  <c r="AF70" i="6"/>
  <c r="AG70" i="6"/>
  <c r="AH70" i="6"/>
  <c r="AI70" i="6"/>
  <c r="AJ70" i="6"/>
  <c r="AK70" i="6"/>
  <c r="AL70" i="6"/>
  <c r="AM70" i="6"/>
  <c r="AN70" i="6"/>
  <c r="AO70" i="6"/>
  <c r="AP70" i="6"/>
  <c r="AQ70" i="6"/>
  <c r="AR70" i="6"/>
  <c r="AS70" i="6"/>
  <c r="AT70" i="6"/>
  <c r="AU70" i="6"/>
  <c r="AV70" i="6"/>
  <c r="AW70" i="6"/>
  <c r="AX70" i="6"/>
  <c r="AY70" i="6"/>
  <c r="AZ70" i="6"/>
  <c r="BA70" i="6"/>
  <c r="BB70" i="6"/>
  <c r="BC70" i="6"/>
  <c r="BD70" i="6"/>
  <c r="BE70" i="6"/>
  <c r="BF70" i="6"/>
  <c r="BG70" i="6"/>
  <c r="BH70" i="6"/>
  <c r="BI70" i="6"/>
  <c r="BJ70" i="6"/>
  <c r="BK70" i="6"/>
  <c r="BL70" i="6"/>
  <c r="BM70" i="6"/>
  <c r="BN70" i="6"/>
  <c r="BO70" i="6"/>
  <c r="BP70" i="6"/>
  <c r="BQ70" i="6"/>
  <c r="BR70" i="6"/>
  <c r="BS70" i="6"/>
  <c r="BT70" i="6"/>
  <c r="BU70" i="6"/>
  <c r="BV70" i="6"/>
  <c r="E71" i="6"/>
  <c r="F71" i="6"/>
  <c r="G71" i="6"/>
  <c r="H71" i="6"/>
  <c r="I71" i="6"/>
  <c r="J71" i="6"/>
  <c r="K71" i="6"/>
  <c r="L71" i="6"/>
  <c r="M71" i="6"/>
  <c r="N71" i="6"/>
  <c r="O71" i="6"/>
  <c r="P71" i="6"/>
  <c r="Q71" i="6"/>
  <c r="R71" i="6"/>
  <c r="S71" i="6"/>
  <c r="T71" i="6"/>
  <c r="U71" i="6"/>
  <c r="V71" i="6"/>
  <c r="W71" i="6"/>
  <c r="X71" i="6"/>
  <c r="Y71" i="6"/>
  <c r="Z71" i="6"/>
  <c r="AA71" i="6"/>
  <c r="AB71" i="6"/>
  <c r="AC71" i="6"/>
  <c r="AD71" i="6"/>
  <c r="AE71" i="6"/>
  <c r="AF71" i="6"/>
  <c r="AG71" i="6"/>
  <c r="AH71" i="6"/>
  <c r="AI71" i="6"/>
  <c r="AJ71" i="6"/>
  <c r="AK71" i="6"/>
  <c r="AL71" i="6"/>
  <c r="AM71" i="6"/>
  <c r="AN71" i="6"/>
  <c r="AO71" i="6"/>
  <c r="AP71" i="6"/>
  <c r="AQ71" i="6"/>
  <c r="AR71" i="6"/>
  <c r="AS71" i="6"/>
  <c r="AT71" i="6"/>
  <c r="AU71" i="6"/>
  <c r="AV71" i="6"/>
  <c r="AW71" i="6"/>
  <c r="AX71" i="6"/>
  <c r="AY71" i="6"/>
  <c r="AZ71" i="6"/>
  <c r="BA71" i="6"/>
  <c r="BB71" i="6"/>
  <c r="BC71" i="6"/>
  <c r="BD71" i="6"/>
  <c r="BE71" i="6"/>
  <c r="BF71" i="6"/>
  <c r="BG71" i="6"/>
  <c r="BH71" i="6"/>
  <c r="BI71" i="6"/>
  <c r="BJ71" i="6"/>
  <c r="BK71" i="6"/>
  <c r="BL71" i="6"/>
  <c r="BM71" i="6"/>
  <c r="BN71" i="6"/>
  <c r="BO71" i="6"/>
  <c r="BP71" i="6"/>
  <c r="BQ71" i="6"/>
  <c r="BR71" i="6"/>
  <c r="BS71" i="6"/>
  <c r="BT71" i="6"/>
  <c r="BU71" i="6"/>
  <c r="BV71" i="6"/>
  <c r="E72" i="6"/>
  <c r="F72" i="6"/>
  <c r="G72" i="6"/>
  <c r="H72" i="6"/>
  <c r="I72" i="6"/>
  <c r="J72" i="6"/>
  <c r="K72" i="6"/>
  <c r="L72" i="6"/>
  <c r="M72" i="6"/>
  <c r="N72" i="6"/>
  <c r="O72" i="6"/>
  <c r="P72" i="6"/>
  <c r="Q72" i="6"/>
  <c r="R72" i="6"/>
  <c r="S72" i="6"/>
  <c r="T72" i="6"/>
  <c r="U72" i="6"/>
  <c r="V72" i="6"/>
  <c r="W72" i="6"/>
  <c r="X72" i="6"/>
  <c r="Y72" i="6"/>
  <c r="Z72" i="6"/>
  <c r="AA72" i="6"/>
  <c r="AB72" i="6"/>
  <c r="AC72" i="6"/>
  <c r="AD72" i="6"/>
  <c r="AE72" i="6"/>
  <c r="AF72" i="6"/>
  <c r="AG72" i="6"/>
  <c r="AH72" i="6"/>
  <c r="AI72" i="6"/>
  <c r="AJ72" i="6"/>
  <c r="AK72" i="6"/>
  <c r="AL72" i="6"/>
  <c r="AM72" i="6"/>
  <c r="AN72" i="6"/>
  <c r="AO72" i="6"/>
  <c r="AP72" i="6"/>
  <c r="AQ72" i="6"/>
  <c r="AR72" i="6"/>
  <c r="AS72" i="6"/>
  <c r="AT72" i="6"/>
  <c r="AU72" i="6"/>
  <c r="AV72" i="6"/>
  <c r="AW72" i="6"/>
  <c r="AX72" i="6"/>
  <c r="AY72" i="6"/>
  <c r="AZ72" i="6"/>
  <c r="BA72" i="6"/>
  <c r="BB72" i="6"/>
  <c r="BC72" i="6"/>
  <c r="BD72" i="6"/>
  <c r="BE72" i="6"/>
  <c r="BF72" i="6"/>
  <c r="BG72" i="6"/>
  <c r="BH72" i="6"/>
  <c r="BI72" i="6"/>
  <c r="BJ72" i="6"/>
  <c r="BK72" i="6"/>
  <c r="BL72" i="6"/>
  <c r="BM72" i="6"/>
  <c r="BN72" i="6"/>
  <c r="BO72" i="6"/>
  <c r="BP72" i="6"/>
  <c r="BQ72" i="6"/>
  <c r="BR72" i="6"/>
  <c r="BS72" i="6"/>
  <c r="BT72" i="6"/>
  <c r="BU72" i="6"/>
  <c r="BV72" i="6"/>
  <c r="E73" i="6"/>
  <c r="F73" i="6"/>
  <c r="G73" i="6"/>
  <c r="H73" i="6"/>
  <c r="I73" i="6"/>
  <c r="J73" i="6"/>
  <c r="K73" i="6"/>
  <c r="L73" i="6"/>
  <c r="M73" i="6"/>
  <c r="N73" i="6"/>
  <c r="O73" i="6"/>
  <c r="P73" i="6"/>
  <c r="Q73" i="6"/>
  <c r="R73" i="6"/>
  <c r="S73" i="6"/>
  <c r="T73" i="6"/>
  <c r="U73" i="6"/>
  <c r="V73" i="6"/>
  <c r="W73" i="6"/>
  <c r="X73" i="6"/>
  <c r="Y73" i="6"/>
  <c r="Z73" i="6"/>
  <c r="AA73" i="6"/>
  <c r="AB73" i="6"/>
  <c r="AC73" i="6"/>
  <c r="AD73" i="6"/>
  <c r="AE73" i="6"/>
  <c r="AF73" i="6"/>
  <c r="AG73" i="6"/>
  <c r="AH73" i="6"/>
  <c r="AI73" i="6"/>
  <c r="AJ73" i="6"/>
  <c r="AK73" i="6"/>
  <c r="AL73" i="6"/>
  <c r="AM73" i="6"/>
  <c r="AN73" i="6"/>
  <c r="AO73" i="6"/>
  <c r="AP73" i="6"/>
  <c r="AQ73" i="6"/>
  <c r="AR73" i="6"/>
  <c r="AS73" i="6"/>
  <c r="AT73" i="6"/>
  <c r="AU73" i="6"/>
  <c r="AV73" i="6"/>
  <c r="AW73" i="6"/>
  <c r="AX73" i="6"/>
  <c r="AY73" i="6"/>
  <c r="AZ73" i="6"/>
  <c r="BA73" i="6"/>
  <c r="BB73" i="6"/>
  <c r="BC73" i="6"/>
  <c r="BD73" i="6"/>
  <c r="BE73" i="6"/>
  <c r="BF73" i="6"/>
  <c r="BG73" i="6"/>
  <c r="BH73" i="6"/>
  <c r="BI73" i="6"/>
  <c r="BJ73" i="6"/>
  <c r="BK73" i="6"/>
  <c r="BL73" i="6"/>
  <c r="BM73" i="6"/>
  <c r="BN73" i="6"/>
  <c r="BO73" i="6"/>
  <c r="BP73" i="6"/>
  <c r="BQ73" i="6"/>
  <c r="BR73" i="6"/>
  <c r="BS73" i="6"/>
  <c r="BT73" i="6"/>
  <c r="BU73" i="6"/>
  <c r="BV73" i="6"/>
  <c r="I75" i="6"/>
  <c r="BE75" i="6"/>
  <c r="BQ75" i="6"/>
  <c r="BR75" i="6"/>
  <c r="J76" i="6"/>
  <c r="AF76" i="6"/>
  <c r="AT76" i="6"/>
  <c r="BT76" i="6"/>
  <c r="L77" i="6"/>
  <c r="AL77" i="6"/>
  <c r="AV77" i="6"/>
  <c r="D55" i="6"/>
  <c r="D56" i="6"/>
  <c r="D57" i="6"/>
  <c r="D58" i="6"/>
  <c r="D59" i="6"/>
  <c r="D60" i="6"/>
  <c r="D61" i="6"/>
  <c r="D62" i="6"/>
  <c r="D64" i="6"/>
  <c r="D65" i="6"/>
  <c r="D66" i="6"/>
  <c r="D67" i="6"/>
  <c r="D68" i="6"/>
  <c r="D69" i="6"/>
  <c r="D70" i="6"/>
  <c r="D71" i="6"/>
  <c r="D72" i="6"/>
  <c r="D73" i="6"/>
  <c r="D54" i="6"/>
  <c r="BQ29" i="6"/>
  <c r="BR29" i="6"/>
  <c r="BS29" i="6"/>
  <c r="BT29" i="6"/>
  <c r="BU29" i="6"/>
  <c r="BV29" i="6"/>
  <c r="BQ30" i="6"/>
  <c r="BR30" i="6"/>
  <c r="BS30" i="6"/>
  <c r="BT30" i="6"/>
  <c r="BU30" i="6"/>
  <c r="BV30" i="6"/>
  <c r="BQ31" i="6"/>
  <c r="BR31" i="6"/>
  <c r="BS31" i="6"/>
  <c r="BT31" i="6"/>
  <c r="BU31" i="6"/>
  <c r="BV31" i="6"/>
  <c r="BQ32" i="6"/>
  <c r="BR32" i="6"/>
  <c r="BS32" i="6"/>
  <c r="BT32" i="6"/>
  <c r="BU32" i="6"/>
  <c r="BV32" i="6"/>
  <c r="BQ34" i="6"/>
  <c r="BR34" i="6"/>
  <c r="BS34" i="6"/>
  <c r="BT34" i="6"/>
  <c r="BU34" i="6"/>
  <c r="BV34" i="6"/>
  <c r="BQ35" i="6"/>
  <c r="BR35" i="6"/>
  <c r="BS35" i="6"/>
  <c r="BT35" i="6"/>
  <c r="BU35" i="6"/>
  <c r="BV35" i="6"/>
  <c r="BQ36" i="6"/>
  <c r="BR36" i="6"/>
  <c r="BS36" i="6"/>
  <c r="BT36" i="6"/>
  <c r="BU36" i="6"/>
  <c r="BV36" i="6"/>
  <c r="BQ37" i="6"/>
  <c r="BR37" i="6"/>
  <c r="BS37" i="6"/>
  <c r="BT37" i="6"/>
  <c r="BU37" i="6"/>
  <c r="BV37" i="6"/>
  <c r="BQ38" i="6"/>
  <c r="BR38" i="6"/>
  <c r="BS38" i="6"/>
  <c r="BT38" i="6"/>
  <c r="BU38" i="6"/>
  <c r="BV38" i="6"/>
  <c r="BQ39" i="6"/>
  <c r="BR39" i="6"/>
  <c r="BS39" i="6"/>
  <c r="BT39" i="6"/>
  <c r="BU39" i="6"/>
  <c r="BV39" i="6"/>
  <c r="BQ40" i="6"/>
  <c r="BR40" i="6"/>
  <c r="BS40" i="6"/>
  <c r="BT40" i="6"/>
  <c r="BU40" i="6"/>
  <c r="BV40" i="6"/>
  <c r="BQ41" i="6"/>
  <c r="BR41" i="6"/>
  <c r="BS41" i="6"/>
  <c r="BT41" i="6"/>
  <c r="BU41" i="6"/>
  <c r="BV41" i="6"/>
  <c r="BQ42" i="6"/>
  <c r="BR42" i="6"/>
  <c r="BS42" i="6"/>
  <c r="BT42" i="6"/>
  <c r="BU42" i="6"/>
  <c r="BV42" i="6"/>
  <c r="BQ43" i="6"/>
  <c r="BR43" i="6"/>
  <c r="BS43" i="6"/>
  <c r="BT43" i="6"/>
  <c r="BU43" i="6"/>
  <c r="BV43" i="6"/>
  <c r="BQ44" i="6"/>
  <c r="BR44" i="6"/>
  <c r="BS44" i="6"/>
  <c r="BT44" i="6"/>
  <c r="BU44" i="6"/>
  <c r="BV44" i="6"/>
  <c r="BQ45" i="6"/>
  <c r="BR45" i="6"/>
  <c r="BS45" i="6"/>
  <c r="BT45" i="6"/>
  <c r="BU45" i="6"/>
  <c r="BV45" i="6"/>
  <c r="BQ46" i="6"/>
  <c r="BR46" i="6"/>
  <c r="BS46" i="6"/>
  <c r="BT46" i="6"/>
  <c r="BU46" i="6"/>
  <c r="BV46" i="6"/>
  <c r="BQ47" i="6"/>
  <c r="BR47" i="6"/>
  <c r="BS47" i="6"/>
  <c r="BT47" i="6"/>
  <c r="BU47" i="6"/>
  <c r="BV47" i="6"/>
  <c r="BQ48" i="6"/>
  <c r="BR48" i="6"/>
  <c r="BS48" i="6"/>
  <c r="BT48" i="6"/>
  <c r="BU48" i="6"/>
  <c r="BV48" i="6"/>
  <c r="BQ53" i="6"/>
  <c r="E29" i="6"/>
  <c r="F29" i="6"/>
  <c r="G29" i="6"/>
  <c r="H29" i="6"/>
  <c r="I29" i="6"/>
  <c r="J29" i="6"/>
  <c r="K29" i="6"/>
  <c r="L29" i="6"/>
  <c r="M29" i="6"/>
  <c r="N29" i="6"/>
  <c r="O29" i="6"/>
  <c r="P29" i="6"/>
  <c r="Q29" i="6"/>
  <c r="R29" i="6"/>
  <c r="S29" i="6"/>
  <c r="T29" i="6"/>
  <c r="U29" i="6"/>
  <c r="V29" i="6"/>
  <c r="W29" i="6"/>
  <c r="X29" i="6"/>
  <c r="Y29" i="6"/>
  <c r="Z29" i="6"/>
  <c r="AA29" i="6"/>
  <c r="AB29" i="6"/>
  <c r="AC29" i="6"/>
  <c r="AD29" i="6"/>
  <c r="AE29" i="6"/>
  <c r="AF29" i="6"/>
  <c r="AG29" i="6"/>
  <c r="AH29" i="6"/>
  <c r="AI29" i="6"/>
  <c r="AJ29" i="6"/>
  <c r="AK29" i="6"/>
  <c r="AL29" i="6"/>
  <c r="AM29" i="6"/>
  <c r="AN29" i="6"/>
  <c r="AO29" i="6"/>
  <c r="AP29" i="6"/>
  <c r="AQ29" i="6"/>
  <c r="AR29" i="6"/>
  <c r="AS29" i="6"/>
  <c r="AT29" i="6"/>
  <c r="AU29" i="6"/>
  <c r="AV29" i="6"/>
  <c r="AW29" i="6"/>
  <c r="AX29" i="6"/>
  <c r="AY29" i="6"/>
  <c r="AZ29" i="6"/>
  <c r="BA29" i="6"/>
  <c r="BB29" i="6"/>
  <c r="BC29" i="6"/>
  <c r="BD29" i="6"/>
  <c r="BE29" i="6"/>
  <c r="BF29" i="6"/>
  <c r="BG29" i="6"/>
  <c r="BH29" i="6"/>
  <c r="BI29" i="6"/>
  <c r="BJ29" i="6"/>
  <c r="BK29" i="6"/>
  <c r="BL29" i="6"/>
  <c r="BM29" i="6"/>
  <c r="BN29" i="6"/>
  <c r="BO29" i="6"/>
  <c r="BP29" i="6"/>
  <c r="E30" i="6"/>
  <c r="F30" i="6"/>
  <c r="G30" i="6"/>
  <c r="H30" i="6"/>
  <c r="I30" i="6"/>
  <c r="J30" i="6"/>
  <c r="K30" i="6"/>
  <c r="L30" i="6"/>
  <c r="M30" i="6"/>
  <c r="N30" i="6"/>
  <c r="O30" i="6"/>
  <c r="P30" i="6"/>
  <c r="Q30" i="6"/>
  <c r="R30" i="6"/>
  <c r="S30" i="6"/>
  <c r="T30" i="6"/>
  <c r="U30" i="6"/>
  <c r="V30" i="6"/>
  <c r="W30" i="6"/>
  <c r="X30" i="6"/>
  <c r="Y30" i="6"/>
  <c r="Z30" i="6"/>
  <c r="AA30" i="6"/>
  <c r="AB30" i="6"/>
  <c r="AC30" i="6"/>
  <c r="AD30" i="6"/>
  <c r="AE30" i="6"/>
  <c r="AF30" i="6"/>
  <c r="AG30" i="6"/>
  <c r="AH30" i="6"/>
  <c r="AI30" i="6"/>
  <c r="AJ30" i="6"/>
  <c r="AK30" i="6"/>
  <c r="AL30" i="6"/>
  <c r="AM30" i="6"/>
  <c r="AN30" i="6"/>
  <c r="AO30" i="6"/>
  <c r="AP30" i="6"/>
  <c r="AQ30" i="6"/>
  <c r="AR30" i="6"/>
  <c r="AS30" i="6"/>
  <c r="AT30" i="6"/>
  <c r="AU30" i="6"/>
  <c r="AV30" i="6"/>
  <c r="AW30" i="6"/>
  <c r="AX30" i="6"/>
  <c r="AY30" i="6"/>
  <c r="AZ30" i="6"/>
  <c r="BA30" i="6"/>
  <c r="BB30" i="6"/>
  <c r="BC30" i="6"/>
  <c r="BD30" i="6"/>
  <c r="BE30" i="6"/>
  <c r="BF30" i="6"/>
  <c r="BG30" i="6"/>
  <c r="BH30" i="6"/>
  <c r="BI30" i="6"/>
  <c r="BJ30" i="6"/>
  <c r="BK30" i="6"/>
  <c r="BL30" i="6"/>
  <c r="BM30" i="6"/>
  <c r="BN30" i="6"/>
  <c r="BO30" i="6"/>
  <c r="BP30" i="6"/>
  <c r="E31" i="6"/>
  <c r="F31" i="6"/>
  <c r="G31" i="6"/>
  <c r="H31" i="6"/>
  <c r="I31" i="6"/>
  <c r="J31" i="6"/>
  <c r="K31" i="6"/>
  <c r="L31" i="6"/>
  <c r="M31" i="6"/>
  <c r="N31" i="6"/>
  <c r="O31" i="6"/>
  <c r="P31" i="6"/>
  <c r="Q31" i="6"/>
  <c r="R31" i="6"/>
  <c r="S31" i="6"/>
  <c r="T31" i="6"/>
  <c r="U31" i="6"/>
  <c r="V31" i="6"/>
  <c r="W31" i="6"/>
  <c r="X31" i="6"/>
  <c r="Y31" i="6"/>
  <c r="Z31" i="6"/>
  <c r="AA31" i="6"/>
  <c r="AB31" i="6"/>
  <c r="AC31" i="6"/>
  <c r="AD31" i="6"/>
  <c r="AE31" i="6"/>
  <c r="AF31" i="6"/>
  <c r="AG31" i="6"/>
  <c r="AH31" i="6"/>
  <c r="AI31" i="6"/>
  <c r="AJ31" i="6"/>
  <c r="AK31" i="6"/>
  <c r="AL31" i="6"/>
  <c r="AM31" i="6"/>
  <c r="AN31" i="6"/>
  <c r="AO31" i="6"/>
  <c r="AP31" i="6"/>
  <c r="AQ31" i="6"/>
  <c r="AR31" i="6"/>
  <c r="AS31" i="6"/>
  <c r="AT31" i="6"/>
  <c r="AU31" i="6"/>
  <c r="AV31" i="6"/>
  <c r="AW31" i="6"/>
  <c r="AX31" i="6"/>
  <c r="AY31" i="6"/>
  <c r="AZ31" i="6"/>
  <c r="BA31" i="6"/>
  <c r="BB31" i="6"/>
  <c r="BC31" i="6"/>
  <c r="BD31" i="6"/>
  <c r="BE31" i="6"/>
  <c r="BF31" i="6"/>
  <c r="BG31" i="6"/>
  <c r="BH31" i="6"/>
  <c r="BI31" i="6"/>
  <c r="BJ31" i="6"/>
  <c r="BK31" i="6"/>
  <c r="BL31" i="6"/>
  <c r="BM31" i="6"/>
  <c r="BN31" i="6"/>
  <c r="BO31" i="6"/>
  <c r="BP31" i="6"/>
  <c r="E32" i="6"/>
  <c r="F32" i="6"/>
  <c r="G32" i="6"/>
  <c r="H32" i="6"/>
  <c r="I32" i="6"/>
  <c r="J32" i="6"/>
  <c r="K32" i="6"/>
  <c r="L32" i="6"/>
  <c r="M32" i="6"/>
  <c r="N32" i="6"/>
  <c r="O32" i="6"/>
  <c r="P32" i="6"/>
  <c r="Q32" i="6"/>
  <c r="R32" i="6"/>
  <c r="S32" i="6"/>
  <c r="T32" i="6"/>
  <c r="U32" i="6"/>
  <c r="V32" i="6"/>
  <c r="W32" i="6"/>
  <c r="X32" i="6"/>
  <c r="Y32" i="6"/>
  <c r="Z32" i="6"/>
  <c r="AA32" i="6"/>
  <c r="AB32" i="6"/>
  <c r="AC32" i="6"/>
  <c r="AD32" i="6"/>
  <c r="AE32" i="6"/>
  <c r="AF32" i="6"/>
  <c r="AG32" i="6"/>
  <c r="AH32" i="6"/>
  <c r="AI32" i="6"/>
  <c r="AJ32" i="6"/>
  <c r="AK32" i="6"/>
  <c r="AL32" i="6"/>
  <c r="AM32" i="6"/>
  <c r="AN32" i="6"/>
  <c r="AO32" i="6"/>
  <c r="AP32" i="6"/>
  <c r="AQ32" i="6"/>
  <c r="AR32" i="6"/>
  <c r="AS32" i="6"/>
  <c r="AT32" i="6"/>
  <c r="AU32" i="6"/>
  <c r="AV32" i="6"/>
  <c r="AW32" i="6"/>
  <c r="AX32" i="6"/>
  <c r="AY32" i="6"/>
  <c r="AZ32" i="6"/>
  <c r="BA32" i="6"/>
  <c r="BB32" i="6"/>
  <c r="BC32" i="6"/>
  <c r="BD32" i="6"/>
  <c r="BE32" i="6"/>
  <c r="BF32" i="6"/>
  <c r="BG32" i="6"/>
  <c r="BH32" i="6"/>
  <c r="BI32" i="6"/>
  <c r="BJ32" i="6"/>
  <c r="BK32" i="6"/>
  <c r="BL32" i="6"/>
  <c r="BM32" i="6"/>
  <c r="BN32" i="6"/>
  <c r="BO32" i="6"/>
  <c r="BP32" i="6"/>
  <c r="E33" i="6"/>
  <c r="F33" i="6"/>
  <c r="G33" i="6"/>
  <c r="H33" i="6"/>
  <c r="I33" i="6"/>
  <c r="J33" i="6"/>
  <c r="K33" i="6"/>
  <c r="L33" i="6"/>
  <c r="M33" i="6"/>
  <c r="N33" i="6"/>
  <c r="O33" i="6"/>
  <c r="P33" i="6"/>
  <c r="Q33" i="6"/>
  <c r="R33" i="6"/>
  <c r="S33" i="6"/>
  <c r="T33" i="6"/>
  <c r="U33" i="6"/>
  <c r="V33" i="6"/>
  <c r="W33" i="6"/>
  <c r="X33" i="6"/>
  <c r="Y33" i="6"/>
  <c r="Z33" i="6"/>
  <c r="AA33" i="6"/>
  <c r="AB33" i="6"/>
  <c r="AC33" i="6"/>
  <c r="AD33" i="6"/>
  <c r="AE33" i="6"/>
  <c r="AF33" i="6"/>
  <c r="AG33" i="6"/>
  <c r="AH33" i="6"/>
  <c r="AI33" i="6"/>
  <c r="AJ33" i="6"/>
  <c r="AK33" i="6"/>
  <c r="AL33" i="6"/>
  <c r="AM33" i="6"/>
  <c r="AN33" i="6"/>
  <c r="AO33" i="6"/>
  <c r="AP33" i="6"/>
  <c r="AQ33" i="6"/>
  <c r="AR33" i="6"/>
  <c r="AS33" i="6"/>
  <c r="AT33" i="6"/>
  <c r="AU33" i="6"/>
  <c r="AV33" i="6"/>
  <c r="AW33" i="6"/>
  <c r="AX33" i="6"/>
  <c r="AY33" i="6"/>
  <c r="AZ33" i="6"/>
  <c r="BA33" i="6"/>
  <c r="BB33" i="6"/>
  <c r="BC33" i="6"/>
  <c r="BD33" i="6"/>
  <c r="BE33" i="6"/>
  <c r="BF33" i="6"/>
  <c r="BG33" i="6"/>
  <c r="BH33" i="6"/>
  <c r="BI33" i="6"/>
  <c r="BJ33" i="6"/>
  <c r="BK33" i="6"/>
  <c r="BL33" i="6"/>
  <c r="BM33" i="6"/>
  <c r="BO33" i="6"/>
  <c r="E34" i="6"/>
  <c r="F34" i="6"/>
  <c r="G34" i="6"/>
  <c r="H34" i="6"/>
  <c r="I34" i="6"/>
  <c r="J34" i="6"/>
  <c r="K34" i="6"/>
  <c r="L34" i="6"/>
  <c r="M34" i="6"/>
  <c r="N34" i="6"/>
  <c r="O34" i="6"/>
  <c r="P34" i="6"/>
  <c r="Q34" i="6"/>
  <c r="R34" i="6"/>
  <c r="S34" i="6"/>
  <c r="T34" i="6"/>
  <c r="U34" i="6"/>
  <c r="V34" i="6"/>
  <c r="W34" i="6"/>
  <c r="X34" i="6"/>
  <c r="Y34" i="6"/>
  <c r="Z34" i="6"/>
  <c r="AA34" i="6"/>
  <c r="AB34" i="6"/>
  <c r="AC34" i="6"/>
  <c r="AD34" i="6"/>
  <c r="AE34" i="6"/>
  <c r="AF34" i="6"/>
  <c r="AG34" i="6"/>
  <c r="AH34" i="6"/>
  <c r="AI34" i="6"/>
  <c r="AJ34" i="6"/>
  <c r="AK34" i="6"/>
  <c r="AL34" i="6"/>
  <c r="AM34" i="6"/>
  <c r="AN34" i="6"/>
  <c r="AO34" i="6"/>
  <c r="AP34" i="6"/>
  <c r="AQ34" i="6"/>
  <c r="AR34" i="6"/>
  <c r="AS34" i="6"/>
  <c r="AT34" i="6"/>
  <c r="AU34" i="6"/>
  <c r="AV34" i="6"/>
  <c r="AW34" i="6"/>
  <c r="AX34" i="6"/>
  <c r="AY34" i="6"/>
  <c r="AZ34" i="6"/>
  <c r="BA34" i="6"/>
  <c r="BB34" i="6"/>
  <c r="BC34" i="6"/>
  <c r="BD34" i="6"/>
  <c r="BE34" i="6"/>
  <c r="BF34" i="6"/>
  <c r="BG34" i="6"/>
  <c r="BH34" i="6"/>
  <c r="BI34" i="6"/>
  <c r="BJ34" i="6"/>
  <c r="BK34" i="6"/>
  <c r="BL34" i="6"/>
  <c r="BM34" i="6"/>
  <c r="BN34" i="6"/>
  <c r="BO34" i="6"/>
  <c r="BP34" i="6"/>
  <c r="E35"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AH35" i="6"/>
  <c r="AI35" i="6"/>
  <c r="AJ35" i="6"/>
  <c r="AK35" i="6"/>
  <c r="AL35" i="6"/>
  <c r="AM35" i="6"/>
  <c r="AN35" i="6"/>
  <c r="AO35" i="6"/>
  <c r="AP35" i="6"/>
  <c r="AQ35" i="6"/>
  <c r="AR35" i="6"/>
  <c r="AS35" i="6"/>
  <c r="AT35" i="6"/>
  <c r="AU35" i="6"/>
  <c r="AV35" i="6"/>
  <c r="AW35" i="6"/>
  <c r="AX35" i="6"/>
  <c r="AY35" i="6"/>
  <c r="AZ35" i="6"/>
  <c r="BA35" i="6"/>
  <c r="BB35" i="6"/>
  <c r="BC35" i="6"/>
  <c r="BD35" i="6"/>
  <c r="BE35" i="6"/>
  <c r="BF35" i="6"/>
  <c r="BG35" i="6"/>
  <c r="BH35" i="6"/>
  <c r="BI35" i="6"/>
  <c r="BJ35" i="6"/>
  <c r="BK35" i="6"/>
  <c r="BL35" i="6"/>
  <c r="BM35" i="6"/>
  <c r="BN35" i="6"/>
  <c r="BO35" i="6"/>
  <c r="BP35" i="6"/>
  <c r="E36" i="6"/>
  <c r="F36" i="6"/>
  <c r="G36" i="6"/>
  <c r="H36" i="6"/>
  <c r="I36" i="6"/>
  <c r="J36" i="6"/>
  <c r="K36" i="6"/>
  <c r="L36" i="6"/>
  <c r="M36" i="6"/>
  <c r="N36" i="6"/>
  <c r="O36" i="6"/>
  <c r="P36" i="6"/>
  <c r="Q36" i="6"/>
  <c r="R36" i="6"/>
  <c r="S36" i="6"/>
  <c r="T36" i="6"/>
  <c r="U36" i="6"/>
  <c r="V36" i="6"/>
  <c r="W36" i="6"/>
  <c r="X36" i="6"/>
  <c r="Y36" i="6"/>
  <c r="Z36" i="6"/>
  <c r="AA36" i="6"/>
  <c r="AB36" i="6"/>
  <c r="AC36" i="6"/>
  <c r="AD36" i="6"/>
  <c r="AE36" i="6"/>
  <c r="AF36" i="6"/>
  <c r="AG36" i="6"/>
  <c r="AH36" i="6"/>
  <c r="AI36" i="6"/>
  <c r="AJ36" i="6"/>
  <c r="AK36" i="6"/>
  <c r="AL36" i="6"/>
  <c r="AM36" i="6"/>
  <c r="AN36" i="6"/>
  <c r="AO36" i="6"/>
  <c r="AP36" i="6"/>
  <c r="AQ36" i="6"/>
  <c r="AR36" i="6"/>
  <c r="AS36" i="6"/>
  <c r="AT36" i="6"/>
  <c r="AU36" i="6"/>
  <c r="AV36" i="6"/>
  <c r="AW36" i="6"/>
  <c r="AX36" i="6"/>
  <c r="AY36" i="6"/>
  <c r="AZ36" i="6"/>
  <c r="BA36" i="6"/>
  <c r="BB36" i="6"/>
  <c r="BC36" i="6"/>
  <c r="BD36" i="6"/>
  <c r="BE36" i="6"/>
  <c r="BF36" i="6"/>
  <c r="BG36" i="6"/>
  <c r="BH36" i="6"/>
  <c r="BI36" i="6"/>
  <c r="BJ36" i="6"/>
  <c r="BK36" i="6"/>
  <c r="BL36" i="6"/>
  <c r="BM36" i="6"/>
  <c r="BN36" i="6"/>
  <c r="BO36" i="6"/>
  <c r="BP36" i="6"/>
  <c r="E37" i="6"/>
  <c r="F37" i="6"/>
  <c r="G37" i="6"/>
  <c r="H37" i="6"/>
  <c r="I37" i="6"/>
  <c r="J37" i="6"/>
  <c r="K37" i="6"/>
  <c r="L37" i="6"/>
  <c r="M37" i="6"/>
  <c r="N37" i="6"/>
  <c r="O37" i="6"/>
  <c r="P37" i="6"/>
  <c r="Q37" i="6"/>
  <c r="R37" i="6"/>
  <c r="S37" i="6"/>
  <c r="T37" i="6"/>
  <c r="U37" i="6"/>
  <c r="V37" i="6"/>
  <c r="W37" i="6"/>
  <c r="X37" i="6"/>
  <c r="Y37" i="6"/>
  <c r="Z37" i="6"/>
  <c r="AA37" i="6"/>
  <c r="AB37" i="6"/>
  <c r="AC37" i="6"/>
  <c r="AD37" i="6"/>
  <c r="AE37" i="6"/>
  <c r="AF37" i="6"/>
  <c r="AG37"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BH37" i="6"/>
  <c r="BI37" i="6"/>
  <c r="BJ37" i="6"/>
  <c r="BK37" i="6"/>
  <c r="BL37" i="6"/>
  <c r="BM37" i="6"/>
  <c r="BN37" i="6"/>
  <c r="BO37" i="6"/>
  <c r="BP37" i="6"/>
  <c r="E38" i="6"/>
  <c r="F38" i="6"/>
  <c r="G38" i="6"/>
  <c r="H38" i="6"/>
  <c r="I38" i="6"/>
  <c r="J38" i="6"/>
  <c r="K38" i="6"/>
  <c r="L38" i="6"/>
  <c r="M38" i="6"/>
  <c r="N38" i="6"/>
  <c r="O38" i="6"/>
  <c r="P38" i="6"/>
  <c r="Q38" i="6"/>
  <c r="R38" i="6"/>
  <c r="S38" i="6"/>
  <c r="T38" i="6"/>
  <c r="U38" i="6"/>
  <c r="V38" i="6"/>
  <c r="W38" i="6"/>
  <c r="X38" i="6"/>
  <c r="Y38" i="6"/>
  <c r="Z38" i="6"/>
  <c r="AA38" i="6"/>
  <c r="AB38" i="6"/>
  <c r="AC38" i="6"/>
  <c r="AD38" i="6"/>
  <c r="AE38" i="6"/>
  <c r="AF38" i="6"/>
  <c r="AG38" i="6"/>
  <c r="AH38" i="6"/>
  <c r="AI38" i="6"/>
  <c r="AJ38" i="6"/>
  <c r="AK38" i="6"/>
  <c r="AL38" i="6"/>
  <c r="AM38" i="6"/>
  <c r="AN38" i="6"/>
  <c r="AO38" i="6"/>
  <c r="AP38" i="6"/>
  <c r="AQ38" i="6"/>
  <c r="AR38" i="6"/>
  <c r="AS38" i="6"/>
  <c r="AT38" i="6"/>
  <c r="AU38" i="6"/>
  <c r="AV38" i="6"/>
  <c r="AW38" i="6"/>
  <c r="AX38" i="6"/>
  <c r="AY38" i="6"/>
  <c r="AZ38" i="6"/>
  <c r="BA38" i="6"/>
  <c r="BB38" i="6"/>
  <c r="BC38" i="6"/>
  <c r="BD38" i="6"/>
  <c r="BE38" i="6"/>
  <c r="BF38" i="6"/>
  <c r="BG38" i="6"/>
  <c r="BH38" i="6"/>
  <c r="BI38" i="6"/>
  <c r="BJ38" i="6"/>
  <c r="BK38" i="6"/>
  <c r="BL38" i="6"/>
  <c r="BM38" i="6"/>
  <c r="BN38" i="6"/>
  <c r="BO38" i="6"/>
  <c r="BP38" i="6"/>
  <c r="E39" i="6"/>
  <c r="F39" i="6"/>
  <c r="G39" i="6"/>
  <c r="H39" i="6"/>
  <c r="I39" i="6"/>
  <c r="J39" i="6"/>
  <c r="K39" i="6"/>
  <c r="L39" i="6"/>
  <c r="M39" i="6"/>
  <c r="N39" i="6"/>
  <c r="O39" i="6"/>
  <c r="P39" i="6"/>
  <c r="Q39" i="6"/>
  <c r="R39" i="6"/>
  <c r="S39" i="6"/>
  <c r="T39" i="6"/>
  <c r="U39" i="6"/>
  <c r="V39" i="6"/>
  <c r="W39" i="6"/>
  <c r="X39" i="6"/>
  <c r="Y39" i="6"/>
  <c r="Z39" i="6"/>
  <c r="AA39" i="6"/>
  <c r="AB39" i="6"/>
  <c r="AC39" i="6"/>
  <c r="AD39" i="6"/>
  <c r="AE39" i="6"/>
  <c r="AF39" i="6"/>
  <c r="AG39" i="6"/>
  <c r="AH39" i="6"/>
  <c r="AI39" i="6"/>
  <c r="AJ39" i="6"/>
  <c r="AK39" i="6"/>
  <c r="AL39" i="6"/>
  <c r="AM39" i="6"/>
  <c r="AN39" i="6"/>
  <c r="AO39" i="6"/>
  <c r="AP39" i="6"/>
  <c r="AQ39" i="6"/>
  <c r="AR39" i="6"/>
  <c r="AS39" i="6"/>
  <c r="AT39" i="6"/>
  <c r="AU39" i="6"/>
  <c r="AV39" i="6"/>
  <c r="AW39" i="6"/>
  <c r="AX39" i="6"/>
  <c r="AY39" i="6"/>
  <c r="AZ39" i="6"/>
  <c r="BA39" i="6"/>
  <c r="BB39" i="6"/>
  <c r="BC39" i="6"/>
  <c r="BD39" i="6"/>
  <c r="BE39" i="6"/>
  <c r="BF39" i="6"/>
  <c r="BG39" i="6"/>
  <c r="BH39" i="6"/>
  <c r="BI39" i="6"/>
  <c r="BJ39" i="6"/>
  <c r="BK39" i="6"/>
  <c r="BL39" i="6"/>
  <c r="BM39" i="6"/>
  <c r="BN39" i="6"/>
  <c r="BO39" i="6"/>
  <c r="BP39" i="6"/>
  <c r="E40" i="6"/>
  <c r="F40" i="6"/>
  <c r="G40" i="6"/>
  <c r="H40" i="6"/>
  <c r="I40" i="6"/>
  <c r="J40" i="6"/>
  <c r="K40" i="6"/>
  <c r="L40" i="6"/>
  <c r="M40" i="6"/>
  <c r="N40" i="6"/>
  <c r="O40" i="6"/>
  <c r="P40" i="6"/>
  <c r="Q40" i="6"/>
  <c r="R40" i="6"/>
  <c r="S40" i="6"/>
  <c r="T40" i="6"/>
  <c r="U40" i="6"/>
  <c r="V40" i="6"/>
  <c r="W40" i="6"/>
  <c r="X40" i="6"/>
  <c r="Y40" i="6"/>
  <c r="Z40" i="6"/>
  <c r="AA40" i="6"/>
  <c r="AB40" i="6"/>
  <c r="AC40" i="6"/>
  <c r="AD40" i="6"/>
  <c r="AE40" i="6"/>
  <c r="AF40" i="6"/>
  <c r="AG40" i="6"/>
  <c r="AH40" i="6"/>
  <c r="AI40" i="6"/>
  <c r="AJ40" i="6"/>
  <c r="AK40" i="6"/>
  <c r="AL40" i="6"/>
  <c r="AM40" i="6"/>
  <c r="AN40" i="6"/>
  <c r="AO40" i="6"/>
  <c r="AP40" i="6"/>
  <c r="AQ40" i="6"/>
  <c r="AR40" i="6"/>
  <c r="AS40" i="6"/>
  <c r="AT40" i="6"/>
  <c r="AU40" i="6"/>
  <c r="AV40" i="6"/>
  <c r="AW40" i="6"/>
  <c r="AX40" i="6"/>
  <c r="AY40" i="6"/>
  <c r="AZ40" i="6"/>
  <c r="BA40" i="6"/>
  <c r="BB40" i="6"/>
  <c r="BC40" i="6"/>
  <c r="BD40" i="6"/>
  <c r="BE40" i="6"/>
  <c r="BF40" i="6"/>
  <c r="BG40" i="6"/>
  <c r="BH40" i="6"/>
  <c r="BI40" i="6"/>
  <c r="BJ40" i="6"/>
  <c r="BK40" i="6"/>
  <c r="BL40" i="6"/>
  <c r="BM40" i="6"/>
  <c r="BN40" i="6"/>
  <c r="BO40" i="6"/>
  <c r="BP40" i="6"/>
  <c r="E41" i="6"/>
  <c r="F41" i="6"/>
  <c r="G41" i="6"/>
  <c r="H41" i="6"/>
  <c r="I41" i="6"/>
  <c r="J41" i="6"/>
  <c r="K41" i="6"/>
  <c r="L41" i="6"/>
  <c r="M41" i="6"/>
  <c r="N41" i="6"/>
  <c r="O41" i="6"/>
  <c r="P41" i="6"/>
  <c r="Q41" i="6"/>
  <c r="R41" i="6"/>
  <c r="S41" i="6"/>
  <c r="T41" i="6"/>
  <c r="U41" i="6"/>
  <c r="V41" i="6"/>
  <c r="W41" i="6"/>
  <c r="X41" i="6"/>
  <c r="Y41" i="6"/>
  <c r="Z41" i="6"/>
  <c r="AA41" i="6"/>
  <c r="AB41" i="6"/>
  <c r="AC41" i="6"/>
  <c r="AD41" i="6"/>
  <c r="AE41" i="6"/>
  <c r="AF41" i="6"/>
  <c r="AG41" i="6"/>
  <c r="AH41" i="6"/>
  <c r="AI41" i="6"/>
  <c r="AJ41" i="6"/>
  <c r="AK41" i="6"/>
  <c r="AL41" i="6"/>
  <c r="AM41" i="6"/>
  <c r="AN41" i="6"/>
  <c r="AO41" i="6"/>
  <c r="AP41" i="6"/>
  <c r="AQ41" i="6"/>
  <c r="AR41" i="6"/>
  <c r="AS41" i="6"/>
  <c r="AT41" i="6"/>
  <c r="AU41" i="6"/>
  <c r="AV41" i="6"/>
  <c r="AW41" i="6"/>
  <c r="AX41" i="6"/>
  <c r="AY41" i="6"/>
  <c r="AZ41" i="6"/>
  <c r="BA41" i="6"/>
  <c r="BB41" i="6"/>
  <c r="BC41" i="6"/>
  <c r="BD41" i="6"/>
  <c r="BE41" i="6"/>
  <c r="BF41" i="6"/>
  <c r="BG41" i="6"/>
  <c r="BH41" i="6"/>
  <c r="BI41" i="6"/>
  <c r="BJ41" i="6"/>
  <c r="BK41" i="6"/>
  <c r="BL41" i="6"/>
  <c r="BM41" i="6"/>
  <c r="BN41" i="6"/>
  <c r="BO41" i="6"/>
  <c r="BP41" i="6"/>
  <c r="E42" i="6"/>
  <c r="F42" i="6"/>
  <c r="G42" i="6"/>
  <c r="H42" i="6"/>
  <c r="I42" i="6"/>
  <c r="J42" i="6"/>
  <c r="K42" i="6"/>
  <c r="L42" i="6"/>
  <c r="M42" i="6"/>
  <c r="N42" i="6"/>
  <c r="O42" i="6"/>
  <c r="P42" i="6"/>
  <c r="Q42" i="6"/>
  <c r="R42" i="6"/>
  <c r="S42" i="6"/>
  <c r="T42" i="6"/>
  <c r="U42" i="6"/>
  <c r="V42" i="6"/>
  <c r="W42" i="6"/>
  <c r="X42" i="6"/>
  <c r="Y42" i="6"/>
  <c r="Z42" i="6"/>
  <c r="AA42" i="6"/>
  <c r="AB42" i="6"/>
  <c r="AC42" i="6"/>
  <c r="AD42" i="6"/>
  <c r="AE42" i="6"/>
  <c r="AF42" i="6"/>
  <c r="AG42" i="6"/>
  <c r="AH42" i="6"/>
  <c r="AI42" i="6"/>
  <c r="AJ42" i="6"/>
  <c r="AK42" i="6"/>
  <c r="AL42" i="6"/>
  <c r="AM42" i="6"/>
  <c r="AN42" i="6"/>
  <c r="AO42" i="6"/>
  <c r="AP42" i="6"/>
  <c r="AQ42" i="6"/>
  <c r="AR42" i="6"/>
  <c r="AS42" i="6"/>
  <c r="AT42" i="6"/>
  <c r="AU42" i="6"/>
  <c r="AV42" i="6"/>
  <c r="AW42" i="6"/>
  <c r="AX42" i="6"/>
  <c r="AY42" i="6"/>
  <c r="AZ42" i="6"/>
  <c r="BA42" i="6"/>
  <c r="BB42" i="6"/>
  <c r="BC42" i="6"/>
  <c r="BD42" i="6"/>
  <c r="BE42" i="6"/>
  <c r="BF42" i="6"/>
  <c r="BG42" i="6"/>
  <c r="BH42" i="6"/>
  <c r="BI42" i="6"/>
  <c r="BJ42" i="6"/>
  <c r="BK42" i="6"/>
  <c r="BL42" i="6"/>
  <c r="BM42" i="6"/>
  <c r="BN42" i="6"/>
  <c r="BO42" i="6"/>
  <c r="BP42"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AH43" i="6"/>
  <c r="AI43" i="6"/>
  <c r="AJ43" i="6"/>
  <c r="AK43" i="6"/>
  <c r="AL43" i="6"/>
  <c r="AM43" i="6"/>
  <c r="AN43" i="6"/>
  <c r="AO43" i="6"/>
  <c r="AP43" i="6"/>
  <c r="AQ43" i="6"/>
  <c r="AR43" i="6"/>
  <c r="AS43" i="6"/>
  <c r="AT43" i="6"/>
  <c r="AU43" i="6"/>
  <c r="AV43" i="6"/>
  <c r="AW43" i="6"/>
  <c r="AX43" i="6"/>
  <c r="AY43" i="6"/>
  <c r="AZ43" i="6"/>
  <c r="BA43" i="6"/>
  <c r="BB43" i="6"/>
  <c r="BC43" i="6"/>
  <c r="BD43" i="6"/>
  <c r="BE43" i="6"/>
  <c r="BF43" i="6"/>
  <c r="BG43" i="6"/>
  <c r="BH43" i="6"/>
  <c r="BI43" i="6"/>
  <c r="BJ43" i="6"/>
  <c r="BK43" i="6"/>
  <c r="BL43" i="6"/>
  <c r="BM43" i="6"/>
  <c r="BN43" i="6"/>
  <c r="BO43" i="6"/>
  <c r="BP43" i="6"/>
  <c r="E44" i="6"/>
  <c r="F44" i="6"/>
  <c r="G44" i="6"/>
  <c r="H44" i="6"/>
  <c r="I44" i="6"/>
  <c r="J44" i="6"/>
  <c r="K44" i="6"/>
  <c r="L44" i="6"/>
  <c r="M44" i="6"/>
  <c r="N44" i="6"/>
  <c r="O44" i="6"/>
  <c r="P44" i="6"/>
  <c r="Q44" i="6"/>
  <c r="R44" i="6"/>
  <c r="S44" i="6"/>
  <c r="T44" i="6"/>
  <c r="U44" i="6"/>
  <c r="V44" i="6"/>
  <c r="W44" i="6"/>
  <c r="X44" i="6"/>
  <c r="Y44" i="6"/>
  <c r="Z44" i="6"/>
  <c r="AA44" i="6"/>
  <c r="AB44" i="6"/>
  <c r="AC44" i="6"/>
  <c r="AD44" i="6"/>
  <c r="AE44" i="6"/>
  <c r="AF44" i="6"/>
  <c r="AG44" i="6"/>
  <c r="AH44" i="6"/>
  <c r="AI44" i="6"/>
  <c r="AJ44" i="6"/>
  <c r="AK44" i="6"/>
  <c r="AL44" i="6"/>
  <c r="AM44" i="6"/>
  <c r="AN44" i="6"/>
  <c r="AO44" i="6"/>
  <c r="AP44" i="6"/>
  <c r="AQ44" i="6"/>
  <c r="AR44" i="6"/>
  <c r="AS44" i="6"/>
  <c r="AT44" i="6"/>
  <c r="AU44" i="6"/>
  <c r="AV44" i="6"/>
  <c r="AW44" i="6"/>
  <c r="AX44" i="6"/>
  <c r="AY44" i="6"/>
  <c r="AZ44" i="6"/>
  <c r="BA44" i="6"/>
  <c r="BB44" i="6"/>
  <c r="BC44" i="6"/>
  <c r="BD44" i="6"/>
  <c r="BE44" i="6"/>
  <c r="BF44" i="6"/>
  <c r="BG44" i="6"/>
  <c r="BH44" i="6"/>
  <c r="BI44" i="6"/>
  <c r="BJ44" i="6"/>
  <c r="BK44" i="6"/>
  <c r="BL44" i="6"/>
  <c r="BM44" i="6"/>
  <c r="BN44" i="6"/>
  <c r="BO44" i="6"/>
  <c r="BP44" i="6"/>
  <c r="E45" i="6"/>
  <c r="F45" i="6"/>
  <c r="G45" i="6"/>
  <c r="H45" i="6"/>
  <c r="I45" i="6"/>
  <c r="J45" i="6"/>
  <c r="K45" i="6"/>
  <c r="L45" i="6"/>
  <c r="M45" i="6"/>
  <c r="N45" i="6"/>
  <c r="O45" i="6"/>
  <c r="P45" i="6"/>
  <c r="Q45" i="6"/>
  <c r="R45" i="6"/>
  <c r="S45" i="6"/>
  <c r="T45" i="6"/>
  <c r="U45" i="6"/>
  <c r="V45" i="6"/>
  <c r="W45" i="6"/>
  <c r="X45" i="6"/>
  <c r="Y45" i="6"/>
  <c r="Z45" i="6"/>
  <c r="AA45" i="6"/>
  <c r="AB45" i="6"/>
  <c r="AC45" i="6"/>
  <c r="AD45" i="6"/>
  <c r="AE45" i="6"/>
  <c r="AF45" i="6"/>
  <c r="AG45" i="6"/>
  <c r="AH45" i="6"/>
  <c r="AI45" i="6"/>
  <c r="AJ45" i="6"/>
  <c r="AK45" i="6"/>
  <c r="AL45" i="6"/>
  <c r="AM45" i="6"/>
  <c r="AN45" i="6"/>
  <c r="AO45" i="6"/>
  <c r="AP45" i="6"/>
  <c r="AQ45" i="6"/>
  <c r="AR45" i="6"/>
  <c r="AS45" i="6"/>
  <c r="AT45" i="6"/>
  <c r="AU45" i="6"/>
  <c r="AV45" i="6"/>
  <c r="AW45" i="6"/>
  <c r="AX45" i="6"/>
  <c r="AY45" i="6"/>
  <c r="AZ45" i="6"/>
  <c r="BA45" i="6"/>
  <c r="BB45" i="6"/>
  <c r="BC45" i="6"/>
  <c r="BD45" i="6"/>
  <c r="BE45" i="6"/>
  <c r="BF45" i="6"/>
  <c r="BG45" i="6"/>
  <c r="BH45" i="6"/>
  <c r="BI45" i="6"/>
  <c r="BJ45" i="6"/>
  <c r="BK45" i="6"/>
  <c r="BL45" i="6"/>
  <c r="BM45" i="6"/>
  <c r="BN45" i="6"/>
  <c r="BO45" i="6"/>
  <c r="BP45" i="6"/>
  <c r="E46" i="6"/>
  <c r="F46" i="6"/>
  <c r="G46" i="6"/>
  <c r="H46" i="6"/>
  <c r="I46" i="6"/>
  <c r="J46" i="6"/>
  <c r="K46" i="6"/>
  <c r="L46" i="6"/>
  <c r="M46" i="6"/>
  <c r="N46" i="6"/>
  <c r="O46" i="6"/>
  <c r="P46" i="6"/>
  <c r="Q46" i="6"/>
  <c r="R46" i="6"/>
  <c r="S46" i="6"/>
  <c r="T46" i="6"/>
  <c r="U46" i="6"/>
  <c r="V46" i="6"/>
  <c r="W46" i="6"/>
  <c r="X46" i="6"/>
  <c r="Y46" i="6"/>
  <c r="Z46" i="6"/>
  <c r="AA46" i="6"/>
  <c r="AB46" i="6"/>
  <c r="AC46" i="6"/>
  <c r="AD46" i="6"/>
  <c r="AE46" i="6"/>
  <c r="AF46" i="6"/>
  <c r="AG46" i="6"/>
  <c r="AH46" i="6"/>
  <c r="AI46" i="6"/>
  <c r="AJ46" i="6"/>
  <c r="AK46" i="6"/>
  <c r="AL46" i="6"/>
  <c r="AM46" i="6"/>
  <c r="AN46" i="6"/>
  <c r="AO46" i="6"/>
  <c r="AP46" i="6"/>
  <c r="AQ46" i="6"/>
  <c r="AR46" i="6"/>
  <c r="AS46" i="6"/>
  <c r="AT46" i="6"/>
  <c r="AU46" i="6"/>
  <c r="AV46" i="6"/>
  <c r="AW46" i="6"/>
  <c r="AX46" i="6"/>
  <c r="AY46" i="6"/>
  <c r="AZ46" i="6"/>
  <c r="BA46" i="6"/>
  <c r="BB46" i="6"/>
  <c r="BC46" i="6"/>
  <c r="BD46" i="6"/>
  <c r="BE46" i="6"/>
  <c r="BF46" i="6"/>
  <c r="BG46" i="6"/>
  <c r="BH46" i="6"/>
  <c r="BI46" i="6"/>
  <c r="BJ46" i="6"/>
  <c r="BK46" i="6"/>
  <c r="BL46" i="6"/>
  <c r="BM46" i="6"/>
  <c r="BN46" i="6"/>
  <c r="BO46" i="6"/>
  <c r="BP46" i="6"/>
  <c r="E47" i="6"/>
  <c r="F47" i="6"/>
  <c r="G47" i="6"/>
  <c r="H47" i="6"/>
  <c r="I47" i="6"/>
  <c r="J47" i="6"/>
  <c r="K47"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AO47" i="6"/>
  <c r="AP47" i="6"/>
  <c r="AQ47" i="6"/>
  <c r="AR47" i="6"/>
  <c r="AS47" i="6"/>
  <c r="AT47" i="6"/>
  <c r="AU47" i="6"/>
  <c r="AV47" i="6"/>
  <c r="AW47" i="6"/>
  <c r="AX47" i="6"/>
  <c r="AY47" i="6"/>
  <c r="AZ47" i="6"/>
  <c r="BA47" i="6"/>
  <c r="BB47" i="6"/>
  <c r="BC47" i="6"/>
  <c r="BD47" i="6"/>
  <c r="BE47" i="6"/>
  <c r="BF47" i="6"/>
  <c r="BG47" i="6"/>
  <c r="BH47" i="6"/>
  <c r="BI47" i="6"/>
  <c r="BJ47" i="6"/>
  <c r="BK47" i="6"/>
  <c r="BL47" i="6"/>
  <c r="BM47" i="6"/>
  <c r="BN47" i="6"/>
  <c r="BO47" i="6"/>
  <c r="BP47" i="6"/>
  <c r="E48" i="6"/>
  <c r="F48" i="6"/>
  <c r="G48" i="6"/>
  <c r="H48" i="6"/>
  <c r="I48" i="6"/>
  <c r="J48" i="6"/>
  <c r="K48" i="6"/>
  <c r="L48" i="6"/>
  <c r="M48" i="6"/>
  <c r="N48" i="6"/>
  <c r="O48" i="6"/>
  <c r="P48" i="6"/>
  <c r="Q48" i="6"/>
  <c r="R48" i="6"/>
  <c r="S48" i="6"/>
  <c r="T48" i="6"/>
  <c r="U48" i="6"/>
  <c r="V48" i="6"/>
  <c r="W48" i="6"/>
  <c r="X48" i="6"/>
  <c r="Y48" i="6"/>
  <c r="Z48" i="6"/>
  <c r="AA48" i="6"/>
  <c r="AB48" i="6"/>
  <c r="AC48" i="6"/>
  <c r="AD48" i="6"/>
  <c r="AE48" i="6"/>
  <c r="AF48" i="6"/>
  <c r="AG48" i="6"/>
  <c r="AH48" i="6"/>
  <c r="AI48" i="6"/>
  <c r="AJ48" i="6"/>
  <c r="AK48" i="6"/>
  <c r="AL48" i="6"/>
  <c r="AM48" i="6"/>
  <c r="AN48" i="6"/>
  <c r="AO48" i="6"/>
  <c r="AP48" i="6"/>
  <c r="AQ48" i="6"/>
  <c r="AR48" i="6"/>
  <c r="AS48" i="6"/>
  <c r="AT48" i="6"/>
  <c r="AU48" i="6"/>
  <c r="AV48" i="6"/>
  <c r="AW48" i="6"/>
  <c r="AX48" i="6"/>
  <c r="AY48" i="6"/>
  <c r="AZ48" i="6"/>
  <c r="BA48" i="6"/>
  <c r="BB48" i="6"/>
  <c r="BC48" i="6"/>
  <c r="BD48" i="6"/>
  <c r="BE48" i="6"/>
  <c r="BF48" i="6"/>
  <c r="BG48" i="6"/>
  <c r="BH48" i="6"/>
  <c r="BI48" i="6"/>
  <c r="BJ48" i="6"/>
  <c r="BK48" i="6"/>
  <c r="BL48" i="6"/>
  <c r="BM48" i="6"/>
  <c r="BN48" i="6"/>
  <c r="BO48" i="6"/>
  <c r="BP48" i="6"/>
  <c r="I49" i="6"/>
  <c r="J49" i="6"/>
  <c r="K49" i="6"/>
  <c r="M49" i="6"/>
  <c r="AA49" i="6"/>
  <c r="AG49" i="6"/>
  <c r="AH49" i="6"/>
  <c r="AI49" i="6"/>
  <c r="BE49" i="6"/>
  <c r="BN49" i="6"/>
  <c r="H50" i="6"/>
  <c r="I50" i="6"/>
  <c r="J50" i="6"/>
  <c r="T50" i="6"/>
  <c r="AG50" i="6"/>
  <c r="AI50" i="6"/>
  <c r="AR50" i="6"/>
  <c r="AS50" i="6"/>
  <c r="AT50" i="6"/>
  <c r="BD50" i="6"/>
  <c r="V51" i="6"/>
  <c r="AE51" i="6"/>
  <c r="AH51" i="6"/>
  <c r="AQ51" i="6"/>
  <c r="BC51" i="6"/>
  <c r="N52" i="6"/>
  <c r="O52" i="6"/>
  <c r="U52" i="6"/>
  <c r="AG52" i="6"/>
  <c r="AM52" i="6"/>
  <c r="AY52" i="6"/>
  <c r="BB52" i="6"/>
  <c r="BE52" i="6"/>
  <c r="BF52" i="6"/>
  <c r="F53" i="6"/>
  <c r="H53" i="6"/>
  <c r="K53" i="6"/>
  <c r="R53" i="6"/>
  <c r="AD53" i="6"/>
  <c r="AF53" i="6"/>
  <c r="AG53" i="6"/>
  <c r="AI53" i="6"/>
  <c r="AU53" i="6"/>
  <c r="BA53" i="6"/>
  <c r="BB53" i="6"/>
  <c r="BC53" i="6"/>
  <c r="BE53" i="6"/>
  <c r="D30" i="6"/>
  <c r="D31" i="6"/>
  <c r="D32" i="6"/>
  <c r="D33" i="6"/>
  <c r="D34" i="6"/>
  <c r="D35" i="6"/>
  <c r="D36" i="6"/>
  <c r="D37" i="6"/>
  <c r="D38" i="6"/>
  <c r="D39" i="6"/>
  <c r="D40" i="6"/>
  <c r="D41" i="6"/>
  <c r="D42" i="6"/>
  <c r="D43" i="6"/>
  <c r="D44" i="6"/>
  <c r="D45" i="6"/>
  <c r="D46" i="6"/>
  <c r="D47" i="6"/>
  <c r="D48" i="6"/>
  <c r="BO6" i="6"/>
  <c r="BO58" i="6" s="1"/>
  <c r="BP6" i="6"/>
  <c r="BQ6" i="6"/>
  <c r="BQ58" i="6" s="1"/>
  <c r="BR6" i="6"/>
  <c r="BR33" i="6" s="1"/>
  <c r="BS6" i="6"/>
  <c r="BS33" i="6" s="1"/>
  <c r="BT6" i="6"/>
  <c r="BT33" i="6" s="1"/>
  <c r="BU6" i="6"/>
  <c r="BU58" i="6" s="1"/>
  <c r="BV6" i="6"/>
  <c r="BV58" i="6" s="1"/>
  <c r="BN6" i="6"/>
  <c r="BN58" i="6" s="1"/>
  <c r="D22" i="6"/>
  <c r="D49" i="6" s="1"/>
  <c r="E22" i="6"/>
  <c r="E49" i="6" s="1"/>
  <c r="F22" i="6"/>
  <c r="F49" i="6" s="1"/>
  <c r="G22" i="6"/>
  <c r="G49" i="6" s="1"/>
  <c r="H22" i="6"/>
  <c r="I22" i="6"/>
  <c r="I74" i="6" s="1"/>
  <c r="J22" i="6"/>
  <c r="J74" i="6" s="1"/>
  <c r="K22" i="6"/>
  <c r="K74" i="6" s="1"/>
  <c r="L22" i="6"/>
  <c r="L74" i="6" s="1"/>
  <c r="M22" i="6"/>
  <c r="M74" i="6" s="1"/>
  <c r="N22" i="6"/>
  <c r="N74" i="6" s="1"/>
  <c r="O22" i="6"/>
  <c r="O74" i="6" s="1"/>
  <c r="P22" i="6"/>
  <c r="P49" i="6" s="1"/>
  <c r="Q22" i="6"/>
  <c r="Q49" i="6" s="1"/>
  <c r="R22" i="6"/>
  <c r="R49" i="6" s="1"/>
  <c r="S22" i="6"/>
  <c r="S49" i="6" s="1"/>
  <c r="T22" i="6"/>
  <c r="U22" i="6"/>
  <c r="U74" i="6" s="1"/>
  <c r="V22" i="6"/>
  <c r="V74" i="6" s="1"/>
  <c r="W22" i="6"/>
  <c r="W74" i="6" s="1"/>
  <c r="X22" i="6"/>
  <c r="X74" i="6" s="1"/>
  <c r="Y22" i="6"/>
  <c r="Y74" i="6" s="1"/>
  <c r="Z22" i="6"/>
  <c r="Z74" i="6" s="1"/>
  <c r="AA22" i="6"/>
  <c r="AA74" i="6" s="1"/>
  <c r="AB22" i="6"/>
  <c r="AB49" i="6" s="1"/>
  <c r="AC22" i="6"/>
  <c r="AC49" i="6" s="1"/>
  <c r="AD22" i="6"/>
  <c r="AD49" i="6" s="1"/>
  <c r="AE22" i="6"/>
  <c r="AE74" i="6" s="1"/>
  <c r="AF22" i="6"/>
  <c r="AG22" i="6"/>
  <c r="AG74" i="6" s="1"/>
  <c r="AH22" i="6"/>
  <c r="AH74" i="6" s="1"/>
  <c r="AI22" i="6"/>
  <c r="AI74" i="6" s="1"/>
  <c r="AJ22" i="6"/>
  <c r="AJ74" i="6" s="1"/>
  <c r="AK22" i="6"/>
  <c r="AK74" i="6" s="1"/>
  <c r="AL22" i="6"/>
  <c r="AL74" i="6" s="1"/>
  <c r="AM22" i="6"/>
  <c r="AM74" i="6" s="1"/>
  <c r="AN22" i="6"/>
  <c r="AN49" i="6" s="1"/>
  <c r="AO22" i="6"/>
  <c r="AO49" i="6" s="1"/>
  <c r="AP22" i="6"/>
  <c r="AP49" i="6" s="1"/>
  <c r="AQ22" i="6"/>
  <c r="AQ74" i="6" s="1"/>
  <c r="AR22" i="6"/>
  <c r="AS22" i="6"/>
  <c r="AS74" i="6" s="1"/>
  <c r="AT22" i="6"/>
  <c r="AT74" i="6" s="1"/>
  <c r="AU22" i="6"/>
  <c r="AU74" i="6" s="1"/>
  <c r="AV22" i="6"/>
  <c r="AV74" i="6" s="1"/>
  <c r="AW22" i="6"/>
  <c r="AW74" i="6" s="1"/>
  <c r="AX22" i="6"/>
  <c r="AX74" i="6" s="1"/>
  <c r="AY22" i="6"/>
  <c r="AY74" i="6" s="1"/>
  <c r="AZ22" i="6"/>
  <c r="AZ49" i="6" s="1"/>
  <c r="BA22" i="6"/>
  <c r="BA49" i="6" s="1"/>
  <c r="BB22" i="6"/>
  <c r="BB49" i="6" s="1"/>
  <c r="BC22" i="6"/>
  <c r="BC49" i="6" s="1"/>
  <c r="BD22" i="6"/>
  <c r="BE22" i="6"/>
  <c r="BE74" i="6" s="1"/>
  <c r="BF22" i="6"/>
  <c r="BF74" i="6" s="1"/>
  <c r="BG22" i="6"/>
  <c r="BG74" i="6" s="1"/>
  <c r="BH22" i="6"/>
  <c r="BH74" i="6" s="1"/>
  <c r="BI22" i="6"/>
  <c r="BI74" i="6" s="1"/>
  <c r="BJ22" i="6"/>
  <c r="BJ74" i="6" s="1"/>
  <c r="BK22" i="6"/>
  <c r="BK74" i="6" s="1"/>
  <c r="BL22" i="6"/>
  <c r="BL49" i="6" s="1"/>
  <c r="D23" i="6"/>
  <c r="D50" i="6" s="1"/>
  <c r="E23" i="6"/>
  <c r="E50" i="6" s="1"/>
  <c r="F23" i="6"/>
  <c r="F50" i="6" s="1"/>
  <c r="G23" i="6"/>
  <c r="H23" i="6"/>
  <c r="H75" i="6" s="1"/>
  <c r="I23" i="6"/>
  <c r="J23" i="6"/>
  <c r="J75" i="6" s="1"/>
  <c r="K23" i="6"/>
  <c r="K75" i="6" s="1"/>
  <c r="L23" i="6"/>
  <c r="L50" i="6" s="1"/>
  <c r="M23" i="6"/>
  <c r="M50" i="6" s="1"/>
  <c r="N23" i="6"/>
  <c r="N50" i="6" s="1"/>
  <c r="O23" i="6"/>
  <c r="O50" i="6" s="1"/>
  <c r="P23" i="6"/>
  <c r="P50" i="6" s="1"/>
  <c r="Q23" i="6"/>
  <c r="Q50" i="6" s="1"/>
  <c r="R23" i="6"/>
  <c r="R50" i="6" s="1"/>
  <c r="S23" i="6"/>
  <c r="T23" i="6"/>
  <c r="T75" i="6" s="1"/>
  <c r="U23" i="6"/>
  <c r="U50" i="6" s="1"/>
  <c r="V23" i="6"/>
  <c r="V50" i="6" s="1"/>
  <c r="W23" i="6"/>
  <c r="W75" i="6" s="1"/>
  <c r="X23" i="6"/>
  <c r="X50" i="6" s="1"/>
  <c r="Y23" i="6"/>
  <c r="Y50" i="6" s="1"/>
  <c r="Z23" i="6"/>
  <c r="Z50" i="6" s="1"/>
  <c r="AA23" i="6"/>
  <c r="AA50" i="6" s="1"/>
  <c r="AB23" i="6"/>
  <c r="AB50" i="6" s="1"/>
  <c r="AC23" i="6"/>
  <c r="AC50" i="6" s="1"/>
  <c r="AD23" i="6"/>
  <c r="AD50" i="6" s="1"/>
  <c r="AE23" i="6"/>
  <c r="AF23" i="6"/>
  <c r="AF50" i="6" s="1"/>
  <c r="AG23" i="6"/>
  <c r="AG75" i="6" s="1"/>
  <c r="AH23" i="6"/>
  <c r="AH75" i="6" s="1"/>
  <c r="AI23" i="6"/>
  <c r="AI75" i="6" s="1"/>
  <c r="AJ23" i="6"/>
  <c r="AJ50" i="6" s="1"/>
  <c r="AK23" i="6"/>
  <c r="AK50" i="6" s="1"/>
  <c r="AL23" i="6"/>
  <c r="AL50" i="6" s="1"/>
  <c r="AM23" i="6"/>
  <c r="AM50" i="6" s="1"/>
  <c r="AN23" i="6"/>
  <c r="AN50" i="6" s="1"/>
  <c r="AO23" i="6"/>
  <c r="AO50" i="6" s="1"/>
  <c r="AP23" i="6"/>
  <c r="AP50" i="6" s="1"/>
  <c r="AQ23" i="6"/>
  <c r="AR23" i="6"/>
  <c r="AR75" i="6" s="1"/>
  <c r="AS23" i="6"/>
  <c r="AS75" i="6" s="1"/>
  <c r="AT23" i="6"/>
  <c r="AT75" i="6" s="1"/>
  <c r="AU23" i="6"/>
  <c r="AU75" i="6" s="1"/>
  <c r="AV23" i="6"/>
  <c r="AV50" i="6" s="1"/>
  <c r="AW23" i="6"/>
  <c r="AW50" i="6" s="1"/>
  <c r="AX23" i="6"/>
  <c r="AX50" i="6" s="1"/>
  <c r="AY23" i="6"/>
  <c r="AY50" i="6" s="1"/>
  <c r="AZ23" i="6"/>
  <c r="AZ50" i="6" s="1"/>
  <c r="BA23" i="6"/>
  <c r="BA50" i="6" s="1"/>
  <c r="BB23" i="6"/>
  <c r="BB50" i="6" s="1"/>
  <c r="BC23" i="6"/>
  <c r="BD23" i="6"/>
  <c r="BD75" i="6" s="1"/>
  <c r="BE23" i="6"/>
  <c r="BE50" i="6" s="1"/>
  <c r="BF23" i="6"/>
  <c r="BF50" i="6" s="1"/>
  <c r="BG23" i="6"/>
  <c r="BG75" i="6" s="1"/>
  <c r="BH23" i="6"/>
  <c r="BH50" i="6" s="1"/>
  <c r="BI23" i="6"/>
  <c r="BI50" i="6" s="1"/>
  <c r="BJ23" i="6"/>
  <c r="BJ50" i="6" s="1"/>
  <c r="BK23" i="6"/>
  <c r="BK50" i="6" s="1"/>
  <c r="BL23" i="6"/>
  <c r="BL50" i="6" s="1"/>
  <c r="D24" i="6"/>
  <c r="D51" i="6" s="1"/>
  <c r="E24" i="6"/>
  <c r="E51" i="6" s="1"/>
  <c r="F24" i="6"/>
  <c r="G24" i="6"/>
  <c r="G76" i="6" s="1"/>
  <c r="H24" i="6"/>
  <c r="H51" i="6" s="1"/>
  <c r="I24" i="6"/>
  <c r="I51" i="6" s="1"/>
  <c r="J24" i="6"/>
  <c r="J51" i="6" s="1"/>
  <c r="K24" i="6"/>
  <c r="K51" i="6" s="1"/>
  <c r="L24" i="6"/>
  <c r="L51" i="6" s="1"/>
  <c r="M24" i="6"/>
  <c r="M76" i="6" s="1"/>
  <c r="N24" i="6"/>
  <c r="N76" i="6" s="1"/>
  <c r="O24" i="6"/>
  <c r="O76" i="6" s="1"/>
  <c r="P24" i="6"/>
  <c r="P76" i="6" s="1"/>
  <c r="Q24" i="6"/>
  <c r="Q76" i="6" s="1"/>
  <c r="R24" i="6"/>
  <c r="S24" i="6"/>
  <c r="S76" i="6" s="1"/>
  <c r="T24" i="6"/>
  <c r="T51" i="6" s="1"/>
  <c r="U24" i="6"/>
  <c r="U51" i="6" s="1"/>
  <c r="V24" i="6"/>
  <c r="V76" i="6" s="1"/>
  <c r="W24" i="6"/>
  <c r="W51" i="6" s="1"/>
  <c r="X24" i="6"/>
  <c r="X51" i="6" s="1"/>
  <c r="Y24" i="6"/>
  <c r="Y76" i="6" s="1"/>
  <c r="Z24" i="6"/>
  <c r="Z76" i="6" s="1"/>
  <c r="AA24" i="6"/>
  <c r="AA76" i="6" s="1"/>
  <c r="AB24" i="6"/>
  <c r="AB76" i="6" s="1"/>
  <c r="AC24" i="6"/>
  <c r="AC76" i="6" s="1"/>
  <c r="AD24" i="6"/>
  <c r="AE24" i="6"/>
  <c r="AE76" i="6" s="1"/>
  <c r="AF24" i="6"/>
  <c r="AF51" i="6" s="1"/>
  <c r="AG24" i="6"/>
  <c r="AG51" i="6" s="1"/>
  <c r="AH24" i="6"/>
  <c r="AH76" i="6" s="1"/>
  <c r="AI24" i="6"/>
  <c r="AI51" i="6" s="1"/>
  <c r="AJ24" i="6"/>
  <c r="AJ51" i="6" s="1"/>
  <c r="AK24" i="6"/>
  <c r="AK76" i="6" s="1"/>
  <c r="AL24" i="6"/>
  <c r="AL76" i="6" s="1"/>
  <c r="AM24" i="6"/>
  <c r="AM76" i="6" s="1"/>
  <c r="AN24" i="6"/>
  <c r="AN76" i="6" s="1"/>
  <c r="AO24" i="6"/>
  <c r="AO51" i="6" s="1"/>
  <c r="AP24" i="6"/>
  <c r="AQ24" i="6"/>
  <c r="AQ76" i="6" s="1"/>
  <c r="AR24" i="6"/>
  <c r="AR51" i="6" s="1"/>
  <c r="AS24" i="6"/>
  <c r="AS51" i="6" s="1"/>
  <c r="AT24" i="6"/>
  <c r="AT51" i="6" s="1"/>
  <c r="AU24" i="6"/>
  <c r="AU51" i="6" s="1"/>
  <c r="AV24" i="6"/>
  <c r="AV51" i="6" s="1"/>
  <c r="AW24" i="6"/>
  <c r="AW76" i="6" s="1"/>
  <c r="AX24" i="6"/>
  <c r="AX76" i="6" s="1"/>
  <c r="AY24" i="6"/>
  <c r="AY76" i="6" s="1"/>
  <c r="AZ24" i="6"/>
  <c r="AZ76" i="6" s="1"/>
  <c r="BA24" i="6"/>
  <c r="BA76" i="6" s="1"/>
  <c r="BB24" i="6"/>
  <c r="BC24" i="6"/>
  <c r="BC76" i="6" s="1"/>
  <c r="BD24" i="6"/>
  <c r="BD51" i="6" s="1"/>
  <c r="BE24" i="6"/>
  <c r="BE51" i="6" s="1"/>
  <c r="BF24" i="6"/>
  <c r="BF51" i="6" s="1"/>
  <c r="BG24" i="6"/>
  <c r="BG51" i="6" s="1"/>
  <c r="BH24" i="6"/>
  <c r="BH51" i="6" s="1"/>
  <c r="BI24" i="6"/>
  <c r="BI76" i="6" s="1"/>
  <c r="BJ24" i="6"/>
  <c r="BJ76" i="6" s="1"/>
  <c r="BK24" i="6"/>
  <c r="BK76" i="6" s="1"/>
  <c r="BL24" i="6"/>
  <c r="BL76" i="6" s="1"/>
  <c r="D25" i="6"/>
  <c r="D52" i="6" s="1"/>
  <c r="E25" i="6"/>
  <c r="F25" i="6"/>
  <c r="F77" i="6" s="1"/>
  <c r="G25" i="6"/>
  <c r="G52" i="6" s="1"/>
  <c r="H25" i="6"/>
  <c r="H52" i="6" s="1"/>
  <c r="I25" i="6"/>
  <c r="I77" i="6" s="1"/>
  <c r="J25" i="6"/>
  <c r="J52" i="6" s="1"/>
  <c r="K25" i="6"/>
  <c r="K77" i="6" s="1"/>
  <c r="L25" i="6"/>
  <c r="L52" i="6" s="1"/>
  <c r="M25" i="6"/>
  <c r="M52" i="6" s="1"/>
  <c r="N25" i="6"/>
  <c r="N77" i="6" s="1"/>
  <c r="O25" i="6"/>
  <c r="O77" i="6" s="1"/>
  <c r="P25" i="6"/>
  <c r="P52" i="6" s="1"/>
  <c r="Q25" i="6"/>
  <c r="R25" i="6"/>
  <c r="R77" i="6" s="1"/>
  <c r="S25" i="6"/>
  <c r="S52" i="6" s="1"/>
  <c r="T25" i="6"/>
  <c r="T52" i="6" s="1"/>
  <c r="U25" i="6"/>
  <c r="U77" i="6" s="1"/>
  <c r="V25" i="6"/>
  <c r="V52" i="6" s="1"/>
  <c r="W25" i="6"/>
  <c r="W77" i="6" s="1"/>
  <c r="X25" i="6"/>
  <c r="X52" i="6" s="1"/>
  <c r="Y25" i="6"/>
  <c r="Y77" i="6" s="1"/>
  <c r="Z25" i="6"/>
  <c r="Z77" i="6" s="1"/>
  <c r="AA25" i="6"/>
  <c r="AA77" i="6" s="1"/>
  <c r="AB25" i="6"/>
  <c r="AB52" i="6" s="1"/>
  <c r="AC25" i="6"/>
  <c r="AD25" i="6"/>
  <c r="AD77" i="6" s="1"/>
  <c r="AE25" i="6"/>
  <c r="AE52" i="6" s="1"/>
  <c r="AF25" i="6"/>
  <c r="AF52" i="6" s="1"/>
  <c r="AG25" i="6"/>
  <c r="AG77" i="6" s="1"/>
  <c r="AH25" i="6"/>
  <c r="AH77" i="6" s="1"/>
  <c r="AI25" i="6"/>
  <c r="AI77" i="6" s="1"/>
  <c r="AJ25" i="6"/>
  <c r="AJ52" i="6" s="1"/>
  <c r="AK25" i="6"/>
  <c r="AK52" i="6" s="1"/>
  <c r="AL25" i="6"/>
  <c r="AL52" i="6" s="1"/>
  <c r="AM25" i="6"/>
  <c r="AM77" i="6" s="1"/>
  <c r="AN25" i="6"/>
  <c r="AN52" i="6" s="1"/>
  <c r="AO25" i="6"/>
  <c r="AP25" i="6"/>
  <c r="AP77" i="6" s="1"/>
  <c r="AQ25" i="6"/>
  <c r="AQ52" i="6" s="1"/>
  <c r="AR25" i="6"/>
  <c r="AR52" i="6" s="1"/>
  <c r="AS25" i="6"/>
  <c r="AS77" i="6" s="1"/>
  <c r="AT25" i="6"/>
  <c r="AT52" i="6" s="1"/>
  <c r="AU25" i="6"/>
  <c r="AU77" i="6" s="1"/>
  <c r="AV25" i="6"/>
  <c r="AV52" i="6" s="1"/>
  <c r="AW25" i="6"/>
  <c r="AW77" i="6" s="1"/>
  <c r="AX25" i="6"/>
  <c r="AX52" i="6" s="1"/>
  <c r="AY25" i="6"/>
  <c r="AY77" i="6" s="1"/>
  <c r="AZ25" i="6"/>
  <c r="AZ52" i="6" s="1"/>
  <c r="BA25" i="6"/>
  <c r="BB25" i="6"/>
  <c r="BB77" i="6" s="1"/>
  <c r="BC25" i="6"/>
  <c r="BC52" i="6" s="1"/>
  <c r="BD25" i="6"/>
  <c r="BD52" i="6" s="1"/>
  <c r="BE25" i="6"/>
  <c r="BE77" i="6" s="1"/>
  <c r="BF25" i="6"/>
  <c r="BF77" i="6" s="1"/>
  <c r="BG25" i="6"/>
  <c r="BG77" i="6" s="1"/>
  <c r="BH25" i="6"/>
  <c r="BH52" i="6" s="1"/>
  <c r="BI25" i="6"/>
  <c r="BI77" i="6" s="1"/>
  <c r="BJ25" i="6"/>
  <c r="BJ52" i="6" s="1"/>
  <c r="BK25" i="6"/>
  <c r="BK77" i="6" s="1"/>
  <c r="BL25" i="6"/>
  <c r="BL52" i="6" s="1"/>
  <c r="D26" i="6"/>
  <c r="E26" i="6"/>
  <c r="E78" i="6" s="1"/>
  <c r="F26" i="6"/>
  <c r="F78" i="6" s="1"/>
  <c r="G26" i="6"/>
  <c r="G78" i="6" s="1"/>
  <c r="H26" i="6"/>
  <c r="H78" i="6" s="1"/>
  <c r="I26" i="6"/>
  <c r="I78" i="6" s="1"/>
  <c r="J26" i="6"/>
  <c r="J78" i="6" s="1"/>
  <c r="K26" i="6"/>
  <c r="K78" i="6" s="1"/>
  <c r="L26" i="6"/>
  <c r="L53" i="6" s="1"/>
  <c r="M26" i="6"/>
  <c r="M53" i="6" s="1"/>
  <c r="N26" i="6"/>
  <c r="N78" i="6" s="1"/>
  <c r="O26" i="6"/>
  <c r="O78" i="6" s="1"/>
  <c r="P26" i="6"/>
  <c r="Q26" i="6"/>
  <c r="Q78" i="6" s="1"/>
  <c r="R26" i="6"/>
  <c r="R78" i="6" s="1"/>
  <c r="S26" i="6"/>
  <c r="S78" i="6" s="1"/>
  <c r="T26" i="6"/>
  <c r="T78" i="6" s="1"/>
  <c r="U26" i="6"/>
  <c r="U78" i="6" s="1"/>
  <c r="V26" i="6"/>
  <c r="V78" i="6" s="1"/>
  <c r="W26" i="6"/>
  <c r="W78" i="6" s="1"/>
  <c r="X26" i="6"/>
  <c r="X53" i="6" s="1"/>
  <c r="Y26" i="6"/>
  <c r="Y53" i="6" s="1"/>
  <c r="Z26" i="6"/>
  <c r="Z53" i="6" s="1"/>
  <c r="AA26" i="6"/>
  <c r="AA53" i="6" s="1"/>
  <c r="AB26" i="6"/>
  <c r="AC26" i="6"/>
  <c r="AC78" i="6" s="1"/>
  <c r="AD26" i="6"/>
  <c r="AD78" i="6" s="1"/>
  <c r="AE26" i="6"/>
  <c r="AE78" i="6" s="1"/>
  <c r="AF26" i="6"/>
  <c r="AF78" i="6" s="1"/>
  <c r="AG26" i="6"/>
  <c r="AG78" i="6" s="1"/>
  <c r="AH26" i="6"/>
  <c r="AH78" i="6" s="1"/>
  <c r="AI26" i="6"/>
  <c r="AI78" i="6" s="1"/>
  <c r="AJ26" i="6"/>
  <c r="AJ53" i="6" s="1"/>
  <c r="AK26" i="6"/>
  <c r="AK53" i="6" s="1"/>
  <c r="AL26" i="6"/>
  <c r="AL53" i="6" s="1"/>
  <c r="AM26" i="6"/>
  <c r="AM78" i="6" s="1"/>
  <c r="AN26" i="6"/>
  <c r="AO26" i="6"/>
  <c r="AO78" i="6" s="1"/>
  <c r="AP26" i="6"/>
  <c r="AP78" i="6" s="1"/>
  <c r="AQ26" i="6"/>
  <c r="AQ78" i="6" s="1"/>
  <c r="AR26" i="6"/>
  <c r="AR78" i="6" s="1"/>
  <c r="AS26" i="6"/>
  <c r="AS78" i="6" s="1"/>
  <c r="AT26" i="6"/>
  <c r="AT78" i="6" s="1"/>
  <c r="AU26" i="6"/>
  <c r="AU78" i="6" s="1"/>
  <c r="AV26" i="6"/>
  <c r="AV53" i="6" s="1"/>
  <c r="AW26" i="6"/>
  <c r="AW53" i="6" s="1"/>
  <c r="AX26" i="6"/>
  <c r="AX53" i="6" s="1"/>
  <c r="AY26" i="6"/>
  <c r="AY53" i="6" s="1"/>
  <c r="AZ26" i="6"/>
  <c r="BA26" i="6"/>
  <c r="BA78" i="6" s="1"/>
  <c r="BB26" i="6"/>
  <c r="BB78" i="6" s="1"/>
  <c r="BC26" i="6"/>
  <c r="BC78" i="6" s="1"/>
  <c r="BD26" i="6"/>
  <c r="BD78" i="6" s="1"/>
  <c r="BE26" i="6"/>
  <c r="BE78" i="6" s="1"/>
  <c r="BF26" i="6"/>
  <c r="BF78" i="6" s="1"/>
  <c r="BG26" i="6"/>
  <c r="BG78" i="6" s="1"/>
  <c r="BH26" i="6"/>
  <c r="BH53" i="6" s="1"/>
  <c r="BI26" i="6"/>
  <c r="BI53" i="6" s="1"/>
  <c r="BJ26" i="6"/>
  <c r="BJ53" i="6" s="1"/>
  <c r="BK26" i="6"/>
  <c r="BK78" i="6" s="1"/>
  <c r="BL26" i="6"/>
  <c r="BN22" i="6"/>
  <c r="BN74" i="6" s="1"/>
  <c r="BO22" i="6"/>
  <c r="BO49" i="6" s="1"/>
  <c r="BP22" i="6"/>
  <c r="BP49" i="6" s="1"/>
  <c r="BQ22" i="6"/>
  <c r="BQ74" i="6" s="1"/>
  <c r="BR22" i="6"/>
  <c r="BR49" i="6" s="1"/>
  <c r="BS22" i="6"/>
  <c r="BS49" i="6" s="1"/>
  <c r="BT22" i="6"/>
  <c r="BT49" i="6" s="1"/>
  <c r="BU22" i="6"/>
  <c r="BU49" i="6" s="1"/>
  <c r="BV22" i="6"/>
  <c r="BV49" i="6" s="1"/>
  <c r="BN23" i="6"/>
  <c r="BN50" i="6" s="1"/>
  <c r="BO23" i="6"/>
  <c r="BO50" i="6" s="1"/>
  <c r="BP23" i="6"/>
  <c r="BQ23" i="6"/>
  <c r="BQ50" i="6" s="1"/>
  <c r="BR23" i="6"/>
  <c r="BR50" i="6" s="1"/>
  <c r="BS23" i="6"/>
  <c r="BS75" i="6" s="1"/>
  <c r="BT23" i="6"/>
  <c r="BT75" i="6" s="1"/>
  <c r="BU23" i="6"/>
  <c r="BU75" i="6" s="1"/>
  <c r="BV23" i="6"/>
  <c r="BV75" i="6" s="1"/>
  <c r="BN24" i="6"/>
  <c r="BN76" i="6" s="1"/>
  <c r="BO24" i="6"/>
  <c r="BO76" i="6" s="1"/>
  <c r="BP24" i="6"/>
  <c r="BP51" i="6" s="1"/>
  <c r="BQ24" i="6"/>
  <c r="BQ76" i="6" s="1"/>
  <c r="BR24" i="6"/>
  <c r="BR51" i="6" s="1"/>
  <c r="BS24" i="6"/>
  <c r="BT24" i="6"/>
  <c r="BT51" i="6" s="1"/>
  <c r="BU24" i="6"/>
  <c r="BU76" i="6" s="1"/>
  <c r="BV24" i="6"/>
  <c r="BV76" i="6" s="1"/>
  <c r="BN25" i="6"/>
  <c r="BN77" i="6" s="1"/>
  <c r="BO25" i="6"/>
  <c r="BO52" i="6" s="1"/>
  <c r="BP25" i="6"/>
  <c r="BP52" i="6" s="1"/>
  <c r="BQ25" i="6"/>
  <c r="BQ52" i="6" s="1"/>
  <c r="BR25" i="6"/>
  <c r="BR52" i="6" s="1"/>
  <c r="BS25" i="6"/>
  <c r="BS52" i="6" s="1"/>
  <c r="BT25" i="6"/>
  <c r="BT77" i="6" s="1"/>
  <c r="BU25" i="6"/>
  <c r="BU52" i="6" s="1"/>
  <c r="BV25" i="6"/>
  <c r="BN26" i="6"/>
  <c r="BN78" i="6" s="1"/>
  <c r="BO26" i="6"/>
  <c r="BO78" i="6" s="1"/>
  <c r="BP26" i="6"/>
  <c r="BP78" i="6" s="1"/>
  <c r="BQ26" i="6"/>
  <c r="BQ78" i="6" s="1"/>
  <c r="BR26" i="6"/>
  <c r="BR53" i="6" s="1"/>
  <c r="BS26" i="6"/>
  <c r="BS53" i="6" s="1"/>
  <c r="BT26" i="6"/>
  <c r="BT53" i="6" s="1"/>
  <c r="BU26" i="6"/>
  <c r="BU53" i="6" s="1"/>
  <c r="BV26" i="6"/>
  <c r="BV53" i="6" s="1"/>
  <c r="BM23" i="6"/>
  <c r="BM50" i="6" s="1"/>
  <c r="BM24" i="6"/>
  <c r="BM51" i="6" s="1"/>
  <c r="BM25" i="6"/>
  <c r="BM26" i="6"/>
  <c r="BM78" i="6" s="1"/>
  <c r="BM22" i="6"/>
  <c r="BM49" i="6" s="1"/>
  <c r="AF75" i="6" l="1"/>
  <c r="V77" i="6"/>
  <c r="BD53" i="6"/>
  <c r="AH53" i="6"/>
  <c r="Q53" i="6"/>
  <c r="BG52" i="6"/>
  <c r="R52" i="6"/>
  <c r="AU50" i="6"/>
  <c r="K50" i="6"/>
  <c r="AY49" i="6"/>
  <c r="L49" i="6"/>
  <c r="BQ51" i="6"/>
  <c r="AX77" i="6"/>
  <c r="AR76" i="6"/>
  <c r="H76" i="6"/>
  <c r="V75" i="6"/>
  <c r="U75" i="6"/>
  <c r="M77" i="6"/>
  <c r="J53" i="6"/>
  <c r="BU50" i="6"/>
  <c r="AI76" i="6"/>
  <c r="AE53" i="6"/>
  <c r="I53" i="6"/>
  <c r="AH52" i="6"/>
  <c r="AV49" i="6"/>
  <c r="Z49" i="6"/>
  <c r="BQ49" i="6"/>
  <c r="AT77" i="6"/>
  <c r="J77" i="6"/>
  <c r="BF75" i="6"/>
  <c r="BT58" i="6"/>
  <c r="BS58" i="6"/>
  <c r="BV50" i="6"/>
  <c r="AJ76" i="6"/>
  <c r="Y49" i="6"/>
  <c r="BP53" i="6"/>
  <c r="AT53" i="6"/>
  <c r="AC53" i="6"/>
  <c r="G53" i="6"/>
  <c r="AD52" i="6"/>
  <c r="S51" i="6"/>
  <c r="AH50" i="6"/>
  <c r="BK49" i="6"/>
  <c r="AT49" i="6"/>
  <c r="X49" i="6"/>
  <c r="BN33" i="6"/>
  <c r="AK77" i="6"/>
  <c r="BH76" i="6"/>
  <c r="X76" i="6"/>
  <c r="BR58" i="6"/>
  <c r="AJ77" i="6"/>
  <c r="BG76" i="6"/>
  <c r="W76" i="6"/>
  <c r="BP74" i="6"/>
  <c r="AX49" i="6"/>
  <c r="AW49" i="6"/>
  <c r="K52" i="6"/>
  <c r="AU49" i="6"/>
  <c r="BO53" i="6"/>
  <c r="AS53" i="6"/>
  <c r="W53" i="6"/>
  <c r="AW52" i="6"/>
  <c r="AA52" i="6"/>
  <c r="I52" i="6"/>
  <c r="BJ49" i="6"/>
  <c r="AS49" i="6"/>
  <c r="W49" i="6"/>
  <c r="BN53" i="6"/>
  <c r="AR53" i="6"/>
  <c r="V53" i="6"/>
  <c r="E53" i="6"/>
  <c r="AU52" i="6"/>
  <c r="Z52" i="6"/>
  <c r="F52" i="6"/>
  <c r="G51" i="6"/>
  <c r="BI49" i="6"/>
  <c r="AM49" i="6"/>
  <c r="V49" i="6"/>
  <c r="BV78" i="6"/>
  <c r="BF76" i="6"/>
  <c r="BO74" i="6"/>
  <c r="BI52" i="6"/>
  <c r="AI52" i="6"/>
  <c r="BM53" i="6"/>
  <c r="AQ53" i="6"/>
  <c r="U53" i="6"/>
  <c r="BN52" i="6"/>
  <c r="Y52" i="6"/>
  <c r="BO51" i="6"/>
  <c r="BG50" i="6"/>
  <c r="W50" i="6"/>
  <c r="BH49" i="6"/>
  <c r="AL49" i="6"/>
  <c r="U49" i="6"/>
  <c r="BJ77" i="6"/>
  <c r="BD76" i="6"/>
  <c r="T76" i="6"/>
  <c r="BG53" i="6"/>
  <c r="AP53" i="6"/>
  <c r="T53" i="6"/>
  <c r="BK52" i="6"/>
  <c r="AS52" i="6"/>
  <c r="W52" i="6"/>
  <c r="BN51" i="6"/>
  <c r="BG49" i="6"/>
  <c r="AK49" i="6"/>
  <c r="O49" i="6"/>
  <c r="AV76" i="6"/>
  <c r="L76" i="6"/>
  <c r="BF53" i="6"/>
  <c r="AO53" i="6"/>
  <c r="S53" i="6"/>
  <c r="AP52" i="6"/>
  <c r="BF49" i="6"/>
  <c r="AJ49" i="6"/>
  <c r="N49" i="6"/>
  <c r="BQ33" i="6"/>
  <c r="BH77" i="6"/>
  <c r="X77" i="6"/>
  <c r="AU76" i="6"/>
  <c r="K76" i="6"/>
  <c r="BM52" i="6"/>
  <c r="BM77" i="6"/>
  <c r="BV52" i="6"/>
  <c r="BV77" i="6"/>
  <c r="BS51" i="6"/>
  <c r="BS76" i="6"/>
  <c r="BP75" i="6"/>
  <c r="BP50" i="6"/>
  <c r="BL53" i="6"/>
  <c r="BL78" i="6"/>
  <c r="AZ78" i="6"/>
  <c r="AZ53" i="6"/>
  <c r="AN53" i="6"/>
  <c r="AN78" i="6"/>
  <c r="AB78" i="6"/>
  <c r="AB53" i="6"/>
  <c r="P78" i="6"/>
  <c r="P53" i="6"/>
  <c r="D53" i="6"/>
  <c r="D78" i="6"/>
  <c r="BA52" i="6"/>
  <c r="BA77" i="6"/>
  <c r="AO52" i="6"/>
  <c r="AO77" i="6"/>
  <c r="AC52" i="6"/>
  <c r="AC77" i="6"/>
  <c r="Q52" i="6"/>
  <c r="Q77" i="6"/>
  <c r="E52" i="6"/>
  <c r="E77" i="6"/>
  <c r="BB51" i="6"/>
  <c r="BB76" i="6"/>
  <c r="AP51" i="6"/>
  <c r="AP76" i="6"/>
  <c r="AD51" i="6"/>
  <c r="AD76" i="6"/>
  <c r="R51" i="6"/>
  <c r="R76" i="6"/>
  <c r="F51" i="6"/>
  <c r="F76" i="6"/>
  <c r="BC50" i="6"/>
  <c r="BC75" i="6"/>
  <c r="AQ50" i="6"/>
  <c r="AQ75" i="6"/>
  <c r="AE50" i="6"/>
  <c r="AE75" i="6"/>
  <c r="S50" i="6"/>
  <c r="S75" i="6"/>
  <c r="G50" i="6"/>
  <c r="G75" i="6"/>
  <c r="BD74" i="6"/>
  <c r="BD49" i="6"/>
  <c r="AR49" i="6"/>
  <c r="AR74" i="6"/>
  <c r="AF74" i="6"/>
  <c r="AF49" i="6"/>
  <c r="T74" i="6"/>
  <c r="T49" i="6"/>
  <c r="H49" i="6"/>
  <c r="H74" i="6"/>
  <c r="BP33" i="6"/>
  <c r="BP58" i="6"/>
  <c r="BL51" i="6"/>
  <c r="AZ51" i="6"/>
  <c r="AN51" i="6"/>
  <c r="AB51" i="6"/>
  <c r="P51" i="6"/>
  <c r="BT52" i="6"/>
  <c r="BT50" i="6"/>
  <c r="D77" i="6"/>
  <c r="BU78" i="6"/>
  <c r="BI78" i="6"/>
  <c r="AW78" i="6"/>
  <c r="AK78" i="6"/>
  <c r="Y78" i="6"/>
  <c r="M78" i="6"/>
  <c r="BS77" i="6"/>
  <c r="BE76" i="6"/>
  <c r="AS76" i="6"/>
  <c r="AG76" i="6"/>
  <c r="U76" i="6"/>
  <c r="I76" i="6"/>
  <c r="BO75" i="6"/>
  <c r="BM74" i="6"/>
  <c r="BA74" i="6"/>
  <c r="AO74" i="6"/>
  <c r="AC74" i="6"/>
  <c r="Q74" i="6"/>
  <c r="E74" i="6"/>
  <c r="BS50" i="6"/>
  <c r="D76" i="6"/>
  <c r="BT78" i="6"/>
  <c r="BH78" i="6"/>
  <c r="AV78" i="6"/>
  <c r="AJ78" i="6"/>
  <c r="X78" i="6"/>
  <c r="L78" i="6"/>
  <c r="BR77" i="6"/>
  <c r="BP76" i="6"/>
  <c r="BN75" i="6"/>
  <c r="BB75" i="6"/>
  <c r="AP75" i="6"/>
  <c r="AD75" i="6"/>
  <c r="R75" i="6"/>
  <c r="F75" i="6"/>
  <c r="BL74" i="6"/>
  <c r="AZ74" i="6"/>
  <c r="AN74" i="6"/>
  <c r="AB74" i="6"/>
  <c r="P74" i="6"/>
  <c r="AA78" i="6"/>
  <c r="S74" i="6"/>
  <c r="BA51" i="6"/>
  <c r="Q51" i="6"/>
  <c r="AL78" i="6"/>
  <c r="R74" i="6"/>
  <c r="BJ51" i="6"/>
  <c r="AX51" i="6"/>
  <c r="AL51" i="6"/>
  <c r="Z51" i="6"/>
  <c r="N51" i="6"/>
  <c r="D75" i="6"/>
  <c r="BS78" i="6"/>
  <c r="BQ77" i="6"/>
  <c r="BM75" i="6"/>
  <c r="BA75" i="6"/>
  <c r="AO75" i="6"/>
  <c r="AC75" i="6"/>
  <c r="Q75" i="6"/>
  <c r="E75" i="6"/>
  <c r="BK51" i="6"/>
  <c r="AY51" i="6"/>
  <c r="AM51" i="6"/>
  <c r="O51" i="6"/>
  <c r="BI51" i="6"/>
  <c r="AW51" i="6"/>
  <c r="AK51" i="6"/>
  <c r="Y51" i="6"/>
  <c r="M51" i="6"/>
  <c r="D74" i="6"/>
  <c r="BR78" i="6"/>
  <c r="BP77" i="6"/>
  <c r="BD77" i="6"/>
  <c r="AR77" i="6"/>
  <c r="AF77" i="6"/>
  <c r="T77" i="6"/>
  <c r="H77" i="6"/>
  <c r="BL75" i="6"/>
  <c r="AZ75" i="6"/>
  <c r="AN75" i="6"/>
  <c r="AB75" i="6"/>
  <c r="P75" i="6"/>
  <c r="BV74" i="6"/>
  <c r="AY78" i="6"/>
  <c r="BU77" i="6"/>
  <c r="BC74" i="6"/>
  <c r="G74" i="6"/>
  <c r="AC51" i="6"/>
  <c r="AX78" i="6"/>
  <c r="AP74" i="6"/>
  <c r="BV51" i="6"/>
  <c r="BV33" i="6"/>
  <c r="BO77" i="6"/>
  <c r="BC77" i="6"/>
  <c r="AQ77" i="6"/>
  <c r="AE77" i="6"/>
  <c r="S77" i="6"/>
  <c r="G77" i="6"/>
  <c r="BM76" i="6"/>
  <c r="AO76" i="6"/>
  <c r="E76" i="6"/>
  <c r="BK75" i="6"/>
  <c r="AY75" i="6"/>
  <c r="AM75" i="6"/>
  <c r="AA75" i="6"/>
  <c r="O75" i="6"/>
  <c r="BU74" i="6"/>
  <c r="BR76" i="6"/>
  <c r="AD74" i="6"/>
  <c r="AA51" i="6"/>
  <c r="BK53" i="6"/>
  <c r="AM53" i="6"/>
  <c r="O53" i="6"/>
  <c r="AQ49" i="6"/>
  <c r="AE49" i="6"/>
  <c r="BU51" i="6"/>
  <c r="BU33" i="6"/>
  <c r="BJ75" i="6"/>
  <c r="AX75" i="6"/>
  <c r="AL75" i="6"/>
  <c r="Z75" i="6"/>
  <c r="N75" i="6"/>
  <c r="BT74" i="6"/>
  <c r="Z78" i="6"/>
  <c r="F74" i="6"/>
  <c r="N53" i="6"/>
  <c r="BI75" i="6"/>
  <c r="AW75" i="6"/>
  <c r="AK75" i="6"/>
  <c r="Y75" i="6"/>
  <c r="M75" i="6"/>
  <c r="BS74" i="6"/>
  <c r="BJ78" i="6"/>
  <c r="BB74" i="6"/>
  <c r="BL77" i="6"/>
  <c r="AZ77" i="6"/>
  <c r="AN77" i="6"/>
  <c r="AB77" i="6"/>
  <c r="P77" i="6"/>
  <c r="BH75" i="6"/>
  <c r="AV75" i="6"/>
  <c r="AJ75" i="6"/>
  <c r="X75" i="6"/>
  <c r="L75" i="6"/>
  <c r="BR74" i="6"/>
  <c r="D67" i="2" l="1"/>
  <c r="D68" i="2"/>
  <c r="D69" i="2"/>
  <c r="D70" i="2"/>
  <c r="D71" i="2"/>
  <c r="D72" i="2"/>
  <c r="D73" i="2"/>
  <c r="D74" i="2"/>
  <c r="D76" i="2"/>
  <c r="D77" i="2"/>
  <c r="D78" i="2"/>
  <c r="D79" i="2"/>
  <c r="D80" i="2"/>
  <c r="D81" i="2"/>
  <c r="D82" i="2"/>
  <c r="D83" i="2"/>
  <c r="D66" i="2"/>
  <c r="D47" i="2"/>
  <c r="D48" i="2"/>
  <c r="D49" i="2"/>
  <c r="D50" i="2"/>
  <c r="D51" i="2"/>
  <c r="D52" i="2"/>
  <c r="D53" i="2"/>
  <c r="D54" i="2"/>
  <c r="D56" i="2"/>
  <c r="D57" i="2"/>
  <c r="D58" i="2"/>
  <c r="D59" i="2"/>
  <c r="D60" i="2"/>
  <c r="D61" i="2"/>
  <c r="D62" i="2"/>
  <c r="D63" i="2"/>
  <c r="D46" i="2"/>
  <c r="D28" i="2"/>
  <c r="D29" i="2"/>
  <c r="D30" i="2"/>
  <c r="D31" i="2"/>
  <c r="D32" i="2"/>
  <c r="D33" i="2"/>
  <c r="D34" i="2"/>
  <c r="D35" i="2"/>
  <c r="D36" i="2"/>
  <c r="D55" i="2" s="1"/>
  <c r="D75" i="2" s="1"/>
  <c r="D37" i="2"/>
  <c r="D38" i="2"/>
  <c r="D39" i="2"/>
  <c r="D40" i="2"/>
  <c r="D41" i="2"/>
  <c r="D42" i="2"/>
  <c r="D43" i="2"/>
  <c r="D44" i="2"/>
  <c r="D27" i="2"/>
  <c r="Z170" i="1"/>
  <c r="AB28" i="4"/>
  <c r="I170" i="1"/>
  <c r="AE102" i="1" l="1"/>
  <c r="AF102" i="1"/>
  <c r="AG102" i="1"/>
  <c r="AH102" i="1"/>
  <c r="AI102" i="1"/>
  <c r="AJ102" i="1"/>
  <c r="AK102" i="1"/>
  <c r="AL102" i="1"/>
  <c r="AM102" i="1"/>
  <c r="AN102" i="1"/>
  <c r="AO102" i="1"/>
  <c r="AP102" i="1"/>
  <c r="AE103" i="1"/>
  <c r="AF103" i="1"/>
  <c r="AG103" i="1"/>
  <c r="AH103" i="1"/>
  <c r="AI103" i="1"/>
  <c r="AJ103" i="1"/>
  <c r="AK103" i="1"/>
  <c r="AL103" i="1"/>
  <c r="AM103" i="1"/>
  <c r="AN103" i="1"/>
  <c r="AO103" i="1"/>
  <c r="AP103" i="1"/>
  <c r="AQ103" i="1"/>
  <c r="J170" i="1" l="1"/>
  <c r="K170" i="1"/>
  <c r="L170" i="1"/>
  <c r="M170" i="1"/>
  <c r="N170" i="1"/>
  <c r="O170" i="1"/>
  <c r="P170" i="1"/>
  <c r="Q170" i="1"/>
  <c r="R170" i="1"/>
  <c r="S170" i="1"/>
  <c r="T170" i="1"/>
  <c r="U170" i="1"/>
  <c r="V170" i="1"/>
  <c r="W170" i="1"/>
  <c r="X170" i="1"/>
  <c r="Y170" i="1"/>
  <c r="S45" i="1"/>
  <c r="T45" i="1"/>
  <c r="U45" i="1"/>
  <c r="V45" i="1"/>
  <c r="W45" i="1"/>
  <c r="S46" i="1"/>
  <c r="T46" i="1"/>
  <c r="U46" i="1"/>
  <c r="V46" i="1"/>
  <c r="W46" i="1"/>
  <c r="S47" i="1"/>
  <c r="T47" i="1"/>
  <c r="U47" i="1"/>
  <c r="V47" i="1"/>
  <c r="W47" i="1"/>
  <c r="S48" i="1"/>
  <c r="T48" i="1"/>
  <c r="U48" i="1"/>
  <c r="V48" i="1"/>
  <c r="W48" i="1"/>
  <c r="S49" i="1"/>
  <c r="T49" i="1"/>
  <c r="U49" i="1"/>
  <c r="V49" i="1"/>
  <c r="W49" i="1"/>
  <c r="S50" i="1"/>
  <c r="T50" i="1"/>
  <c r="U50" i="1"/>
  <c r="V50" i="1"/>
  <c r="W50" i="1"/>
  <c r="S51" i="1"/>
  <c r="T51" i="1"/>
  <c r="U51" i="1"/>
  <c r="V51" i="1"/>
  <c r="W51" i="1"/>
  <c r="S52" i="1"/>
  <c r="T52" i="1"/>
  <c r="U52" i="1"/>
  <c r="V52" i="1"/>
  <c r="W52" i="1"/>
  <c r="AH45" i="1"/>
  <c r="AI45" i="1"/>
  <c r="AH46" i="1"/>
  <c r="AI46" i="1"/>
  <c r="AH47" i="1"/>
  <c r="AI47" i="1"/>
  <c r="AH48" i="1"/>
  <c r="AI48" i="1"/>
  <c r="AH49" i="1"/>
  <c r="AI49" i="1"/>
  <c r="AH50" i="1"/>
  <c r="AI50" i="1"/>
  <c r="AH51" i="1"/>
  <c r="AI51" i="1"/>
  <c r="AH52" i="1"/>
  <c r="AI52" i="1"/>
  <c r="AN40" i="1"/>
  <c r="AM40" i="1"/>
  <c r="X49" i="1"/>
  <c r="Y49" i="1"/>
  <c r="Z49" i="1"/>
  <c r="AA49" i="1"/>
  <c r="AB49" i="1"/>
  <c r="AC49" i="1"/>
  <c r="AD49" i="1"/>
  <c r="AE49" i="1"/>
  <c r="AF49" i="1"/>
  <c r="AG49" i="1"/>
  <c r="AJ49" i="1"/>
  <c r="X48" i="1"/>
  <c r="Y48" i="1"/>
  <c r="Z48" i="1"/>
  <c r="AA48" i="1"/>
  <c r="AB48" i="1"/>
  <c r="AC48" i="1"/>
  <c r="AD48" i="1"/>
  <c r="AE48" i="1"/>
  <c r="AF48" i="1"/>
  <c r="AG48" i="1"/>
  <c r="AJ48" i="1"/>
  <c r="X45" i="1"/>
  <c r="Y45" i="1"/>
  <c r="Z45" i="1"/>
  <c r="AA45" i="1"/>
  <c r="AB45" i="1"/>
  <c r="AC45" i="1"/>
  <c r="AD45" i="1"/>
  <c r="AE45" i="1"/>
  <c r="AF45" i="1"/>
  <c r="AG45" i="1"/>
  <c r="X46" i="1"/>
  <c r="Y46" i="1"/>
  <c r="Z46" i="1"/>
  <c r="AA46" i="1"/>
  <c r="AB46" i="1"/>
  <c r="AC46" i="1"/>
  <c r="AD46" i="1"/>
  <c r="AE46" i="1"/>
  <c r="AF46" i="1"/>
  <c r="AG46" i="1"/>
  <c r="X47" i="1"/>
  <c r="Y47" i="1"/>
  <c r="Z47" i="1"/>
  <c r="AA47" i="1"/>
  <c r="AB47" i="1"/>
  <c r="AC47" i="1"/>
  <c r="AD47" i="1"/>
  <c r="AE47" i="1"/>
  <c r="AF47" i="1"/>
  <c r="AG47" i="1"/>
  <c r="X50" i="1"/>
  <c r="Y50" i="1"/>
  <c r="Z50" i="1"/>
  <c r="AA50" i="1"/>
  <c r="AB50" i="1"/>
  <c r="AC50" i="1"/>
  <c r="AD50" i="1"/>
  <c r="AE50" i="1"/>
  <c r="AF50" i="1"/>
  <c r="AG50" i="1"/>
  <c r="X51" i="1"/>
  <c r="Y51" i="1"/>
  <c r="Z51" i="1"/>
  <c r="AA51" i="1"/>
  <c r="AB51" i="1"/>
  <c r="AC51" i="1"/>
  <c r="AD51" i="1"/>
  <c r="AE51" i="1"/>
  <c r="AF51" i="1"/>
  <c r="AG51" i="1"/>
  <c r="X52" i="1"/>
  <c r="Y52" i="1"/>
  <c r="Z52" i="1"/>
  <c r="AA52" i="1"/>
  <c r="AB52" i="1"/>
  <c r="AC52" i="1"/>
  <c r="AD52" i="1"/>
  <c r="AE52" i="1"/>
  <c r="AF52" i="1"/>
  <c r="AG52" i="1"/>
  <c r="AJ46" i="1"/>
  <c r="AJ47" i="1"/>
  <c r="AJ50" i="1"/>
  <c r="AJ51" i="1"/>
  <c r="AJ52" i="1"/>
  <c r="AJ45" i="1"/>
  <c r="AE104" i="1" l="1"/>
  <c r="AF104" i="1"/>
  <c r="AG104" i="1"/>
  <c r="AH104" i="1"/>
  <c r="AI104" i="1"/>
  <c r="AJ104" i="1"/>
  <c r="AK104" i="1"/>
  <c r="AL104" i="1"/>
  <c r="AM104" i="1"/>
  <c r="AN104" i="1"/>
  <c r="AO104" i="1"/>
  <c r="AP104" i="1"/>
  <c r="AQ102" i="1" l="1"/>
  <c r="AR102" i="1"/>
  <c r="AS102" i="1"/>
  <c r="AT102" i="1"/>
  <c r="AU102" i="1"/>
  <c r="AV102" i="1"/>
  <c r="AR103" i="1"/>
  <c r="AS103" i="1"/>
  <c r="AT103" i="1"/>
  <c r="AU103" i="1"/>
  <c r="AV103" i="1"/>
  <c r="AQ104" i="1"/>
  <c r="AR104" i="1"/>
  <c r="AS104" i="1"/>
  <c r="AT104" i="1"/>
  <c r="AU104" i="1"/>
  <c r="AV104" i="1"/>
  <c r="E46" i="2" l="1"/>
  <c r="F46" i="2"/>
  <c r="G46" i="2"/>
  <c r="H46" i="2"/>
  <c r="I46" i="2"/>
  <c r="J46" i="2"/>
  <c r="K46" i="2"/>
  <c r="L46" i="2"/>
  <c r="M46" i="2"/>
  <c r="N46" i="2"/>
  <c r="O46" i="2"/>
  <c r="P46" i="2"/>
  <c r="Q46" i="2"/>
  <c r="R46" i="2"/>
  <c r="S46" i="2"/>
  <c r="T46" i="2"/>
  <c r="U46" i="2"/>
  <c r="V46" i="2"/>
  <c r="W46" i="2"/>
  <c r="X46" i="2"/>
  <c r="Y46" i="2"/>
  <c r="Z46" i="2"/>
  <c r="AA46" i="2"/>
  <c r="AB46" i="2"/>
  <c r="AC46" i="2"/>
  <c r="AD46" i="2"/>
  <c r="AE46" i="2"/>
  <c r="AF46" i="2"/>
  <c r="AG46" i="2"/>
  <c r="AH46" i="2"/>
  <c r="AI46" i="2"/>
  <c r="AJ46" i="2"/>
  <c r="AK46" i="2"/>
  <c r="AL46" i="2"/>
  <c r="AM46" i="2"/>
  <c r="AN46" i="2"/>
  <c r="AO46" i="2"/>
  <c r="AP46" i="2"/>
  <c r="AQ46" i="2"/>
  <c r="AR46" i="2"/>
  <c r="AS46" i="2"/>
  <c r="AT46" i="2"/>
  <c r="AU46" i="2"/>
  <c r="AV46" i="2"/>
  <c r="AW46" i="2"/>
  <c r="AX46" i="2"/>
  <c r="AY46" i="2"/>
  <c r="AZ46" i="2"/>
  <c r="BA46" i="2"/>
  <c r="BB46" i="2"/>
  <c r="E47" i="2"/>
  <c r="F47" i="2"/>
  <c r="G47" i="2"/>
  <c r="H47" i="2"/>
  <c r="I47" i="2"/>
  <c r="J47" i="2"/>
  <c r="K47" i="2"/>
  <c r="L47" i="2"/>
  <c r="M47" i="2"/>
  <c r="N47" i="2"/>
  <c r="O47" i="2"/>
  <c r="P47" i="2"/>
  <c r="Q47" i="2"/>
  <c r="R47" i="2"/>
  <c r="S47" i="2"/>
  <c r="T47" i="2"/>
  <c r="U47" i="2"/>
  <c r="V47" i="2"/>
  <c r="W47" i="2"/>
  <c r="X47" i="2"/>
  <c r="Y47" i="2"/>
  <c r="Z47" i="2"/>
  <c r="AA47" i="2"/>
  <c r="AB47" i="2"/>
  <c r="AC47" i="2"/>
  <c r="AD47" i="2"/>
  <c r="AE47" i="2"/>
  <c r="AF47" i="2"/>
  <c r="AG47" i="2"/>
  <c r="AH47" i="2"/>
  <c r="AI47" i="2"/>
  <c r="AJ47" i="2"/>
  <c r="AK47" i="2"/>
  <c r="AL47" i="2"/>
  <c r="AM47" i="2"/>
  <c r="AN47" i="2"/>
  <c r="AO47" i="2"/>
  <c r="AP47" i="2"/>
  <c r="AQ47" i="2"/>
  <c r="AR47" i="2"/>
  <c r="AS47" i="2"/>
  <c r="AT47" i="2"/>
  <c r="AU47" i="2"/>
  <c r="AV47" i="2"/>
  <c r="AW47" i="2"/>
  <c r="AX47" i="2"/>
  <c r="AY47" i="2"/>
  <c r="AZ47" i="2"/>
  <c r="BA47" i="2"/>
  <c r="BB47"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AG48" i="2"/>
  <c r="AH48" i="2"/>
  <c r="AI48" i="2"/>
  <c r="AJ48" i="2"/>
  <c r="AK48" i="2"/>
  <c r="AL48" i="2"/>
  <c r="AM48" i="2"/>
  <c r="AN48" i="2"/>
  <c r="AO48" i="2"/>
  <c r="AP48" i="2"/>
  <c r="AQ48" i="2"/>
  <c r="AR48" i="2"/>
  <c r="AS48" i="2"/>
  <c r="AT48" i="2"/>
  <c r="AU48" i="2"/>
  <c r="AV48" i="2"/>
  <c r="AW48" i="2"/>
  <c r="AX48" i="2"/>
  <c r="AY48" i="2"/>
  <c r="AZ48" i="2"/>
  <c r="BA48" i="2"/>
  <c r="BB48" i="2"/>
  <c r="E49" i="2"/>
  <c r="F49" i="2"/>
  <c r="G49" i="2"/>
  <c r="H49" i="2"/>
  <c r="I49" i="2"/>
  <c r="J49" i="2"/>
  <c r="K49" i="2"/>
  <c r="L49" i="2"/>
  <c r="M49" i="2"/>
  <c r="N49" i="2"/>
  <c r="O49" i="2"/>
  <c r="P49" i="2"/>
  <c r="Q49" i="2"/>
  <c r="R49" i="2"/>
  <c r="S49" i="2"/>
  <c r="T49" i="2"/>
  <c r="U49" i="2"/>
  <c r="V49" i="2"/>
  <c r="W49" i="2"/>
  <c r="X49" i="2"/>
  <c r="Y49" i="2"/>
  <c r="Z49" i="2"/>
  <c r="AA49" i="2"/>
  <c r="AB49" i="2"/>
  <c r="AC49" i="2"/>
  <c r="AD49" i="2"/>
  <c r="AE49" i="2"/>
  <c r="AF49" i="2"/>
  <c r="AG49" i="2"/>
  <c r="AH49" i="2"/>
  <c r="AI49" i="2"/>
  <c r="AJ49" i="2"/>
  <c r="AK49" i="2"/>
  <c r="AL49" i="2"/>
  <c r="AM49" i="2"/>
  <c r="AN49" i="2"/>
  <c r="AO49" i="2"/>
  <c r="AP49" i="2"/>
  <c r="AQ49" i="2"/>
  <c r="AR49" i="2"/>
  <c r="AS49" i="2"/>
  <c r="AT49" i="2"/>
  <c r="AU49" i="2"/>
  <c r="AV49" i="2"/>
  <c r="AW49" i="2"/>
  <c r="AX49" i="2"/>
  <c r="AY49" i="2"/>
  <c r="AZ49" i="2"/>
  <c r="BA49" i="2"/>
  <c r="BB49" i="2"/>
  <c r="E50" i="2"/>
  <c r="F50" i="2"/>
  <c r="G50" i="2"/>
  <c r="H50" i="2"/>
  <c r="I50" i="2"/>
  <c r="J50" i="2"/>
  <c r="K50" i="2"/>
  <c r="L50" i="2"/>
  <c r="M50" i="2"/>
  <c r="N50" i="2"/>
  <c r="O50" i="2"/>
  <c r="P50" i="2"/>
  <c r="Q50" i="2"/>
  <c r="R50" i="2"/>
  <c r="S50" i="2"/>
  <c r="T50" i="2"/>
  <c r="U50" i="2"/>
  <c r="V50" i="2"/>
  <c r="W50" i="2"/>
  <c r="X50" i="2"/>
  <c r="Y50" i="2"/>
  <c r="Z50" i="2"/>
  <c r="AA50" i="2"/>
  <c r="AB50" i="2"/>
  <c r="AC50" i="2"/>
  <c r="AD50" i="2"/>
  <c r="AE50" i="2"/>
  <c r="AF50" i="2"/>
  <c r="AG50" i="2"/>
  <c r="AH50" i="2"/>
  <c r="AI50" i="2"/>
  <c r="AJ50" i="2"/>
  <c r="AK50" i="2"/>
  <c r="AL50" i="2"/>
  <c r="AM50" i="2"/>
  <c r="AN50" i="2"/>
  <c r="AO50" i="2"/>
  <c r="AP50" i="2"/>
  <c r="AQ50" i="2"/>
  <c r="AR50" i="2"/>
  <c r="AS50" i="2"/>
  <c r="AT50" i="2"/>
  <c r="AU50" i="2"/>
  <c r="AV50" i="2"/>
  <c r="AW50" i="2"/>
  <c r="AX50" i="2"/>
  <c r="AY50" i="2"/>
  <c r="AZ50" i="2"/>
  <c r="BA50" i="2"/>
  <c r="BB50" i="2"/>
  <c r="E51" i="2"/>
  <c r="F51" i="2"/>
  <c r="G51" i="2"/>
  <c r="H51" i="2"/>
  <c r="I51" i="2"/>
  <c r="J51" i="2"/>
  <c r="K51" i="2"/>
  <c r="L51" i="2"/>
  <c r="M51" i="2"/>
  <c r="N51" i="2"/>
  <c r="O51" i="2"/>
  <c r="P51" i="2"/>
  <c r="Q51" i="2"/>
  <c r="R51" i="2"/>
  <c r="S51" i="2"/>
  <c r="T51" i="2"/>
  <c r="U51" i="2"/>
  <c r="V51" i="2"/>
  <c r="W51" i="2"/>
  <c r="X51" i="2"/>
  <c r="Y51" i="2"/>
  <c r="Z51" i="2"/>
  <c r="AA51" i="2"/>
  <c r="AB51" i="2"/>
  <c r="AC51" i="2"/>
  <c r="AD51" i="2"/>
  <c r="AE51" i="2"/>
  <c r="AF51" i="2"/>
  <c r="AG51" i="2"/>
  <c r="AH51" i="2"/>
  <c r="AI51" i="2"/>
  <c r="AJ51" i="2"/>
  <c r="AK51" i="2"/>
  <c r="AL51" i="2"/>
  <c r="AM51" i="2"/>
  <c r="AN51" i="2"/>
  <c r="AO51" i="2"/>
  <c r="AP51" i="2"/>
  <c r="AQ51" i="2"/>
  <c r="AR51" i="2"/>
  <c r="AS51" i="2"/>
  <c r="AT51" i="2"/>
  <c r="AU51" i="2"/>
  <c r="AV51" i="2"/>
  <c r="AW51" i="2"/>
  <c r="AX51" i="2"/>
  <c r="AY51" i="2"/>
  <c r="AZ51" i="2"/>
  <c r="BA51" i="2"/>
  <c r="BB51" i="2"/>
  <c r="E52" i="2"/>
  <c r="F52" i="2"/>
  <c r="G52" i="2"/>
  <c r="H52" i="2"/>
  <c r="I52" i="2"/>
  <c r="J52" i="2"/>
  <c r="K52" i="2"/>
  <c r="L52" i="2"/>
  <c r="M52" i="2"/>
  <c r="N52" i="2"/>
  <c r="O52" i="2"/>
  <c r="P52" i="2"/>
  <c r="Q52" i="2"/>
  <c r="R52" i="2"/>
  <c r="S52" i="2"/>
  <c r="T52" i="2"/>
  <c r="U52" i="2"/>
  <c r="V52" i="2"/>
  <c r="W52" i="2"/>
  <c r="X52" i="2"/>
  <c r="Y52" i="2"/>
  <c r="Z52" i="2"/>
  <c r="AA52" i="2"/>
  <c r="AB52" i="2"/>
  <c r="AC52" i="2"/>
  <c r="AD52" i="2"/>
  <c r="AE52" i="2"/>
  <c r="AF52" i="2"/>
  <c r="AG52" i="2"/>
  <c r="AH52" i="2"/>
  <c r="AI52" i="2"/>
  <c r="AJ52" i="2"/>
  <c r="AK52" i="2"/>
  <c r="AL52" i="2"/>
  <c r="AM52" i="2"/>
  <c r="AN52" i="2"/>
  <c r="AO52" i="2"/>
  <c r="AP52" i="2"/>
  <c r="AQ52" i="2"/>
  <c r="AR52" i="2"/>
  <c r="AS52" i="2"/>
  <c r="AT52" i="2"/>
  <c r="AU52" i="2"/>
  <c r="AV52" i="2"/>
  <c r="AW52" i="2"/>
  <c r="AX52" i="2"/>
  <c r="AY52" i="2"/>
  <c r="AZ52" i="2"/>
  <c r="BA52" i="2"/>
  <c r="BB52" i="2"/>
  <c r="E53" i="2"/>
  <c r="F53" i="2"/>
  <c r="G53" i="2"/>
  <c r="H53" i="2"/>
  <c r="I53" i="2"/>
  <c r="J53" i="2"/>
  <c r="K53" i="2"/>
  <c r="L53" i="2"/>
  <c r="M53" i="2"/>
  <c r="N53" i="2"/>
  <c r="O53" i="2"/>
  <c r="P53" i="2"/>
  <c r="Q53" i="2"/>
  <c r="R53" i="2"/>
  <c r="S53" i="2"/>
  <c r="T53" i="2"/>
  <c r="U53" i="2"/>
  <c r="V53" i="2"/>
  <c r="W53" i="2"/>
  <c r="X53" i="2"/>
  <c r="Y53" i="2"/>
  <c r="Z53" i="2"/>
  <c r="AA53" i="2"/>
  <c r="AB53" i="2"/>
  <c r="AC53" i="2"/>
  <c r="AD53" i="2"/>
  <c r="AE53" i="2"/>
  <c r="AF53" i="2"/>
  <c r="AG53" i="2"/>
  <c r="AH53" i="2"/>
  <c r="AI53" i="2"/>
  <c r="AJ53" i="2"/>
  <c r="AK53" i="2"/>
  <c r="AL53" i="2"/>
  <c r="AM53" i="2"/>
  <c r="AN53" i="2"/>
  <c r="AO53" i="2"/>
  <c r="AP53" i="2"/>
  <c r="AQ53" i="2"/>
  <c r="AR53" i="2"/>
  <c r="AS53" i="2"/>
  <c r="AT53" i="2"/>
  <c r="AU53" i="2"/>
  <c r="AV53" i="2"/>
  <c r="AW53" i="2"/>
  <c r="AX53" i="2"/>
  <c r="AY53" i="2"/>
  <c r="AZ53" i="2"/>
  <c r="BA53" i="2"/>
  <c r="BB53" i="2"/>
  <c r="E54" i="2"/>
  <c r="F54" i="2"/>
  <c r="G54" i="2"/>
  <c r="H54" i="2"/>
  <c r="I54" i="2"/>
  <c r="J54" i="2"/>
  <c r="K54" i="2"/>
  <c r="L54" i="2"/>
  <c r="M54" i="2"/>
  <c r="N54" i="2"/>
  <c r="O54" i="2"/>
  <c r="P54" i="2"/>
  <c r="Q54" i="2"/>
  <c r="R54" i="2"/>
  <c r="S54" i="2"/>
  <c r="T54" i="2"/>
  <c r="U54" i="2"/>
  <c r="V54" i="2"/>
  <c r="W54" i="2"/>
  <c r="X54" i="2"/>
  <c r="Y54" i="2"/>
  <c r="Z54" i="2"/>
  <c r="AA54" i="2"/>
  <c r="AB54" i="2"/>
  <c r="AC54" i="2"/>
  <c r="AD54" i="2"/>
  <c r="AE54" i="2"/>
  <c r="AF54" i="2"/>
  <c r="AG54" i="2"/>
  <c r="AH54" i="2"/>
  <c r="AI54" i="2"/>
  <c r="AJ54" i="2"/>
  <c r="AK54" i="2"/>
  <c r="AL54" i="2"/>
  <c r="AM54" i="2"/>
  <c r="AN54" i="2"/>
  <c r="AO54" i="2"/>
  <c r="AP54" i="2"/>
  <c r="AQ54" i="2"/>
  <c r="AR54" i="2"/>
  <c r="AS54" i="2"/>
  <c r="AT54" i="2"/>
  <c r="AU54" i="2"/>
  <c r="AV54" i="2"/>
  <c r="AW54" i="2"/>
  <c r="AX54" i="2"/>
  <c r="AY54" i="2"/>
  <c r="AZ54" i="2"/>
  <c r="BA54" i="2"/>
  <c r="BB54" i="2"/>
  <c r="E55" i="2"/>
  <c r="F55" i="2"/>
  <c r="G55" i="2"/>
  <c r="H55" i="2"/>
  <c r="I55" i="2"/>
  <c r="J55" i="2"/>
  <c r="K55" i="2"/>
  <c r="L55" i="2"/>
  <c r="M55" i="2"/>
  <c r="N55" i="2"/>
  <c r="O55" i="2"/>
  <c r="P55" i="2"/>
  <c r="Q55" i="2"/>
  <c r="R55" i="2"/>
  <c r="S55" i="2"/>
  <c r="T55" i="2"/>
  <c r="U55" i="2"/>
  <c r="V55" i="2"/>
  <c r="W55" i="2"/>
  <c r="X55" i="2"/>
  <c r="Y55" i="2"/>
  <c r="Z55" i="2"/>
  <c r="AA55" i="2"/>
  <c r="AB55" i="2"/>
  <c r="AC55" i="2"/>
  <c r="AD55" i="2"/>
  <c r="AE55" i="2"/>
  <c r="AF55" i="2"/>
  <c r="AG55" i="2"/>
  <c r="AH55" i="2"/>
  <c r="AI55" i="2"/>
  <c r="AJ55" i="2"/>
  <c r="AK55" i="2"/>
  <c r="AL55" i="2"/>
  <c r="AM55" i="2"/>
  <c r="AN55" i="2"/>
  <c r="AO55" i="2"/>
  <c r="AP55" i="2"/>
  <c r="AQ55" i="2"/>
  <c r="AR55" i="2"/>
  <c r="AS55" i="2"/>
  <c r="AT55" i="2"/>
  <c r="AU55" i="2"/>
  <c r="AV55" i="2"/>
  <c r="AW55" i="2"/>
  <c r="AX55" i="2"/>
  <c r="AY55" i="2"/>
  <c r="AZ55" i="2"/>
  <c r="BA55" i="2"/>
  <c r="BB55" i="2"/>
  <c r="E56" i="2"/>
  <c r="F56" i="2"/>
  <c r="G56" i="2"/>
  <c r="H56" i="2"/>
  <c r="I56" i="2"/>
  <c r="J56" i="2"/>
  <c r="K56" i="2"/>
  <c r="L56" i="2"/>
  <c r="M56" i="2"/>
  <c r="N56" i="2"/>
  <c r="O56" i="2"/>
  <c r="P56" i="2"/>
  <c r="Q56" i="2"/>
  <c r="R56" i="2"/>
  <c r="S56" i="2"/>
  <c r="T56" i="2"/>
  <c r="U56" i="2"/>
  <c r="V56" i="2"/>
  <c r="W56" i="2"/>
  <c r="X56" i="2"/>
  <c r="Y56" i="2"/>
  <c r="Z56" i="2"/>
  <c r="AA56" i="2"/>
  <c r="AB56" i="2"/>
  <c r="AC56" i="2"/>
  <c r="AD56" i="2"/>
  <c r="AE56" i="2"/>
  <c r="AF56" i="2"/>
  <c r="AG56" i="2"/>
  <c r="AH56" i="2"/>
  <c r="AI56" i="2"/>
  <c r="AJ56" i="2"/>
  <c r="AK56" i="2"/>
  <c r="AL56" i="2"/>
  <c r="AM56" i="2"/>
  <c r="AN56" i="2"/>
  <c r="AO56" i="2"/>
  <c r="AP56" i="2"/>
  <c r="AQ56" i="2"/>
  <c r="AR56" i="2"/>
  <c r="AS56" i="2"/>
  <c r="AT56" i="2"/>
  <c r="AU56" i="2"/>
  <c r="AV56" i="2"/>
  <c r="AW56" i="2"/>
  <c r="AX56" i="2"/>
  <c r="AY56" i="2"/>
  <c r="AZ56" i="2"/>
  <c r="BA56" i="2"/>
  <c r="BB56" i="2"/>
  <c r="E57" i="2"/>
  <c r="F57" i="2"/>
  <c r="G57" i="2"/>
  <c r="H57" i="2"/>
  <c r="I57" i="2"/>
  <c r="J57" i="2"/>
  <c r="K57" i="2"/>
  <c r="L57" i="2"/>
  <c r="M57" i="2"/>
  <c r="N57" i="2"/>
  <c r="O57" i="2"/>
  <c r="P57" i="2"/>
  <c r="Q57" i="2"/>
  <c r="R57" i="2"/>
  <c r="S57" i="2"/>
  <c r="T57" i="2"/>
  <c r="U57" i="2"/>
  <c r="V57" i="2"/>
  <c r="W57" i="2"/>
  <c r="X57" i="2"/>
  <c r="Y57" i="2"/>
  <c r="Z57" i="2"/>
  <c r="AA57" i="2"/>
  <c r="AB57" i="2"/>
  <c r="AC57" i="2"/>
  <c r="AD57" i="2"/>
  <c r="AE57" i="2"/>
  <c r="AF57" i="2"/>
  <c r="AG57" i="2"/>
  <c r="AH57" i="2"/>
  <c r="AI57" i="2"/>
  <c r="AJ57" i="2"/>
  <c r="AK57" i="2"/>
  <c r="AL57" i="2"/>
  <c r="AM57" i="2"/>
  <c r="AN57" i="2"/>
  <c r="AO57" i="2"/>
  <c r="AP57" i="2"/>
  <c r="AQ57" i="2"/>
  <c r="AR57" i="2"/>
  <c r="AS57" i="2"/>
  <c r="AT57" i="2"/>
  <c r="AU57" i="2"/>
  <c r="AV57" i="2"/>
  <c r="AW57" i="2"/>
  <c r="AX57" i="2"/>
  <c r="AY57" i="2"/>
  <c r="AZ57" i="2"/>
  <c r="BA57" i="2"/>
  <c r="BB57" i="2"/>
  <c r="E58" i="2"/>
  <c r="F58" i="2"/>
  <c r="G58" i="2"/>
  <c r="H58" i="2"/>
  <c r="I58" i="2"/>
  <c r="J58" i="2"/>
  <c r="K58" i="2"/>
  <c r="L58" i="2"/>
  <c r="M58" i="2"/>
  <c r="N58" i="2"/>
  <c r="O58" i="2"/>
  <c r="P58" i="2"/>
  <c r="Q58" i="2"/>
  <c r="R58" i="2"/>
  <c r="S58" i="2"/>
  <c r="T58" i="2"/>
  <c r="U58" i="2"/>
  <c r="V58" i="2"/>
  <c r="W58" i="2"/>
  <c r="X58" i="2"/>
  <c r="Y58" i="2"/>
  <c r="Z58" i="2"/>
  <c r="AA58" i="2"/>
  <c r="AB58" i="2"/>
  <c r="AC58" i="2"/>
  <c r="AD58" i="2"/>
  <c r="AE58" i="2"/>
  <c r="AF58" i="2"/>
  <c r="AG58" i="2"/>
  <c r="AH58" i="2"/>
  <c r="AI58" i="2"/>
  <c r="AJ58" i="2"/>
  <c r="AK58" i="2"/>
  <c r="AL58" i="2"/>
  <c r="AM58" i="2"/>
  <c r="AN58" i="2"/>
  <c r="AO58" i="2"/>
  <c r="AP58" i="2"/>
  <c r="AQ58" i="2"/>
  <c r="AR58" i="2"/>
  <c r="AS58" i="2"/>
  <c r="AT58" i="2"/>
  <c r="AU58" i="2"/>
  <c r="AV58" i="2"/>
  <c r="AW58" i="2"/>
  <c r="AX58" i="2"/>
  <c r="AY58" i="2"/>
  <c r="AZ58" i="2"/>
  <c r="BA58" i="2"/>
  <c r="BB58" i="2"/>
  <c r="E59" i="2"/>
  <c r="F59" i="2"/>
  <c r="G59" i="2"/>
  <c r="H59" i="2"/>
  <c r="I59" i="2"/>
  <c r="J59" i="2"/>
  <c r="K59" i="2"/>
  <c r="L59" i="2"/>
  <c r="M59" i="2"/>
  <c r="N59" i="2"/>
  <c r="O59" i="2"/>
  <c r="P59" i="2"/>
  <c r="Q59" i="2"/>
  <c r="R59" i="2"/>
  <c r="S59" i="2"/>
  <c r="T59" i="2"/>
  <c r="U59" i="2"/>
  <c r="V59" i="2"/>
  <c r="W59" i="2"/>
  <c r="X59" i="2"/>
  <c r="Y59" i="2"/>
  <c r="Z59" i="2"/>
  <c r="AA59" i="2"/>
  <c r="AB59" i="2"/>
  <c r="AC59" i="2"/>
  <c r="AD59" i="2"/>
  <c r="AE59" i="2"/>
  <c r="AF59" i="2"/>
  <c r="AG59" i="2"/>
  <c r="AH59" i="2"/>
  <c r="AI59" i="2"/>
  <c r="AJ59" i="2"/>
  <c r="AK59" i="2"/>
  <c r="AL59" i="2"/>
  <c r="AM59" i="2"/>
  <c r="AN59" i="2"/>
  <c r="AO59" i="2"/>
  <c r="AP59" i="2"/>
  <c r="AQ59" i="2"/>
  <c r="AR59" i="2"/>
  <c r="AS59" i="2"/>
  <c r="AT59" i="2"/>
  <c r="AU59" i="2"/>
  <c r="AV59" i="2"/>
  <c r="AW59" i="2"/>
  <c r="AX59" i="2"/>
  <c r="AY59" i="2"/>
  <c r="AZ59" i="2"/>
  <c r="BA59" i="2"/>
  <c r="BB59" i="2"/>
  <c r="E60" i="2"/>
  <c r="F60" i="2"/>
  <c r="G60" i="2"/>
  <c r="H60" i="2"/>
  <c r="I60" i="2"/>
  <c r="J60" i="2"/>
  <c r="K60" i="2"/>
  <c r="L60" i="2"/>
  <c r="M60" i="2"/>
  <c r="N60" i="2"/>
  <c r="O60" i="2"/>
  <c r="P60" i="2"/>
  <c r="Q60" i="2"/>
  <c r="R60" i="2"/>
  <c r="S60" i="2"/>
  <c r="T60" i="2"/>
  <c r="U60" i="2"/>
  <c r="V60" i="2"/>
  <c r="W60" i="2"/>
  <c r="X60" i="2"/>
  <c r="Y60" i="2"/>
  <c r="Z60" i="2"/>
  <c r="AA60" i="2"/>
  <c r="AB60" i="2"/>
  <c r="AC60" i="2"/>
  <c r="AD60" i="2"/>
  <c r="AE60" i="2"/>
  <c r="AF60" i="2"/>
  <c r="AG60" i="2"/>
  <c r="AH60" i="2"/>
  <c r="AI60" i="2"/>
  <c r="AJ60" i="2"/>
  <c r="AK60" i="2"/>
  <c r="AL60" i="2"/>
  <c r="AM60" i="2"/>
  <c r="AN60" i="2"/>
  <c r="AO60" i="2"/>
  <c r="AP60" i="2"/>
  <c r="AQ60" i="2"/>
  <c r="AR60" i="2"/>
  <c r="AS60" i="2"/>
  <c r="AT60" i="2"/>
  <c r="AU60" i="2"/>
  <c r="AV60" i="2"/>
  <c r="AW60" i="2"/>
  <c r="AX60" i="2"/>
  <c r="AY60" i="2"/>
  <c r="AZ60" i="2"/>
  <c r="BA60" i="2"/>
  <c r="BB60" i="2"/>
  <c r="E61" i="2"/>
  <c r="F61" i="2"/>
  <c r="G61" i="2"/>
  <c r="H61" i="2"/>
  <c r="I61" i="2"/>
  <c r="J61" i="2"/>
  <c r="K61" i="2"/>
  <c r="L61" i="2"/>
  <c r="M61" i="2"/>
  <c r="N61" i="2"/>
  <c r="O61" i="2"/>
  <c r="P61" i="2"/>
  <c r="Q61" i="2"/>
  <c r="R61" i="2"/>
  <c r="S61" i="2"/>
  <c r="T61" i="2"/>
  <c r="U61" i="2"/>
  <c r="V61" i="2"/>
  <c r="W61" i="2"/>
  <c r="X61" i="2"/>
  <c r="Y61" i="2"/>
  <c r="Z61" i="2"/>
  <c r="AA61" i="2"/>
  <c r="AB61" i="2"/>
  <c r="AC61" i="2"/>
  <c r="AD61" i="2"/>
  <c r="AE61" i="2"/>
  <c r="AF61" i="2"/>
  <c r="AG61" i="2"/>
  <c r="AH61" i="2"/>
  <c r="AI61" i="2"/>
  <c r="AJ61" i="2"/>
  <c r="AK61" i="2"/>
  <c r="AL61" i="2"/>
  <c r="AM61" i="2"/>
  <c r="AN61" i="2"/>
  <c r="AO61" i="2"/>
  <c r="AP61" i="2"/>
  <c r="AQ61" i="2"/>
  <c r="AR61" i="2"/>
  <c r="AS61" i="2"/>
  <c r="AT61" i="2"/>
  <c r="AU61" i="2"/>
  <c r="AV61" i="2"/>
  <c r="AW61" i="2"/>
  <c r="AX61" i="2"/>
  <c r="AY61" i="2"/>
  <c r="AZ61" i="2"/>
  <c r="BA61" i="2"/>
  <c r="BB61" i="2"/>
  <c r="E62" i="2"/>
  <c r="F62" i="2"/>
  <c r="G62" i="2"/>
  <c r="H62" i="2"/>
  <c r="I62" i="2"/>
  <c r="J62" i="2"/>
  <c r="K62" i="2"/>
  <c r="L62" i="2"/>
  <c r="M62" i="2"/>
  <c r="N62" i="2"/>
  <c r="O62" i="2"/>
  <c r="P62" i="2"/>
  <c r="Q62" i="2"/>
  <c r="R62" i="2"/>
  <c r="S62" i="2"/>
  <c r="T62" i="2"/>
  <c r="U62" i="2"/>
  <c r="V62" i="2"/>
  <c r="W62" i="2"/>
  <c r="X62" i="2"/>
  <c r="Y62" i="2"/>
  <c r="Z62" i="2"/>
  <c r="AA62" i="2"/>
  <c r="AB62" i="2"/>
  <c r="AC62" i="2"/>
  <c r="AD62" i="2"/>
  <c r="AE62" i="2"/>
  <c r="AF62" i="2"/>
  <c r="AG62" i="2"/>
  <c r="AH62" i="2"/>
  <c r="AI62" i="2"/>
  <c r="AJ62" i="2"/>
  <c r="AK62" i="2"/>
  <c r="AL62" i="2"/>
  <c r="AM62" i="2"/>
  <c r="AN62" i="2"/>
  <c r="AO62" i="2"/>
  <c r="AP62" i="2"/>
  <c r="AQ62" i="2"/>
  <c r="AR62" i="2"/>
  <c r="AS62" i="2"/>
  <c r="AT62" i="2"/>
  <c r="AU62" i="2"/>
  <c r="AV62" i="2"/>
  <c r="AW62" i="2"/>
  <c r="AX62" i="2"/>
  <c r="AY62" i="2"/>
  <c r="AZ62" i="2"/>
  <c r="BA62" i="2"/>
  <c r="BB62" i="2"/>
  <c r="E63" i="2"/>
  <c r="F63" i="2"/>
  <c r="G63" i="2"/>
  <c r="H63" i="2"/>
  <c r="I63" i="2"/>
  <c r="J63" i="2"/>
  <c r="K63" i="2"/>
  <c r="L63" i="2"/>
  <c r="M63" i="2"/>
  <c r="N63" i="2"/>
  <c r="O63" i="2"/>
  <c r="P63" i="2"/>
  <c r="Q63" i="2"/>
  <c r="R63" i="2"/>
  <c r="S63" i="2"/>
  <c r="T63" i="2"/>
  <c r="U63" i="2"/>
  <c r="V63" i="2"/>
  <c r="W63" i="2"/>
  <c r="X63" i="2"/>
  <c r="Y63" i="2"/>
  <c r="Z63" i="2"/>
  <c r="AA63" i="2"/>
  <c r="AB63" i="2"/>
  <c r="AC63" i="2"/>
  <c r="AD63" i="2"/>
  <c r="AE63" i="2"/>
  <c r="AF63" i="2"/>
  <c r="AG63" i="2"/>
  <c r="AH63" i="2"/>
  <c r="AI63" i="2"/>
  <c r="AJ63" i="2"/>
  <c r="AK63" i="2"/>
  <c r="AL63" i="2"/>
  <c r="AM63" i="2"/>
  <c r="AN63" i="2"/>
  <c r="AO63" i="2"/>
  <c r="AP63" i="2"/>
  <c r="AQ63" i="2"/>
  <c r="AR63" i="2"/>
  <c r="AS63" i="2"/>
  <c r="AT63" i="2"/>
  <c r="AU63" i="2"/>
  <c r="AV63" i="2"/>
  <c r="AW63" i="2"/>
  <c r="AX63" i="2"/>
  <c r="AY63" i="2"/>
  <c r="AZ63" i="2"/>
  <c r="BA63" i="2"/>
  <c r="BB63" i="2"/>
  <c r="BC47" i="2"/>
  <c r="BC48" i="2"/>
  <c r="BC49" i="2"/>
  <c r="BC50" i="2"/>
  <c r="BC51" i="2"/>
  <c r="BC52" i="2"/>
  <c r="BC53" i="2"/>
  <c r="BC54" i="2"/>
  <c r="BC55" i="2"/>
  <c r="BC56" i="2"/>
  <c r="BC57" i="2"/>
  <c r="BC58" i="2"/>
  <c r="BC59" i="2"/>
  <c r="BC60" i="2"/>
  <c r="BC61" i="2"/>
  <c r="BC62" i="2"/>
  <c r="BC63" i="2"/>
  <c r="BC46" i="2"/>
  <c r="BC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AG27" i="2"/>
  <c r="AH27" i="2"/>
  <c r="AI27" i="2"/>
  <c r="AJ27" i="2"/>
  <c r="AK27" i="2"/>
  <c r="AL27" i="2"/>
  <c r="AM27" i="2"/>
  <c r="AN27" i="2"/>
  <c r="AO27" i="2"/>
  <c r="AP27" i="2"/>
  <c r="AQ27" i="2"/>
  <c r="AR27" i="2"/>
  <c r="AS27" i="2"/>
  <c r="AT27" i="2"/>
  <c r="AU27" i="2"/>
  <c r="AV27" i="2"/>
  <c r="AW27" i="2"/>
  <c r="AX27" i="2"/>
  <c r="AY27" i="2"/>
  <c r="AZ27" i="2"/>
  <c r="BA27" i="2"/>
  <c r="BB27" i="2"/>
  <c r="F28" i="2"/>
  <c r="G28" i="2"/>
  <c r="H28" i="2"/>
  <c r="I28" i="2"/>
  <c r="J28" i="2"/>
  <c r="K28" i="2"/>
  <c r="L28" i="2"/>
  <c r="M28" i="2"/>
  <c r="N28" i="2"/>
  <c r="O28" i="2"/>
  <c r="P28" i="2"/>
  <c r="Q28" i="2"/>
  <c r="R28" i="2"/>
  <c r="S28" i="2"/>
  <c r="T28" i="2"/>
  <c r="U28" i="2"/>
  <c r="V28" i="2"/>
  <c r="W28" i="2"/>
  <c r="X28" i="2"/>
  <c r="Y28" i="2"/>
  <c r="Z28" i="2"/>
  <c r="AA28" i="2"/>
  <c r="AB28" i="2"/>
  <c r="AC28" i="2"/>
  <c r="AD28" i="2"/>
  <c r="AE28" i="2"/>
  <c r="AF28" i="2"/>
  <c r="AG28" i="2"/>
  <c r="AH28" i="2"/>
  <c r="AI28" i="2"/>
  <c r="AJ28" i="2"/>
  <c r="AK28" i="2"/>
  <c r="AL28" i="2"/>
  <c r="AM28" i="2"/>
  <c r="AN28" i="2"/>
  <c r="AO28" i="2"/>
  <c r="AP28" i="2"/>
  <c r="AQ28" i="2"/>
  <c r="AR28" i="2"/>
  <c r="AS28" i="2"/>
  <c r="AT28" i="2"/>
  <c r="AU28" i="2"/>
  <c r="AV28" i="2"/>
  <c r="AW28" i="2"/>
  <c r="AX28" i="2"/>
  <c r="AY28" i="2"/>
  <c r="AZ28" i="2"/>
  <c r="BA28" i="2"/>
  <c r="BB28" i="2"/>
  <c r="BC28" i="2"/>
  <c r="F29" i="2"/>
  <c r="G29" i="2"/>
  <c r="H29" i="2"/>
  <c r="I29" i="2"/>
  <c r="J29" i="2"/>
  <c r="K29" i="2"/>
  <c r="L29" i="2"/>
  <c r="M29" i="2"/>
  <c r="N29" i="2"/>
  <c r="O29" i="2"/>
  <c r="P29" i="2"/>
  <c r="Q29" i="2"/>
  <c r="R29" i="2"/>
  <c r="S29" i="2"/>
  <c r="T29" i="2"/>
  <c r="U29" i="2"/>
  <c r="V29" i="2"/>
  <c r="W29" i="2"/>
  <c r="X29" i="2"/>
  <c r="Y29" i="2"/>
  <c r="Z29" i="2"/>
  <c r="AA29" i="2"/>
  <c r="AB29" i="2"/>
  <c r="AC29" i="2"/>
  <c r="AD29" i="2"/>
  <c r="AE29" i="2"/>
  <c r="AF29" i="2"/>
  <c r="AG29" i="2"/>
  <c r="AH29" i="2"/>
  <c r="AI29" i="2"/>
  <c r="AJ29" i="2"/>
  <c r="AK29" i="2"/>
  <c r="AL29" i="2"/>
  <c r="AM29" i="2"/>
  <c r="AN29" i="2"/>
  <c r="AO29" i="2"/>
  <c r="AP29" i="2"/>
  <c r="AQ29" i="2"/>
  <c r="AR29" i="2"/>
  <c r="AS29" i="2"/>
  <c r="AT29" i="2"/>
  <c r="AU29" i="2"/>
  <c r="AV29" i="2"/>
  <c r="AW29" i="2"/>
  <c r="AX29" i="2"/>
  <c r="AY29" i="2"/>
  <c r="AZ29" i="2"/>
  <c r="BA29" i="2"/>
  <c r="BB29" i="2"/>
  <c r="BC29" i="2"/>
  <c r="F30" i="2"/>
  <c r="G30" i="2"/>
  <c r="H30" i="2"/>
  <c r="I30" i="2"/>
  <c r="J30" i="2"/>
  <c r="K30" i="2"/>
  <c r="L30" i="2"/>
  <c r="M30" i="2"/>
  <c r="N30" i="2"/>
  <c r="O30" i="2"/>
  <c r="P30" i="2"/>
  <c r="Q30" i="2"/>
  <c r="R30" i="2"/>
  <c r="S30" i="2"/>
  <c r="T30" i="2"/>
  <c r="U30" i="2"/>
  <c r="V30" i="2"/>
  <c r="W30" i="2"/>
  <c r="X30" i="2"/>
  <c r="Y30" i="2"/>
  <c r="Z30" i="2"/>
  <c r="AA30" i="2"/>
  <c r="AB30" i="2"/>
  <c r="AC30" i="2"/>
  <c r="AD30" i="2"/>
  <c r="AE30" i="2"/>
  <c r="AF30" i="2"/>
  <c r="AG30" i="2"/>
  <c r="AH30" i="2"/>
  <c r="AI30" i="2"/>
  <c r="AJ30" i="2"/>
  <c r="AK30" i="2"/>
  <c r="AL30" i="2"/>
  <c r="AM30" i="2"/>
  <c r="AN30" i="2"/>
  <c r="AO30" i="2"/>
  <c r="AP30" i="2"/>
  <c r="AQ30" i="2"/>
  <c r="AR30" i="2"/>
  <c r="AS30" i="2"/>
  <c r="AT30" i="2"/>
  <c r="AU30" i="2"/>
  <c r="AV30" i="2"/>
  <c r="AW30" i="2"/>
  <c r="AX30" i="2"/>
  <c r="AY30" i="2"/>
  <c r="AZ30" i="2"/>
  <c r="BA30" i="2"/>
  <c r="BB30" i="2"/>
  <c r="BC30"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AG31" i="2"/>
  <c r="AH31" i="2"/>
  <c r="AI31" i="2"/>
  <c r="AJ31" i="2"/>
  <c r="AK31" i="2"/>
  <c r="AL31" i="2"/>
  <c r="AM31" i="2"/>
  <c r="AN31" i="2"/>
  <c r="AO31" i="2"/>
  <c r="AP31" i="2"/>
  <c r="AQ31" i="2"/>
  <c r="AR31" i="2"/>
  <c r="AS31" i="2"/>
  <c r="AT31" i="2"/>
  <c r="AU31" i="2"/>
  <c r="AV31" i="2"/>
  <c r="AW31" i="2"/>
  <c r="AX31" i="2"/>
  <c r="AY31" i="2"/>
  <c r="AZ31" i="2"/>
  <c r="BA31" i="2"/>
  <c r="BB31" i="2"/>
  <c r="BC31" i="2"/>
  <c r="F32" i="2"/>
  <c r="G32" i="2"/>
  <c r="H32" i="2"/>
  <c r="I32" i="2"/>
  <c r="J32" i="2"/>
  <c r="K32" i="2"/>
  <c r="L32" i="2"/>
  <c r="M32" i="2"/>
  <c r="N32" i="2"/>
  <c r="O32" i="2"/>
  <c r="P32" i="2"/>
  <c r="Q32" i="2"/>
  <c r="R32" i="2"/>
  <c r="S32" i="2"/>
  <c r="T32" i="2"/>
  <c r="U32" i="2"/>
  <c r="V32" i="2"/>
  <c r="W32" i="2"/>
  <c r="X32" i="2"/>
  <c r="Y32" i="2"/>
  <c r="Z32" i="2"/>
  <c r="AA32" i="2"/>
  <c r="AB32" i="2"/>
  <c r="AC32" i="2"/>
  <c r="AD32" i="2"/>
  <c r="AE32" i="2"/>
  <c r="AF32" i="2"/>
  <c r="AG32" i="2"/>
  <c r="AH32" i="2"/>
  <c r="AI32" i="2"/>
  <c r="AJ32" i="2"/>
  <c r="AK32" i="2"/>
  <c r="AL32" i="2"/>
  <c r="AM32" i="2"/>
  <c r="AN32" i="2"/>
  <c r="AO32" i="2"/>
  <c r="AP32" i="2"/>
  <c r="AQ32" i="2"/>
  <c r="AR32" i="2"/>
  <c r="AS32" i="2"/>
  <c r="AT32" i="2"/>
  <c r="AU32" i="2"/>
  <c r="AV32" i="2"/>
  <c r="AW32" i="2"/>
  <c r="AX32" i="2"/>
  <c r="AY32" i="2"/>
  <c r="AZ32" i="2"/>
  <c r="BA32" i="2"/>
  <c r="BB32" i="2"/>
  <c r="BC32" i="2"/>
  <c r="F33" i="2"/>
  <c r="G33" i="2"/>
  <c r="H33" i="2"/>
  <c r="I33" i="2"/>
  <c r="J33" i="2"/>
  <c r="K33" i="2"/>
  <c r="L33" i="2"/>
  <c r="M33" i="2"/>
  <c r="N33" i="2"/>
  <c r="O33" i="2"/>
  <c r="P33" i="2"/>
  <c r="Q33" i="2"/>
  <c r="R33" i="2"/>
  <c r="S33" i="2"/>
  <c r="T33" i="2"/>
  <c r="U33" i="2"/>
  <c r="V33" i="2"/>
  <c r="W33" i="2"/>
  <c r="X33" i="2"/>
  <c r="Y33" i="2"/>
  <c r="Z33" i="2"/>
  <c r="AA33" i="2"/>
  <c r="AB33" i="2"/>
  <c r="AC33" i="2"/>
  <c r="AD33" i="2"/>
  <c r="AE33" i="2"/>
  <c r="AF33" i="2"/>
  <c r="AG33" i="2"/>
  <c r="AH33" i="2"/>
  <c r="AI33" i="2"/>
  <c r="AJ33" i="2"/>
  <c r="AK33" i="2"/>
  <c r="AL33" i="2"/>
  <c r="AM33" i="2"/>
  <c r="AN33" i="2"/>
  <c r="AO33" i="2"/>
  <c r="AP33" i="2"/>
  <c r="AQ33" i="2"/>
  <c r="AR33" i="2"/>
  <c r="AS33" i="2"/>
  <c r="AT33" i="2"/>
  <c r="AU33" i="2"/>
  <c r="AV33" i="2"/>
  <c r="AW33" i="2"/>
  <c r="AX33" i="2"/>
  <c r="AY33" i="2"/>
  <c r="AZ33" i="2"/>
  <c r="BA33" i="2"/>
  <c r="BB33" i="2"/>
  <c r="BC33" i="2"/>
  <c r="F34" i="2"/>
  <c r="G34" i="2"/>
  <c r="H34" i="2"/>
  <c r="I34" i="2"/>
  <c r="J34" i="2"/>
  <c r="K34" i="2"/>
  <c r="L34" i="2"/>
  <c r="M34" i="2"/>
  <c r="N34" i="2"/>
  <c r="O34" i="2"/>
  <c r="P34" i="2"/>
  <c r="Q34" i="2"/>
  <c r="R34" i="2"/>
  <c r="S34" i="2"/>
  <c r="T34" i="2"/>
  <c r="U34" i="2"/>
  <c r="V34" i="2"/>
  <c r="W34" i="2"/>
  <c r="X34" i="2"/>
  <c r="Y34" i="2"/>
  <c r="Z34" i="2"/>
  <c r="AA34" i="2"/>
  <c r="AB34" i="2"/>
  <c r="AC34" i="2"/>
  <c r="AD34" i="2"/>
  <c r="AE34" i="2"/>
  <c r="AF34" i="2"/>
  <c r="AG34" i="2"/>
  <c r="AH34" i="2"/>
  <c r="AI34" i="2"/>
  <c r="AJ34" i="2"/>
  <c r="AK34" i="2"/>
  <c r="AL34" i="2"/>
  <c r="AM34" i="2"/>
  <c r="AN34" i="2"/>
  <c r="AO34" i="2"/>
  <c r="AP34" i="2"/>
  <c r="AQ34" i="2"/>
  <c r="AR34" i="2"/>
  <c r="AS34" i="2"/>
  <c r="AT34" i="2"/>
  <c r="AU34" i="2"/>
  <c r="AV34" i="2"/>
  <c r="AW34" i="2"/>
  <c r="AX34" i="2"/>
  <c r="AY34" i="2"/>
  <c r="AZ34" i="2"/>
  <c r="BA34" i="2"/>
  <c r="BB34" i="2"/>
  <c r="BC34" i="2"/>
  <c r="F35" i="2"/>
  <c r="G35" i="2"/>
  <c r="H35" i="2"/>
  <c r="I35" i="2"/>
  <c r="J35" i="2"/>
  <c r="K35" i="2"/>
  <c r="L35" i="2"/>
  <c r="M35" i="2"/>
  <c r="N35" i="2"/>
  <c r="O35" i="2"/>
  <c r="P35" i="2"/>
  <c r="Q35" i="2"/>
  <c r="R35" i="2"/>
  <c r="S35" i="2"/>
  <c r="T35" i="2"/>
  <c r="U35" i="2"/>
  <c r="V35" i="2"/>
  <c r="W35" i="2"/>
  <c r="X35" i="2"/>
  <c r="Y35" i="2"/>
  <c r="Z35" i="2"/>
  <c r="AA35" i="2"/>
  <c r="AB35" i="2"/>
  <c r="AC35" i="2"/>
  <c r="AD35" i="2"/>
  <c r="AE35" i="2"/>
  <c r="AF35" i="2"/>
  <c r="AG35" i="2"/>
  <c r="AH35" i="2"/>
  <c r="AI35" i="2"/>
  <c r="AJ35" i="2"/>
  <c r="AK35" i="2"/>
  <c r="AL35" i="2"/>
  <c r="AM35" i="2"/>
  <c r="AN35" i="2"/>
  <c r="AO35" i="2"/>
  <c r="AP35" i="2"/>
  <c r="AQ35" i="2"/>
  <c r="AR35" i="2"/>
  <c r="AS35" i="2"/>
  <c r="AT35" i="2"/>
  <c r="AU35" i="2"/>
  <c r="AV35" i="2"/>
  <c r="AW35" i="2"/>
  <c r="AX35" i="2"/>
  <c r="AY35" i="2"/>
  <c r="AZ35" i="2"/>
  <c r="BA35" i="2"/>
  <c r="BB35" i="2"/>
  <c r="BC35" i="2"/>
  <c r="F36" i="2"/>
  <c r="G36" i="2"/>
  <c r="H36" i="2"/>
  <c r="I36" i="2"/>
  <c r="J36" i="2"/>
  <c r="K36" i="2"/>
  <c r="L36" i="2"/>
  <c r="M36" i="2"/>
  <c r="N36" i="2"/>
  <c r="O36" i="2"/>
  <c r="P36" i="2"/>
  <c r="Q36" i="2"/>
  <c r="R36" i="2"/>
  <c r="S36" i="2"/>
  <c r="T36" i="2"/>
  <c r="U36" i="2"/>
  <c r="V36" i="2"/>
  <c r="W36" i="2"/>
  <c r="X36" i="2"/>
  <c r="Y36" i="2"/>
  <c r="Z36" i="2"/>
  <c r="AA36" i="2"/>
  <c r="AB36" i="2"/>
  <c r="AC36" i="2"/>
  <c r="AD36" i="2"/>
  <c r="AE36" i="2"/>
  <c r="AF36" i="2"/>
  <c r="AG36" i="2"/>
  <c r="AH36" i="2"/>
  <c r="AI36" i="2"/>
  <c r="AJ36" i="2"/>
  <c r="AK36" i="2"/>
  <c r="AL36" i="2"/>
  <c r="AM36" i="2"/>
  <c r="AN36" i="2"/>
  <c r="AO36" i="2"/>
  <c r="AP36" i="2"/>
  <c r="AQ36" i="2"/>
  <c r="AR36" i="2"/>
  <c r="AS36" i="2"/>
  <c r="AT36" i="2"/>
  <c r="AU36" i="2"/>
  <c r="AV36" i="2"/>
  <c r="AW36" i="2"/>
  <c r="AX36" i="2"/>
  <c r="AY36" i="2"/>
  <c r="AZ36" i="2"/>
  <c r="BA36" i="2"/>
  <c r="BB36" i="2"/>
  <c r="BC36" i="2"/>
  <c r="F37" i="2"/>
  <c r="G37" i="2"/>
  <c r="H37" i="2"/>
  <c r="I37" i="2"/>
  <c r="J37" i="2"/>
  <c r="K37" i="2"/>
  <c r="L37" i="2"/>
  <c r="M37" i="2"/>
  <c r="N37" i="2"/>
  <c r="O37" i="2"/>
  <c r="P37" i="2"/>
  <c r="Q37" i="2"/>
  <c r="R37" i="2"/>
  <c r="S37" i="2"/>
  <c r="T37" i="2"/>
  <c r="U37" i="2"/>
  <c r="V37" i="2"/>
  <c r="W37" i="2"/>
  <c r="X37" i="2"/>
  <c r="Y37" i="2"/>
  <c r="Z37" i="2"/>
  <c r="AA37" i="2"/>
  <c r="AB37" i="2"/>
  <c r="AC37" i="2"/>
  <c r="AD37" i="2"/>
  <c r="AE37" i="2"/>
  <c r="AF37" i="2"/>
  <c r="AG37" i="2"/>
  <c r="AH37" i="2"/>
  <c r="AI37" i="2"/>
  <c r="AJ37" i="2"/>
  <c r="AK37" i="2"/>
  <c r="AL37" i="2"/>
  <c r="AM37" i="2"/>
  <c r="AN37" i="2"/>
  <c r="AO37" i="2"/>
  <c r="AP37" i="2"/>
  <c r="AQ37" i="2"/>
  <c r="AR37" i="2"/>
  <c r="AS37" i="2"/>
  <c r="AT37" i="2"/>
  <c r="AU37" i="2"/>
  <c r="AV37" i="2"/>
  <c r="AW37" i="2"/>
  <c r="AX37" i="2"/>
  <c r="AY37" i="2"/>
  <c r="AZ37" i="2"/>
  <c r="BA37" i="2"/>
  <c r="BB37" i="2"/>
  <c r="BC37" i="2"/>
  <c r="F38" i="2"/>
  <c r="G38" i="2"/>
  <c r="H38" i="2"/>
  <c r="I38" i="2"/>
  <c r="J38" i="2"/>
  <c r="K38" i="2"/>
  <c r="L38" i="2"/>
  <c r="M38" i="2"/>
  <c r="N38" i="2"/>
  <c r="O38" i="2"/>
  <c r="P38" i="2"/>
  <c r="Q38" i="2"/>
  <c r="R38" i="2"/>
  <c r="S38" i="2"/>
  <c r="T38" i="2"/>
  <c r="U38" i="2"/>
  <c r="V38" i="2"/>
  <c r="W38" i="2"/>
  <c r="X38" i="2"/>
  <c r="Y38" i="2"/>
  <c r="Z38" i="2"/>
  <c r="AA38" i="2"/>
  <c r="AB38" i="2"/>
  <c r="AC38" i="2"/>
  <c r="AD38" i="2"/>
  <c r="AE38" i="2"/>
  <c r="AF38" i="2"/>
  <c r="AG38" i="2"/>
  <c r="AH38" i="2"/>
  <c r="AI38" i="2"/>
  <c r="AJ38" i="2"/>
  <c r="AK38" i="2"/>
  <c r="AL38" i="2"/>
  <c r="AM38" i="2"/>
  <c r="AN38" i="2"/>
  <c r="AO38" i="2"/>
  <c r="AP38" i="2"/>
  <c r="AQ38" i="2"/>
  <c r="AR38" i="2"/>
  <c r="AS38" i="2"/>
  <c r="AT38" i="2"/>
  <c r="AU38" i="2"/>
  <c r="AV38" i="2"/>
  <c r="AW38" i="2"/>
  <c r="AX38" i="2"/>
  <c r="AY38" i="2"/>
  <c r="AZ38" i="2"/>
  <c r="BA38" i="2"/>
  <c r="BB38" i="2"/>
  <c r="BC38" i="2"/>
  <c r="F39" i="2"/>
  <c r="G39" i="2"/>
  <c r="H39" i="2"/>
  <c r="I39" i="2"/>
  <c r="J39" i="2"/>
  <c r="K39" i="2"/>
  <c r="L39" i="2"/>
  <c r="M39" i="2"/>
  <c r="N39" i="2"/>
  <c r="O39" i="2"/>
  <c r="P39" i="2"/>
  <c r="Q39" i="2"/>
  <c r="R39" i="2"/>
  <c r="S39" i="2"/>
  <c r="T39" i="2"/>
  <c r="U39" i="2"/>
  <c r="V39" i="2"/>
  <c r="W39" i="2"/>
  <c r="X39" i="2"/>
  <c r="Y39" i="2"/>
  <c r="Z39" i="2"/>
  <c r="AA39" i="2"/>
  <c r="AB39" i="2"/>
  <c r="AC39" i="2"/>
  <c r="AD39" i="2"/>
  <c r="AE39" i="2"/>
  <c r="AF39" i="2"/>
  <c r="AG39" i="2"/>
  <c r="AH39" i="2"/>
  <c r="AI39" i="2"/>
  <c r="AJ39" i="2"/>
  <c r="AK39" i="2"/>
  <c r="AL39" i="2"/>
  <c r="AM39" i="2"/>
  <c r="AN39" i="2"/>
  <c r="AO39" i="2"/>
  <c r="AP39" i="2"/>
  <c r="AQ39" i="2"/>
  <c r="AR39" i="2"/>
  <c r="AS39" i="2"/>
  <c r="AT39" i="2"/>
  <c r="AU39" i="2"/>
  <c r="AV39" i="2"/>
  <c r="AW39" i="2"/>
  <c r="AX39" i="2"/>
  <c r="AY39" i="2"/>
  <c r="AZ39" i="2"/>
  <c r="BA39" i="2"/>
  <c r="BB39" i="2"/>
  <c r="BC39" i="2"/>
  <c r="F40" i="2"/>
  <c r="G40" i="2"/>
  <c r="H40" i="2"/>
  <c r="I40" i="2"/>
  <c r="J40" i="2"/>
  <c r="K40" i="2"/>
  <c r="L40" i="2"/>
  <c r="M40" i="2"/>
  <c r="N40" i="2"/>
  <c r="O40" i="2"/>
  <c r="P40" i="2"/>
  <c r="Q40" i="2"/>
  <c r="R40" i="2"/>
  <c r="S40" i="2"/>
  <c r="T40" i="2"/>
  <c r="U40" i="2"/>
  <c r="V40" i="2"/>
  <c r="W40" i="2"/>
  <c r="X40" i="2"/>
  <c r="Y40" i="2"/>
  <c r="Z40" i="2"/>
  <c r="AA40" i="2"/>
  <c r="AB40" i="2"/>
  <c r="AC40" i="2"/>
  <c r="AD40" i="2"/>
  <c r="AE40" i="2"/>
  <c r="AF40" i="2"/>
  <c r="AG40" i="2"/>
  <c r="AH40" i="2"/>
  <c r="AI40" i="2"/>
  <c r="AJ40" i="2"/>
  <c r="AK40" i="2"/>
  <c r="AL40" i="2"/>
  <c r="AM40" i="2"/>
  <c r="AN40" i="2"/>
  <c r="AO40" i="2"/>
  <c r="AP40" i="2"/>
  <c r="AQ40" i="2"/>
  <c r="AR40" i="2"/>
  <c r="AS40" i="2"/>
  <c r="AT40" i="2"/>
  <c r="AU40" i="2"/>
  <c r="AV40" i="2"/>
  <c r="AW40" i="2"/>
  <c r="AX40" i="2"/>
  <c r="AY40" i="2"/>
  <c r="AZ40" i="2"/>
  <c r="BA40" i="2"/>
  <c r="BB40" i="2"/>
  <c r="BC40"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AG41" i="2"/>
  <c r="AH41" i="2"/>
  <c r="AI41" i="2"/>
  <c r="AJ41" i="2"/>
  <c r="AK41" i="2"/>
  <c r="AL41" i="2"/>
  <c r="AM41" i="2"/>
  <c r="AN41" i="2"/>
  <c r="AO41" i="2"/>
  <c r="AP41" i="2"/>
  <c r="AQ41" i="2"/>
  <c r="AR41" i="2"/>
  <c r="AS41" i="2"/>
  <c r="AT41" i="2"/>
  <c r="AU41" i="2"/>
  <c r="AV41" i="2"/>
  <c r="AW41" i="2"/>
  <c r="AX41" i="2"/>
  <c r="AY41" i="2"/>
  <c r="AZ41" i="2"/>
  <c r="BA41" i="2"/>
  <c r="BB41" i="2"/>
  <c r="BC41"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AG42" i="2"/>
  <c r="AH42" i="2"/>
  <c r="AI42" i="2"/>
  <c r="AJ42" i="2"/>
  <c r="AK42" i="2"/>
  <c r="AL42" i="2"/>
  <c r="AM42" i="2"/>
  <c r="AN42" i="2"/>
  <c r="AO42" i="2"/>
  <c r="AP42" i="2"/>
  <c r="AQ42" i="2"/>
  <c r="AR42" i="2"/>
  <c r="AS42" i="2"/>
  <c r="AT42" i="2"/>
  <c r="AU42" i="2"/>
  <c r="AV42" i="2"/>
  <c r="AW42" i="2"/>
  <c r="AX42" i="2"/>
  <c r="AY42" i="2"/>
  <c r="AZ42" i="2"/>
  <c r="BA42" i="2"/>
  <c r="BB42" i="2"/>
  <c r="BC42" i="2"/>
  <c r="F43" i="2"/>
  <c r="G43" i="2"/>
  <c r="H43" i="2"/>
  <c r="I43" i="2"/>
  <c r="J43" i="2"/>
  <c r="K43" i="2"/>
  <c r="L43" i="2"/>
  <c r="M43" i="2"/>
  <c r="N43" i="2"/>
  <c r="O43" i="2"/>
  <c r="P43" i="2"/>
  <c r="Q43" i="2"/>
  <c r="R43" i="2"/>
  <c r="S43" i="2"/>
  <c r="T43" i="2"/>
  <c r="U43" i="2"/>
  <c r="V43" i="2"/>
  <c r="W43" i="2"/>
  <c r="X43" i="2"/>
  <c r="Y43" i="2"/>
  <c r="Z43" i="2"/>
  <c r="AA43" i="2"/>
  <c r="AB43" i="2"/>
  <c r="AC43" i="2"/>
  <c r="AD43" i="2"/>
  <c r="AE43" i="2"/>
  <c r="AF43" i="2"/>
  <c r="AG43" i="2"/>
  <c r="AH43" i="2"/>
  <c r="AI43" i="2"/>
  <c r="AJ43" i="2"/>
  <c r="AK43" i="2"/>
  <c r="AL43" i="2"/>
  <c r="AM43" i="2"/>
  <c r="AN43" i="2"/>
  <c r="AO43" i="2"/>
  <c r="AP43" i="2"/>
  <c r="AQ43" i="2"/>
  <c r="AR43" i="2"/>
  <c r="AS43" i="2"/>
  <c r="AT43" i="2"/>
  <c r="AU43" i="2"/>
  <c r="AV43" i="2"/>
  <c r="AW43" i="2"/>
  <c r="AX43" i="2"/>
  <c r="AY43" i="2"/>
  <c r="AZ43" i="2"/>
  <c r="BA43" i="2"/>
  <c r="BB43" i="2"/>
  <c r="BC43" i="2"/>
  <c r="F44" i="2"/>
  <c r="G44" i="2"/>
  <c r="H44" i="2"/>
  <c r="I44" i="2"/>
  <c r="J44" i="2"/>
  <c r="K44" i="2"/>
  <c r="L44" i="2"/>
  <c r="M44" i="2"/>
  <c r="N44" i="2"/>
  <c r="O44" i="2"/>
  <c r="P44" i="2"/>
  <c r="Q44" i="2"/>
  <c r="R44" i="2"/>
  <c r="S44" i="2"/>
  <c r="T44" i="2"/>
  <c r="U44" i="2"/>
  <c r="V44" i="2"/>
  <c r="W44" i="2"/>
  <c r="X44" i="2"/>
  <c r="Y44" i="2"/>
  <c r="Z44" i="2"/>
  <c r="AA44" i="2"/>
  <c r="AB44" i="2"/>
  <c r="AC44" i="2"/>
  <c r="AD44" i="2"/>
  <c r="AE44" i="2"/>
  <c r="AF44" i="2"/>
  <c r="AG44" i="2"/>
  <c r="AH44" i="2"/>
  <c r="AI44" i="2"/>
  <c r="AJ44" i="2"/>
  <c r="AK44" i="2"/>
  <c r="AL44" i="2"/>
  <c r="AM44" i="2"/>
  <c r="AN44" i="2"/>
  <c r="AO44" i="2"/>
  <c r="AP44" i="2"/>
  <c r="AQ44" i="2"/>
  <c r="AR44" i="2"/>
  <c r="AS44" i="2"/>
  <c r="AT44" i="2"/>
  <c r="AU44" i="2"/>
  <c r="AV44" i="2"/>
  <c r="AW44" i="2"/>
  <c r="AX44" i="2"/>
  <c r="AY44" i="2"/>
  <c r="AZ44" i="2"/>
  <c r="BA44" i="2"/>
  <c r="BB44" i="2"/>
  <c r="BC44" i="2"/>
  <c r="E28" i="2"/>
  <c r="E29" i="2"/>
  <c r="E30" i="2"/>
  <c r="E31" i="2"/>
  <c r="E32" i="2"/>
  <c r="E33" i="2"/>
  <c r="E34" i="2"/>
  <c r="E35" i="2"/>
  <c r="E36" i="2"/>
  <c r="E37" i="2"/>
  <c r="E38" i="2"/>
  <c r="E39" i="2"/>
  <c r="E40" i="2"/>
  <c r="E41" i="2"/>
  <c r="E42" i="2"/>
  <c r="E43" i="2"/>
  <c r="E44" i="2"/>
  <c r="E27" i="2"/>
  <c r="E66" i="2"/>
  <c r="E67" i="2"/>
  <c r="E68" i="2"/>
  <c r="E69" i="2"/>
  <c r="E70" i="2"/>
  <c r="E71" i="2"/>
  <c r="E72" i="2"/>
  <c r="E73" i="2"/>
  <c r="E74" i="2"/>
  <c r="E75" i="2"/>
  <c r="E76" i="2"/>
  <c r="E77" i="2"/>
  <c r="E78" i="2"/>
  <c r="E79" i="2"/>
  <c r="E80" i="2"/>
  <c r="E81" i="2"/>
  <c r="E82" i="2"/>
  <c r="E83" i="2"/>
  <c r="D68" i="4"/>
  <c r="AB43" i="4"/>
  <c r="AC43" i="4"/>
  <c r="AD43" i="4"/>
  <c r="AE43" i="4"/>
  <c r="AF43" i="4"/>
  <c r="AG43" i="4"/>
  <c r="AH43" i="4"/>
  <c r="AI43" i="4"/>
  <c r="AJ43" i="4"/>
  <c r="AK43" i="4"/>
  <c r="AL43" i="4"/>
  <c r="AM43" i="4"/>
  <c r="AN43" i="4"/>
  <c r="AO43" i="4"/>
  <c r="AP43" i="4"/>
  <c r="AQ43" i="4"/>
  <c r="AR43" i="4"/>
  <c r="AS43" i="4"/>
  <c r="AT43" i="4"/>
  <c r="AU43" i="4"/>
  <c r="AV43" i="4"/>
  <c r="AW43" i="4"/>
  <c r="AX43" i="4"/>
  <c r="AY43" i="4"/>
  <c r="AZ43" i="4"/>
  <c r="BA43" i="4"/>
  <c r="BB43" i="4"/>
  <c r="BC43" i="4"/>
  <c r="AB44" i="4"/>
  <c r="AC44" i="4"/>
  <c r="AD44" i="4"/>
  <c r="AE44" i="4"/>
  <c r="AF44" i="4"/>
  <c r="AG44" i="4"/>
  <c r="AH44" i="4"/>
  <c r="AI44" i="4"/>
  <c r="AJ44" i="4"/>
  <c r="AK44" i="4"/>
  <c r="AL44" i="4"/>
  <c r="AM44" i="4"/>
  <c r="AN44" i="4"/>
  <c r="AO44" i="4"/>
  <c r="AP44" i="4"/>
  <c r="AQ44" i="4"/>
  <c r="AR44" i="4"/>
  <c r="AS44" i="4"/>
  <c r="AT44" i="4"/>
  <c r="AU44" i="4"/>
  <c r="AV44" i="4"/>
  <c r="AW44" i="4"/>
  <c r="AX44" i="4"/>
  <c r="AY44" i="4"/>
  <c r="AZ44" i="4"/>
  <c r="BA44" i="4"/>
  <c r="BB44" i="4"/>
  <c r="BC44" i="4"/>
  <c r="AB45" i="4"/>
  <c r="AC45" i="4"/>
  <c r="AD45" i="4"/>
  <c r="AE45" i="4"/>
  <c r="AF45" i="4"/>
  <c r="AG45" i="4"/>
  <c r="AH45" i="4"/>
  <c r="AI45" i="4"/>
  <c r="AJ45" i="4"/>
  <c r="AK45" i="4"/>
  <c r="AL45" i="4"/>
  <c r="AM45" i="4"/>
  <c r="AN45" i="4"/>
  <c r="AO45" i="4"/>
  <c r="AP45" i="4"/>
  <c r="AQ45" i="4"/>
  <c r="AR45" i="4"/>
  <c r="AS45" i="4"/>
  <c r="AT45" i="4"/>
  <c r="AU45" i="4"/>
  <c r="AV45" i="4"/>
  <c r="AW45" i="4"/>
  <c r="AX45" i="4"/>
  <c r="AY45" i="4"/>
  <c r="AZ45" i="4"/>
  <c r="BA45" i="4"/>
  <c r="BB45" i="4"/>
  <c r="BC45" i="4"/>
  <c r="AB46" i="4"/>
  <c r="AC46" i="4"/>
  <c r="AD46" i="4"/>
  <c r="AE46" i="4"/>
  <c r="AF46" i="4"/>
  <c r="AG46" i="4"/>
  <c r="AH46" i="4"/>
  <c r="AI46" i="4"/>
  <c r="AJ46" i="4"/>
  <c r="AK46" i="4"/>
  <c r="AL46" i="4"/>
  <c r="AM46" i="4"/>
  <c r="AN46" i="4"/>
  <c r="AO46" i="4"/>
  <c r="AP46" i="4"/>
  <c r="AQ46" i="4"/>
  <c r="AR46" i="4"/>
  <c r="AS46" i="4"/>
  <c r="AT46" i="4"/>
  <c r="AU46" i="4"/>
  <c r="AV46" i="4"/>
  <c r="AW46" i="4"/>
  <c r="AX46" i="4"/>
  <c r="AY46" i="4"/>
  <c r="AZ46" i="4"/>
  <c r="BA46" i="4"/>
  <c r="BB46" i="4"/>
  <c r="BC46" i="4"/>
  <c r="AB47" i="4"/>
  <c r="AC47" i="4"/>
  <c r="AD47" i="4"/>
  <c r="AE47" i="4"/>
  <c r="AF47" i="4"/>
  <c r="AG47" i="4"/>
  <c r="AH47" i="4"/>
  <c r="AI47" i="4"/>
  <c r="AJ47" i="4"/>
  <c r="AK47" i="4"/>
  <c r="AL47" i="4"/>
  <c r="AM47" i="4"/>
  <c r="AN47" i="4"/>
  <c r="AO47" i="4"/>
  <c r="AP47" i="4"/>
  <c r="AQ47" i="4"/>
  <c r="AR47" i="4"/>
  <c r="AS47" i="4"/>
  <c r="AT47" i="4"/>
  <c r="AU47" i="4"/>
  <c r="AV47" i="4"/>
  <c r="AW47" i="4"/>
  <c r="AX47" i="4"/>
  <c r="AY47" i="4"/>
  <c r="AZ47" i="4"/>
  <c r="BA47" i="4"/>
  <c r="BB47" i="4"/>
  <c r="BC47" i="4"/>
  <c r="AB48" i="4"/>
  <c r="AC48" i="4"/>
  <c r="AD48" i="4"/>
  <c r="AE48" i="4"/>
  <c r="AF48" i="4"/>
  <c r="AG48" i="4"/>
  <c r="AH48" i="4"/>
  <c r="AI48" i="4"/>
  <c r="AJ48" i="4"/>
  <c r="AK48" i="4"/>
  <c r="AL48" i="4"/>
  <c r="AM48" i="4"/>
  <c r="AN48" i="4"/>
  <c r="AO48" i="4"/>
  <c r="AP48" i="4"/>
  <c r="AQ48" i="4"/>
  <c r="AR48" i="4"/>
  <c r="AS48" i="4"/>
  <c r="AT48" i="4"/>
  <c r="AU48" i="4"/>
  <c r="AV48" i="4"/>
  <c r="AW48" i="4"/>
  <c r="AX48" i="4"/>
  <c r="AY48" i="4"/>
  <c r="AZ48" i="4"/>
  <c r="BA48" i="4"/>
  <c r="BB48" i="4"/>
  <c r="BC48" i="4"/>
  <c r="AB49" i="4"/>
  <c r="AC49" i="4"/>
  <c r="AD49" i="4"/>
  <c r="AE49" i="4"/>
  <c r="AF49" i="4"/>
  <c r="AG49" i="4"/>
  <c r="AH49" i="4"/>
  <c r="AI49" i="4"/>
  <c r="AJ49" i="4"/>
  <c r="AK49" i="4"/>
  <c r="AL49" i="4"/>
  <c r="AM49" i="4"/>
  <c r="AN49" i="4"/>
  <c r="AO49" i="4"/>
  <c r="AP49" i="4"/>
  <c r="AQ49" i="4"/>
  <c r="AR49" i="4"/>
  <c r="AS49" i="4"/>
  <c r="AT49" i="4"/>
  <c r="AU49" i="4"/>
  <c r="AV49" i="4"/>
  <c r="AW49" i="4"/>
  <c r="AX49" i="4"/>
  <c r="AY49" i="4"/>
  <c r="AZ49" i="4"/>
  <c r="BA49" i="4"/>
  <c r="BB49" i="4"/>
  <c r="BC49" i="4"/>
  <c r="AB50" i="4"/>
  <c r="AC50" i="4"/>
  <c r="AD50" i="4"/>
  <c r="AE50" i="4"/>
  <c r="AF50" i="4"/>
  <c r="AG50" i="4"/>
  <c r="AH50" i="4"/>
  <c r="AI50" i="4"/>
  <c r="AJ50" i="4"/>
  <c r="AK50" i="4"/>
  <c r="AL50" i="4"/>
  <c r="AM50" i="4"/>
  <c r="AN50" i="4"/>
  <c r="AO50" i="4"/>
  <c r="AP50" i="4"/>
  <c r="AQ50" i="4"/>
  <c r="AR50" i="4"/>
  <c r="AS50" i="4"/>
  <c r="AT50" i="4"/>
  <c r="AU50" i="4"/>
  <c r="AV50" i="4"/>
  <c r="AW50" i="4"/>
  <c r="AX50" i="4"/>
  <c r="AY50" i="4"/>
  <c r="AZ50" i="4"/>
  <c r="BA50" i="4"/>
  <c r="BB50" i="4"/>
  <c r="BC50" i="4"/>
  <c r="AB51" i="4"/>
  <c r="AC51" i="4"/>
  <c r="AD51" i="4"/>
  <c r="AE51" i="4"/>
  <c r="AF51" i="4"/>
  <c r="AG51" i="4"/>
  <c r="AH51" i="4"/>
  <c r="AI51" i="4"/>
  <c r="AJ51" i="4"/>
  <c r="AK51" i="4"/>
  <c r="AL51" i="4"/>
  <c r="AM51" i="4"/>
  <c r="AN51" i="4"/>
  <c r="AO51" i="4"/>
  <c r="AP51" i="4"/>
  <c r="AQ51" i="4"/>
  <c r="AR51" i="4"/>
  <c r="AS51" i="4"/>
  <c r="AT51" i="4"/>
  <c r="AU51" i="4"/>
  <c r="AV51" i="4"/>
  <c r="AW51" i="4"/>
  <c r="AX51" i="4"/>
  <c r="AY51" i="4"/>
  <c r="AZ51" i="4"/>
  <c r="BA51" i="4"/>
  <c r="BB51" i="4"/>
  <c r="BC51" i="4"/>
  <c r="AB52" i="4"/>
  <c r="AC52" i="4"/>
  <c r="AD52" i="4"/>
  <c r="AE52" i="4"/>
  <c r="AF52" i="4"/>
  <c r="AG52" i="4"/>
  <c r="AH52" i="4"/>
  <c r="AI52" i="4"/>
  <c r="AJ52" i="4"/>
  <c r="AK52" i="4"/>
  <c r="AL52" i="4"/>
  <c r="AM52" i="4"/>
  <c r="AN52" i="4"/>
  <c r="AO52" i="4"/>
  <c r="AP52" i="4"/>
  <c r="AQ52" i="4"/>
  <c r="AR52" i="4"/>
  <c r="AS52" i="4"/>
  <c r="AT52" i="4"/>
  <c r="AU52" i="4"/>
  <c r="AV52" i="4"/>
  <c r="AW52" i="4"/>
  <c r="AX52" i="4"/>
  <c r="AY52" i="4"/>
  <c r="AZ52" i="4"/>
  <c r="BA52" i="4"/>
  <c r="BB52" i="4"/>
  <c r="BC52" i="4"/>
  <c r="AB53" i="4"/>
  <c r="AC53" i="4"/>
  <c r="AD53" i="4"/>
  <c r="AE53" i="4"/>
  <c r="AF53" i="4"/>
  <c r="AG53" i="4"/>
  <c r="AH53" i="4"/>
  <c r="AI53" i="4"/>
  <c r="AJ53" i="4"/>
  <c r="AK53" i="4"/>
  <c r="AL53" i="4"/>
  <c r="AM53" i="4"/>
  <c r="AN53" i="4"/>
  <c r="AO53" i="4"/>
  <c r="AP53" i="4"/>
  <c r="AQ53" i="4"/>
  <c r="AR53" i="4"/>
  <c r="AS53" i="4"/>
  <c r="AT53" i="4"/>
  <c r="AU53" i="4"/>
  <c r="AV53" i="4"/>
  <c r="AW53" i="4"/>
  <c r="AX53" i="4"/>
  <c r="AY53" i="4"/>
  <c r="AZ53" i="4"/>
  <c r="BA53" i="4"/>
  <c r="BB53" i="4"/>
  <c r="BC53" i="4"/>
  <c r="AB54" i="4"/>
  <c r="AC54" i="4"/>
  <c r="AD54" i="4"/>
  <c r="AE54" i="4"/>
  <c r="AF54" i="4"/>
  <c r="AG54" i="4"/>
  <c r="AH54" i="4"/>
  <c r="AI54" i="4"/>
  <c r="AJ54" i="4"/>
  <c r="AK54" i="4"/>
  <c r="AL54" i="4"/>
  <c r="AM54" i="4"/>
  <c r="AN54" i="4"/>
  <c r="AO54" i="4"/>
  <c r="AP54" i="4"/>
  <c r="AQ54" i="4"/>
  <c r="AR54" i="4"/>
  <c r="AS54" i="4"/>
  <c r="AT54" i="4"/>
  <c r="AU54" i="4"/>
  <c r="AV54" i="4"/>
  <c r="AW54" i="4"/>
  <c r="AX54" i="4"/>
  <c r="AY54" i="4"/>
  <c r="AZ54" i="4"/>
  <c r="BA54" i="4"/>
  <c r="BB54" i="4"/>
  <c r="BC54" i="4"/>
  <c r="AB55" i="4"/>
  <c r="AC55" i="4"/>
  <c r="AD55" i="4"/>
  <c r="AE55" i="4"/>
  <c r="AF55" i="4"/>
  <c r="AG55" i="4"/>
  <c r="AH55" i="4"/>
  <c r="AI55" i="4"/>
  <c r="AJ55" i="4"/>
  <c r="AK55" i="4"/>
  <c r="AL55" i="4"/>
  <c r="AM55" i="4"/>
  <c r="AN55" i="4"/>
  <c r="AO55" i="4"/>
  <c r="AP55" i="4"/>
  <c r="AQ55" i="4"/>
  <c r="AR55" i="4"/>
  <c r="AS55" i="4"/>
  <c r="AT55" i="4"/>
  <c r="AU55" i="4"/>
  <c r="AV55" i="4"/>
  <c r="AW55" i="4"/>
  <c r="AX55" i="4"/>
  <c r="AY55" i="4"/>
  <c r="AZ55" i="4"/>
  <c r="BA55" i="4"/>
  <c r="BB55" i="4"/>
  <c r="BC55" i="4"/>
  <c r="AB56" i="4"/>
  <c r="AC56" i="4"/>
  <c r="AD56" i="4"/>
  <c r="AE56" i="4"/>
  <c r="AF56" i="4"/>
  <c r="AG56" i="4"/>
  <c r="AH56" i="4"/>
  <c r="AI56" i="4"/>
  <c r="AJ56" i="4"/>
  <c r="AK56" i="4"/>
  <c r="AL56" i="4"/>
  <c r="AM56" i="4"/>
  <c r="AN56" i="4"/>
  <c r="AO56" i="4"/>
  <c r="AP56" i="4"/>
  <c r="AQ56" i="4"/>
  <c r="AR56" i="4"/>
  <c r="AS56" i="4"/>
  <c r="AT56" i="4"/>
  <c r="AU56" i="4"/>
  <c r="AV56" i="4"/>
  <c r="AW56" i="4"/>
  <c r="AX56" i="4"/>
  <c r="AY56" i="4"/>
  <c r="AZ56" i="4"/>
  <c r="BA56" i="4"/>
  <c r="BB56" i="4"/>
  <c r="BC56" i="4"/>
  <c r="AB57" i="4"/>
  <c r="AC57" i="4"/>
  <c r="AD57" i="4"/>
  <c r="AE57" i="4"/>
  <c r="AF57" i="4"/>
  <c r="AG57" i="4"/>
  <c r="AH57" i="4"/>
  <c r="AI57" i="4"/>
  <c r="AJ57" i="4"/>
  <c r="AK57" i="4"/>
  <c r="AL57" i="4"/>
  <c r="AM57" i="4"/>
  <c r="AN57" i="4"/>
  <c r="AO57" i="4"/>
  <c r="AP57" i="4"/>
  <c r="AQ57" i="4"/>
  <c r="AR57" i="4"/>
  <c r="AS57" i="4"/>
  <c r="AT57" i="4"/>
  <c r="AU57" i="4"/>
  <c r="AV57" i="4"/>
  <c r="AW57" i="4"/>
  <c r="AX57" i="4"/>
  <c r="AY57" i="4"/>
  <c r="AZ57" i="4"/>
  <c r="BA57" i="4"/>
  <c r="BB57" i="4"/>
  <c r="BC57" i="4"/>
  <c r="AB58" i="4"/>
  <c r="AC58" i="4"/>
  <c r="AD58" i="4"/>
  <c r="AE58" i="4"/>
  <c r="AF58" i="4"/>
  <c r="AG58" i="4"/>
  <c r="AH58" i="4"/>
  <c r="AI58" i="4"/>
  <c r="AJ58" i="4"/>
  <c r="AK58" i="4"/>
  <c r="AL58" i="4"/>
  <c r="AM58" i="4"/>
  <c r="AN58" i="4"/>
  <c r="AO58" i="4"/>
  <c r="AP58" i="4"/>
  <c r="AQ58" i="4"/>
  <c r="AR58" i="4"/>
  <c r="AS58" i="4"/>
  <c r="AT58" i="4"/>
  <c r="AU58" i="4"/>
  <c r="AV58" i="4"/>
  <c r="AW58" i="4"/>
  <c r="AX58" i="4"/>
  <c r="AY58" i="4"/>
  <c r="AZ58" i="4"/>
  <c r="BA58" i="4"/>
  <c r="BB58" i="4"/>
  <c r="BC58" i="4"/>
  <c r="AB59" i="4"/>
  <c r="AC59" i="4"/>
  <c r="AD59" i="4"/>
  <c r="AE59" i="4"/>
  <c r="AF59" i="4"/>
  <c r="AG59" i="4"/>
  <c r="AH59" i="4"/>
  <c r="AI59" i="4"/>
  <c r="AJ59" i="4"/>
  <c r="AK59" i="4"/>
  <c r="AL59" i="4"/>
  <c r="AM59" i="4"/>
  <c r="AN59" i="4"/>
  <c r="AO59" i="4"/>
  <c r="AP59" i="4"/>
  <c r="AQ59" i="4"/>
  <c r="AR59" i="4"/>
  <c r="AS59" i="4"/>
  <c r="AT59" i="4"/>
  <c r="AU59" i="4"/>
  <c r="AV59" i="4"/>
  <c r="AW59" i="4"/>
  <c r="AX59" i="4"/>
  <c r="AY59" i="4"/>
  <c r="AZ59" i="4"/>
  <c r="BA59" i="4"/>
  <c r="BB59" i="4"/>
  <c r="BC59" i="4"/>
  <c r="AB60" i="4"/>
  <c r="AC60" i="4"/>
  <c r="AD60" i="4"/>
  <c r="AE60" i="4"/>
  <c r="AF60" i="4"/>
  <c r="AG60" i="4"/>
  <c r="AH60" i="4"/>
  <c r="AI60" i="4"/>
  <c r="AJ60" i="4"/>
  <c r="AK60" i="4"/>
  <c r="AL60" i="4"/>
  <c r="AM60" i="4"/>
  <c r="AN60" i="4"/>
  <c r="AO60" i="4"/>
  <c r="AP60" i="4"/>
  <c r="AQ60" i="4"/>
  <c r="AR60" i="4"/>
  <c r="AS60" i="4"/>
  <c r="AT60" i="4"/>
  <c r="AU60" i="4"/>
  <c r="AV60" i="4"/>
  <c r="AW60" i="4"/>
  <c r="AX60" i="4"/>
  <c r="AY60" i="4"/>
  <c r="AZ60" i="4"/>
  <c r="BA60" i="4"/>
  <c r="BB60" i="4"/>
  <c r="BC60" i="4"/>
  <c r="AB61" i="4"/>
  <c r="AC61" i="4"/>
  <c r="AD61" i="4"/>
  <c r="AE61" i="4"/>
  <c r="AF61" i="4"/>
  <c r="AG61" i="4"/>
  <c r="AH61" i="4"/>
  <c r="AI61" i="4"/>
  <c r="AJ61" i="4"/>
  <c r="AK61" i="4"/>
  <c r="AL61" i="4"/>
  <c r="AM61" i="4"/>
  <c r="AN61" i="4"/>
  <c r="AO61" i="4"/>
  <c r="AP61" i="4"/>
  <c r="AQ61" i="4"/>
  <c r="AR61" i="4"/>
  <c r="AS61" i="4"/>
  <c r="AT61" i="4"/>
  <c r="AU61" i="4"/>
  <c r="AV61" i="4"/>
  <c r="AW61" i="4"/>
  <c r="AX61" i="4"/>
  <c r="AY61" i="4"/>
  <c r="AZ61" i="4"/>
  <c r="BA61" i="4"/>
  <c r="BB61" i="4"/>
  <c r="BC61" i="4"/>
  <c r="AB62" i="4"/>
  <c r="AC62" i="4"/>
  <c r="AD62" i="4"/>
  <c r="AE62" i="4"/>
  <c r="AF62" i="4"/>
  <c r="AG62" i="4"/>
  <c r="AH62" i="4"/>
  <c r="AI62" i="4"/>
  <c r="AJ62" i="4"/>
  <c r="AK62" i="4"/>
  <c r="AL62" i="4"/>
  <c r="AM62" i="4"/>
  <c r="AN62" i="4"/>
  <c r="AO62" i="4"/>
  <c r="AP62" i="4"/>
  <c r="AQ62" i="4"/>
  <c r="AR62" i="4"/>
  <c r="AS62" i="4"/>
  <c r="AT62" i="4"/>
  <c r="AU62" i="4"/>
  <c r="AV62" i="4"/>
  <c r="AW62" i="4"/>
  <c r="AX62" i="4"/>
  <c r="AY62" i="4"/>
  <c r="AZ62" i="4"/>
  <c r="BA62" i="4"/>
  <c r="BB62" i="4"/>
  <c r="BC62" i="4"/>
  <c r="AB63" i="4"/>
  <c r="AC63" i="4"/>
  <c r="AD63" i="4"/>
  <c r="AE63" i="4"/>
  <c r="AF63" i="4"/>
  <c r="AG63" i="4"/>
  <c r="AH63" i="4"/>
  <c r="AI63" i="4"/>
  <c r="AJ63" i="4"/>
  <c r="AK63" i="4"/>
  <c r="AL63" i="4"/>
  <c r="AM63" i="4"/>
  <c r="AN63" i="4"/>
  <c r="AO63" i="4"/>
  <c r="AP63" i="4"/>
  <c r="AQ63" i="4"/>
  <c r="AR63" i="4"/>
  <c r="AS63" i="4"/>
  <c r="AT63" i="4"/>
  <c r="AU63" i="4"/>
  <c r="AV63" i="4"/>
  <c r="AW63" i="4"/>
  <c r="AX63" i="4"/>
  <c r="AY63" i="4"/>
  <c r="AZ63" i="4"/>
  <c r="BA63" i="4"/>
  <c r="BB63" i="4"/>
  <c r="BC63" i="4"/>
  <c r="AB64" i="4"/>
  <c r="AC64" i="4"/>
  <c r="AD64" i="4"/>
  <c r="AE64" i="4"/>
  <c r="AF64" i="4"/>
  <c r="AG64" i="4"/>
  <c r="AH64" i="4"/>
  <c r="AI64" i="4"/>
  <c r="AJ64" i="4"/>
  <c r="AK64" i="4"/>
  <c r="AL64" i="4"/>
  <c r="AM64" i="4"/>
  <c r="AN64" i="4"/>
  <c r="AO64" i="4"/>
  <c r="AP64" i="4"/>
  <c r="AQ64" i="4"/>
  <c r="AR64" i="4"/>
  <c r="AS64" i="4"/>
  <c r="AT64" i="4"/>
  <c r="AU64" i="4"/>
  <c r="AV64" i="4"/>
  <c r="AW64" i="4"/>
  <c r="AX64" i="4"/>
  <c r="AY64" i="4"/>
  <c r="AZ64" i="4"/>
  <c r="BA64" i="4"/>
  <c r="BB64" i="4"/>
  <c r="BC64" i="4"/>
  <c r="AB65" i="4"/>
  <c r="AC65" i="4"/>
  <c r="AD65" i="4"/>
  <c r="AE65" i="4"/>
  <c r="AF65" i="4"/>
  <c r="AG65" i="4"/>
  <c r="AH65" i="4"/>
  <c r="AI65" i="4"/>
  <c r="AJ65" i="4"/>
  <c r="AK65" i="4"/>
  <c r="AL65" i="4"/>
  <c r="AM65" i="4"/>
  <c r="AN65" i="4"/>
  <c r="AO65" i="4"/>
  <c r="AP65" i="4"/>
  <c r="AQ65" i="4"/>
  <c r="AR65" i="4"/>
  <c r="AS65" i="4"/>
  <c r="AT65" i="4"/>
  <c r="AU65" i="4"/>
  <c r="AV65" i="4"/>
  <c r="AW65" i="4"/>
  <c r="AX65" i="4"/>
  <c r="AY65" i="4"/>
  <c r="AZ65" i="4"/>
  <c r="BA65" i="4"/>
  <c r="BB65" i="4"/>
  <c r="BC65" i="4"/>
  <c r="AB66" i="4"/>
  <c r="AC66" i="4"/>
  <c r="AD66" i="4"/>
  <c r="AE66" i="4"/>
  <c r="AF66" i="4"/>
  <c r="AG66" i="4"/>
  <c r="AH66" i="4"/>
  <c r="AI66" i="4"/>
  <c r="AJ66" i="4"/>
  <c r="AK66" i="4"/>
  <c r="AL66" i="4"/>
  <c r="AM66" i="4"/>
  <c r="AN66" i="4"/>
  <c r="AO66" i="4"/>
  <c r="AP66" i="4"/>
  <c r="AQ66" i="4"/>
  <c r="AR66" i="4"/>
  <c r="AS66" i="4"/>
  <c r="AT66" i="4"/>
  <c r="AU66" i="4"/>
  <c r="AV66" i="4"/>
  <c r="AW66" i="4"/>
  <c r="AX66" i="4"/>
  <c r="AY66" i="4"/>
  <c r="AZ66" i="4"/>
  <c r="BA66" i="4"/>
  <c r="BB66" i="4"/>
  <c r="BC66" i="4"/>
  <c r="AB67" i="4"/>
  <c r="AC67" i="4"/>
  <c r="AD67" i="4"/>
  <c r="AE67" i="4"/>
  <c r="AF67" i="4"/>
  <c r="AG67" i="4"/>
  <c r="AH67" i="4"/>
  <c r="AI67" i="4"/>
  <c r="AJ67" i="4"/>
  <c r="AK67" i="4"/>
  <c r="AL67" i="4"/>
  <c r="AM67" i="4"/>
  <c r="AN67" i="4"/>
  <c r="AO67" i="4"/>
  <c r="AP67" i="4"/>
  <c r="AQ67" i="4"/>
  <c r="AR67" i="4"/>
  <c r="AS67" i="4"/>
  <c r="AT67" i="4"/>
  <c r="AU67" i="4"/>
  <c r="AV67" i="4"/>
  <c r="AW67" i="4"/>
  <c r="AX67" i="4"/>
  <c r="AY67" i="4"/>
  <c r="AZ67" i="4"/>
  <c r="BA67" i="4"/>
  <c r="BB67" i="4"/>
  <c r="BC67" i="4"/>
  <c r="AB68" i="4"/>
  <c r="AC68" i="4"/>
  <c r="AD68" i="4"/>
  <c r="AE68" i="4"/>
  <c r="AF68" i="4"/>
  <c r="AG68" i="4"/>
  <c r="AH68" i="4"/>
  <c r="AI68" i="4"/>
  <c r="AJ68" i="4"/>
  <c r="AK68" i="4"/>
  <c r="AL68" i="4"/>
  <c r="AM68" i="4"/>
  <c r="AN68" i="4"/>
  <c r="AO68" i="4"/>
  <c r="AP68" i="4"/>
  <c r="AQ68" i="4"/>
  <c r="AR68" i="4"/>
  <c r="AS68" i="4"/>
  <c r="AT68" i="4"/>
  <c r="AU68" i="4"/>
  <c r="AV68" i="4"/>
  <c r="AW68" i="4"/>
  <c r="AX68" i="4"/>
  <c r="AY68" i="4"/>
  <c r="AZ68" i="4"/>
  <c r="BA68" i="4"/>
  <c r="BB68" i="4"/>
  <c r="BC68" i="4"/>
  <c r="AB69" i="4"/>
  <c r="AC69" i="4"/>
  <c r="AD69" i="4"/>
  <c r="AE69" i="4"/>
  <c r="AF69" i="4"/>
  <c r="AG69" i="4"/>
  <c r="AH69" i="4"/>
  <c r="AI69" i="4"/>
  <c r="AJ69" i="4"/>
  <c r="AK69" i="4"/>
  <c r="AL69" i="4"/>
  <c r="AM69" i="4"/>
  <c r="AN69" i="4"/>
  <c r="AO69" i="4"/>
  <c r="AP69" i="4"/>
  <c r="AQ69" i="4"/>
  <c r="AR69" i="4"/>
  <c r="AS69" i="4"/>
  <c r="AT69" i="4"/>
  <c r="AU69" i="4"/>
  <c r="AV69" i="4"/>
  <c r="AW69" i="4"/>
  <c r="AX69" i="4"/>
  <c r="AY69" i="4"/>
  <c r="AZ69" i="4"/>
  <c r="BA69" i="4"/>
  <c r="BB69" i="4"/>
  <c r="BC69" i="4"/>
  <c r="AB70" i="4"/>
  <c r="AC70" i="4"/>
  <c r="AD70" i="4"/>
  <c r="AE70" i="4"/>
  <c r="AF70" i="4"/>
  <c r="AG70" i="4"/>
  <c r="AH70" i="4"/>
  <c r="AI70" i="4"/>
  <c r="AJ70" i="4"/>
  <c r="AK70" i="4"/>
  <c r="AL70" i="4"/>
  <c r="AM70" i="4"/>
  <c r="AN70" i="4"/>
  <c r="AO70" i="4"/>
  <c r="AP70" i="4"/>
  <c r="AQ70" i="4"/>
  <c r="AR70" i="4"/>
  <c r="AS70" i="4"/>
  <c r="AT70" i="4"/>
  <c r="AU70" i="4"/>
  <c r="AV70" i="4"/>
  <c r="AW70" i="4"/>
  <c r="AX70" i="4"/>
  <c r="AY70" i="4"/>
  <c r="AZ70" i="4"/>
  <c r="BA70" i="4"/>
  <c r="BB70" i="4"/>
  <c r="BC70" i="4"/>
  <c r="AB71" i="4"/>
  <c r="AC71" i="4"/>
  <c r="AD71" i="4"/>
  <c r="AE71" i="4"/>
  <c r="AF71" i="4"/>
  <c r="AG71" i="4"/>
  <c r="AH71" i="4"/>
  <c r="AI71" i="4"/>
  <c r="AJ71" i="4"/>
  <c r="AK71" i="4"/>
  <c r="AL71" i="4"/>
  <c r="AM71" i="4"/>
  <c r="AN71" i="4"/>
  <c r="AO71" i="4"/>
  <c r="AP71" i="4"/>
  <c r="AQ71" i="4"/>
  <c r="AR71" i="4"/>
  <c r="AS71" i="4"/>
  <c r="AT71" i="4"/>
  <c r="AU71" i="4"/>
  <c r="AV71" i="4"/>
  <c r="AW71" i="4"/>
  <c r="AX71" i="4"/>
  <c r="AY71" i="4"/>
  <c r="AZ71" i="4"/>
  <c r="BA71" i="4"/>
  <c r="BB71" i="4"/>
  <c r="BC71" i="4"/>
  <c r="AB72" i="4"/>
  <c r="AC72" i="4"/>
  <c r="AD72" i="4"/>
  <c r="AE72" i="4"/>
  <c r="AF72" i="4"/>
  <c r="AG72" i="4"/>
  <c r="AH72" i="4"/>
  <c r="AI72" i="4"/>
  <c r="AJ72" i="4"/>
  <c r="AK72" i="4"/>
  <c r="AL72" i="4"/>
  <c r="AM72" i="4"/>
  <c r="AN72" i="4"/>
  <c r="AO72" i="4"/>
  <c r="AP72" i="4"/>
  <c r="AQ72" i="4"/>
  <c r="AR72" i="4"/>
  <c r="AS72" i="4"/>
  <c r="AT72" i="4"/>
  <c r="AU72" i="4"/>
  <c r="AV72" i="4"/>
  <c r="AW72" i="4"/>
  <c r="AX72" i="4"/>
  <c r="AY72" i="4"/>
  <c r="AZ72" i="4"/>
  <c r="BA72" i="4"/>
  <c r="BB72" i="4"/>
  <c r="BC72" i="4"/>
  <c r="AB73" i="4"/>
  <c r="AC73" i="4"/>
  <c r="AD73" i="4"/>
  <c r="AE73" i="4"/>
  <c r="AF73" i="4"/>
  <c r="AG73" i="4"/>
  <c r="AH73" i="4"/>
  <c r="AI73" i="4"/>
  <c r="AJ73" i="4"/>
  <c r="AK73" i="4"/>
  <c r="AL73" i="4"/>
  <c r="AM73" i="4"/>
  <c r="AN73" i="4"/>
  <c r="AO73" i="4"/>
  <c r="AP73" i="4"/>
  <c r="AQ73" i="4"/>
  <c r="AR73" i="4"/>
  <c r="AS73" i="4"/>
  <c r="AT73" i="4"/>
  <c r="AU73" i="4"/>
  <c r="AV73" i="4"/>
  <c r="AW73" i="4"/>
  <c r="AX73" i="4"/>
  <c r="AY73" i="4"/>
  <c r="AZ73" i="4"/>
  <c r="BA73" i="4"/>
  <c r="BB73" i="4"/>
  <c r="BC73" i="4"/>
  <c r="AB74" i="4"/>
  <c r="AC74" i="4"/>
  <c r="AD74" i="4"/>
  <c r="AE74" i="4"/>
  <c r="AF74" i="4"/>
  <c r="AG74" i="4"/>
  <c r="AH74" i="4"/>
  <c r="AI74" i="4"/>
  <c r="AJ74" i="4"/>
  <c r="AK74" i="4"/>
  <c r="AL74" i="4"/>
  <c r="AM74" i="4"/>
  <c r="AN74" i="4"/>
  <c r="AO74" i="4"/>
  <c r="AP74" i="4"/>
  <c r="AQ74" i="4"/>
  <c r="AR74" i="4"/>
  <c r="AS74" i="4"/>
  <c r="AT74" i="4"/>
  <c r="AU74" i="4"/>
  <c r="AV74" i="4"/>
  <c r="AW74" i="4"/>
  <c r="AX74" i="4"/>
  <c r="AY74" i="4"/>
  <c r="AZ74" i="4"/>
  <c r="BA74" i="4"/>
  <c r="BB74" i="4"/>
  <c r="BC74" i="4"/>
  <c r="AB75" i="4"/>
  <c r="AC75" i="4"/>
  <c r="AD75" i="4"/>
  <c r="AE75" i="4"/>
  <c r="AF75" i="4"/>
  <c r="AG75" i="4"/>
  <c r="AH75" i="4"/>
  <c r="AI75" i="4"/>
  <c r="AJ75" i="4"/>
  <c r="AK75" i="4"/>
  <c r="AL75" i="4"/>
  <c r="AM75" i="4"/>
  <c r="AN75" i="4"/>
  <c r="AO75" i="4"/>
  <c r="AP75" i="4"/>
  <c r="AQ75" i="4"/>
  <c r="AR75" i="4"/>
  <c r="AS75" i="4"/>
  <c r="AT75" i="4"/>
  <c r="AU75" i="4"/>
  <c r="AV75" i="4"/>
  <c r="AW75" i="4"/>
  <c r="AX75" i="4"/>
  <c r="AY75" i="4"/>
  <c r="AZ75" i="4"/>
  <c r="BA75" i="4"/>
  <c r="BB75" i="4"/>
  <c r="BC75" i="4"/>
  <c r="AB76" i="4"/>
  <c r="AC76" i="4"/>
  <c r="AD76" i="4"/>
  <c r="AE76" i="4"/>
  <c r="AF76" i="4"/>
  <c r="AG76" i="4"/>
  <c r="AH76" i="4"/>
  <c r="AI76" i="4"/>
  <c r="AJ76" i="4"/>
  <c r="AK76" i="4"/>
  <c r="AL76" i="4"/>
  <c r="AM76" i="4"/>
  <c r="AN76" i="4"/>
  <c r="AO76" i="4"/>
  <c r="AP76" i="4"/>
  <c r="AQ76" i="4"/>
  <c r="AR76" i="4"/>
  <c r="AS76" i="4"/>
  <c r="AT76" i="4"/>
  <c r="AU76" i="4"/>
  <c r="AV76" i="4"/>
  <c r="AW76" i="4"/>
  <c r="AX76" i="4"/>
  <c r="AY76" i="4"/>
  <c r="AZ76" i="4"/>
  <c r="BA76" i="4"/>
  <c r="BB76" i="4"/>
  <c r="BC76" i="4"/>
  <c r="AB77" i="4"/>
  <c r="AC77" i="4"/>
  <c r="AD77" i="4"/>
  <c r="AE77" i="4"/>
  <c r="AF77" i="4"/>
  <c r="AG77" i="4"/>
  <c r="AH77" i="4"/>
  <c r="AI77" i="4"/>
  <c r="AJ77" i="4"/>
  <c r="AK77" i="4"/>
  <c r="AL77" i="4"/>
  <c r="AM77" i="4"/>
  <c r="AN77" i="4"/>
  <c r="AO77" i="4"/>
  <c r="AP77" i="4"/>
  <c r="AQ77" i="4"/>
  <c r="AR77" i="4"/>
  <c r="AS77" i="4"/>
  <c r="AT77" i="4"/>
  <c r="AU77" i="4"/>
  <c r="AV77" i="4"/>
  <c r="AW77" i="4"/>
  <c r="AX77" i="4"/>
  <c r="AY77" i="4"/>
  <c r="AZ77" i="4"/>
  <c r="BA77" i="4"/>
  <c r="BB77" i="4"/>
  <c r="BC77" i="4"/>
  <c r="AB78" i="4"/>
  <c r="AC78" i="4"/>
  <c r="AD78" i="4"/>
  <c r="AE78" i="4"/>
  <c r="AF78" i="4"/>
  <c r="AG78" i="4"/>
  <c r="AH78" i="4"/>
  <c r="AI78" i="4"/>
  <c r="AJ78" i="4"/>
  <c r="AK78" i="4"/>
  <c r="AL78" i="4"/>
  <c r="AM78" i="4"/>
  <c r="AN78" i="4"/>
  <c r="AO78" i="4"/>
  <c r="AP78" i="4"/>
  <c r="AQ78" i="4"/>
  <c r="AR78" i="4"/>
  <c r="AS78" i="4"/>
  <c r="AT78" i="4"/>
  <c r="AU78" i="4"/>
  <c r="AV78" i="4"/>
  <c r="AW78" i="4"/>
  <c r="AX78" i="4"/>
  <c r="AY78" i="4"/>
  <c r="AZ78" i="4"/>
  <c r="BA78" i="4"/>
  <c r="BB78" i="4"/>
  <c r="BC78" i="4"/>
  <c r="E43" i="4"/>
  <c r="F43" i="4"/>
  <c r="G43" i="4"/>
  <c r="H43" i="4"/>
  <c r="I43" i="4"/>
  <c r="J43" i="4"/>
  <c r="K43" i="4"/>
  <c r="L43" i="4"/>
  <c r="M43" i="4"/>
  <c r="N43" i="4"/>
  <c r="O43" i="4"/>
  <c r="P43" i="4"/>
  <c r="Q43" i="4"/>
  <c r="R43" i="4"/>
  <c r="S43" i="4"/>
  <c r="T43" i="4"/>
  <c r="U43" i="4"/>
  <c r="V43" i="4"/>
  <c r="W43" i="4"/>
  <c r="X43" i="4"/>
  <c r="Y43" i="4"/>
  <c r="Z43" i="4"/>
  <c r="AA43" i="4"/>
  <c r="E44" i="4"/>
  <c r="F44" i="4"/>
  <c r="G44" i="4"/>
  <c r="H44" i="4"/>
  <c r="I44" i="4"/>
  <c r="J44" i="4"/>
  <c r="K44" i="4"/>
  <c r="L44" i="4"/>
  <c r="M44" i="4"/>
  <c r="N44" i="4"/>
  <c r="O44" i="4"/>
  <c r="P44" i="4"/>
  <c r="Q44" i="4"/>
  <c r="R44" i="4"/>
  <c r="S44" i="4"/>
  <c r="T44" i="4"/>
  <c r="U44" i="4"/>
  <c r="V44" i="4"/>
  <c r="W44" i="4"/>
  <c r="X44" i="4"/>
  <c r="Y44" i="4"/>
  <c r="Z44" i="4"/>
  <c r="AA44" i="4"/>
  <c r="E45" i="4"/>
  <c r="F45" i="4"/>
  <c r="G45" i="4"/>
  <c r="H45" i="4"/>
  <c r="I45" i="4"/>
  <c r="J45" i="4"/>
  <c r="K45" i="4"/>
  <c r="L45" i="4"/>
  <c r="M45" i="4"/>
  <c r="N45" i="4"/>
  <c r="O45" i="4"/>
  <c r="P45" i="4"/>
  <c r="Q45" i="4"/>
  <c r="R45" i="4"/>
  <c r="S45" i="4"/>
  <c r="T45" i="4"/>
  <c r="U45" i="4"/>
  <c r="V45" i="4"/>
  <c r="W45" i="4"/>
  <c r="X45" i="4"/>
  <c r="Y45" i="4"/>
  <c r="Z45" i="4"/>
  <c r="AA45" i="4"/>
  <c r="E46" i="4"/>
  <c r="F46" i="4"/>
  <c r="G46" i="4"/>
  <c r="H46" i="4"/>
  <c r="I46" i="4"/>
  <c r="J46" i="4"/>
  <c r="K46" i="4"/>
  <c r="L46" i="4"/>
  <c r="M46" i="4"/>
  <c r="N46" i="4"/>
  <c r="O46" i="4"/>
  <c r="P46" i="4"/>
  <c r="Q46" i="4"/>
  <c r="R46" i="4"/>
  <c r="S46" i="4"/>
  <c r="T46" i="4"/>
  <c r="U46" i="4"/>
  <c r="V46" i="4"/>
  <c r="W46" i="4"/>
  <c r="X46" i="4"/>
  <c r="Y46" i="4"/>
  <c r="Z46" i="4"/>
  <c r="AA46" i="4"/>
  <c r="E47" i="4"/>
  <c r="F47" i="4"/>
  <c r="G47" i="4"/>
  <c r="H47" i="4"/>
  <c r="I47" i="4"/>
  <c r="J47" i="4"/>
  <c r="K47" i="4"/>
  <c r="L47" i="4"/>
  <c r="M47" i="4"/>
  <c r="N47" i="4"/>
  <c r="O47" i="4"/>
  <c r="P47" i="4"/>
  <c r="Q47" i="4"/>
  <c r="R47" i="4"/>
  <c r="S47" i="4"/>
  <c r="T47" i="4"/>
  <c r="U47" i="4"/>
  <c r="V47" i="4"/>
  <c r="W47" i="4"/>
  <c r="X47" i="4"/>
  <c r="Y47" i="4"/>
  <c r="Z47" i="4"/>
  <c r="AA47" i="4"/>
  <c r="E48" i="4"/>
  <c r="F48" i="4"/>
  <c r="G48" i="4"/>
  <c r="H48" i="4"/>
  <c r="I48" i="4"/>
  <c r="J48" i="4"/>
  <c r="K48" i="4"/>
  <c r="L48" i="4"/>
  <c r="M48" i="4"/>
  <c r="N48" i="4"/>
  <c r="O48" i="4"/>
  <c r="P48" i="4"/>
  <c r="Q48" i="4"/>
  <c r="R48" i="4"/>
  <c r="S48" i="4"/>
  <c r="T48" i="4"/>
  <c r="U48" i="4"/>
  <c r="V48" i="4"/>
  <c r="W48" i="4"/>
  <c r="X48" i="4"/>
  <c r="Y48" i="4"/>
  <c r="Z48" i="4"/>
  <c r="AA48" i="4"/>
  <c r="E49" i="4"/>
  <c r="F49" i="4"/>
  <c r="G49" i="4"/>
  <c r="H49" i="4"/>
  <c r="I49" i="4"/>
  <c r="J49" i="4"/>
  <c r="K49" i="4"/>
  <c r="L49" i="4"/>
  <c r="M49" i="4"/>
  <c r="N49" i="4"/>
  <c r="O49" i="4"/>
  <c r="P49" i="4"/>
  <c r="Q49" i="4"/>
  <c r="R49" i="4"/>
  <c r="S49" i="4"/>
  <c r="T49" i="4"/>
  <c r="U49" i="4"/>
  <c r="V49" i="4"/>
  <c r="W49" i="4"/>
  <c r="X49" i="4"/>
  <c r="Y49" i="4"/>
  <c r="Z49" i="4"/>
  <c r="AA49" i="4"/>
  <c r="E50" i="4"/>
  <c r="F50" i="4"/>
  <c r="G50" i="4"/>
  <c r="H50" i="4"/>
  <c r="I50" i="4"/>
  <c r="J50" i="4"/>
  <c r="K50" i="4"/>
  <c r="L50" i="4"/>
  <c r="M50" i="4"/>
  <c r="N50" i="4"/>
  <c r="O50" i="4"/>
  <c r="P50" i="4"/>
  <c r="Q50" i="4"/>
  <c r="R50" i="4"/>
  <c r="S50" i="4"/>
  <c r="T50" i="4"/>
  <c r="U50" i="4"/>
  <c r="V50" i="4"/>
  <c r="W50" i="4"/>
  <c r="X50" i="4"/>
  <c r="Y50" i="4"/>
  <c r="Z50" i="4"/>
  <c r="AA50" i="4"/>
  <c r="E51" i="4"/>
  <c r="F51" i="4"/>
  <c r="G51" i="4"/>
  <c r="H51" i="4"/>
  <c r="I51" i="4"/>
  <c r="J51" i="4"/>
  <c r="K51" i="4"/>
  <c r="L51" i="4"/>
  <c r="M51" i="4"/>
  <c r="N51" i="4"/>
  <c r="O51" i="4"/>
  <c r="P51" i="4"/>
  <c r="Q51" i="4"/>
  <c r="R51" i="4"/>
  <c r="S51" i="4"/>
  <c r="T51" i="4"/>
  <c r="U51" i="4"/>
  <c r="V51" i="4"/>
  <c r="W51" i="4"/>
  <c r="X51" i="4"/>
  <c r="Y51" i="4"/>
  <c r="Z51" i="4"/>
  <c r="AA51" i="4"/>
  <c r="E52" i="4"/>
  <c r="F52" i="4"/>
  <c r="G52" i="4"/>
  <c r="H52" i="4"/>
  <c r="I52" i="4"/>
  <c r="J52" i="4"/>
  <c r="K52" i="4"/>
  <c r="L52" i="4"/>
  <c r="M52" i="4"/>
  <c r="N52" i="4"/>
  <c r="O52" i="4"/>
  <c r="P52" i="4"/>
  <c r="Q52" i="4"/>
  <c r="R52" i="4"/>
  <c r="S52" i="4"/>
  <c r="T52" i="4"/>
  <c r="U52" i="4"/>
  <c r="V52" i="4"/>
  <c r="W52" i="4"/>
  <c r="X52" i="4"/>
  <c r="Y52" i="4"/>
  <c r="Z52" i="4"/>
  <c r="AA52" i="4"/>
  <c r="E53" i="4"/>
  <c r="F53" i="4"/>
  <c r="G53" i="4"/>
  <c r="H53" i="4"/>
  <c r="I53" i="4"/>
  <c r="J53" i="4"/>
  <c r="K53" i="4"/>
  <c r="L53" i="4"/>
  <c r="M53" i="4"/>
  <c r="N53" i="4"/>
  <c r="O53" i="4"/>
  <c r="P53" i="4"/>
  <c r="Q53" i="4"/>
  <c r="R53" i="4"/>
  <c r="S53" i="4"/>
  <c r="T53" i="4"/>
  <c r="U53" i="4"/>
  <c r="V53" i="4"/>
  <c r="W53" i="4"/>
  <c r="X53" i="4"/>
  <c r="Y53" i="4"/>
  <c r="Z53" i="4"/>
  <c r="AA53" i="4"/>
  <c r="E54" i="4"/>
  <c r="F54" i="4"/>
  <c r="G54" i="4"/>
  <c r="H54" i="4"/>
  <c r="I54" i="4"/>
  <c r="J54" i="4"/>
  <c r="K54" i="4"/>
  <c r="L54" i="4"/>
  <c r="M54" i="4"/>
  <c r="N54" i="4"/>
  <c r="O54" i="4"/>
  <c r="P54" i="4"/>
  <c r="Q54" i="4"/>
  <c r="R54" i="4"/>
  <c r="S54" i="4"/>
  <c r="T54" i="4"/>
  <c r="U54" i="4"/>
  <c r="V54" i="4"/>
  <c r="W54" i="4"/>
  <c r="X54" i="4"/>
  <c r="Y54" i="4"/>
  <c r="Z54" i="4"/>
  <c r="AA54" i="4"/>
  <c r="E55" i="4"/>
  <c r="F55" i="4"/>
  <c r="G55" i="4"/>
  <c r="H55" i="4"/>
  <c r="I55" i="4"/>
  <c r="J55" i="4"/>
  <c r="K55" i="4"/>
  <c r="L55" i="4"/>
  <c r="M55" i="4"/>
  <c r="N55" i="4"/>
  <c r="O55" i="4"/>
  <c r="P55" i="4"/>
  <c r="Q55" i="4"/>
  <c r="R55" i="4"/>
  <c r="S55" i="4"/>
  <c r="T55" i="4"/>
  <c r="U55" i="4"/>
  <c r="V55" i="4"/>
  <c r="W55" i="4"/>
  <c r="X55" i="4"/>
  <c r="Y55" i="4"/>
  <c r="Z55" i="4"/>
  <c r="AA55" i="4"/>
  <c r="E56" i="4"/>
  <c r="F56" i="4"/>
  <c r="G56" i="4"/>
  <c r="H56" i="4"/>
  <c r="I56" i="4"/>
  <c r="J56" i="4"/>
  <c r="K56" i="4"/>
  <c r="L56" i="4"/>
  <c r="M56" i="4"/>
  <c r="N56" i="4"/>
  <c r="O56" i="4"/>
  <c r="P56" i="4"/>
  <c r="Q56" i="4"/>
  <c r="R56" i="4"/>
  <c r="S56" i="4"/>
  <c r="T56" i="4"/>
  <c r="U56" i="4"/>
  <c r="V56" i="4"/>
  <c r="W56" i="4"/>
  <c r="X56" i="4"/>
  <c r="Y56" i="4"/>
  <c r="Z56" i="4"/>
  <c r="AA56" i="4"/>
  <c r="E57" i="4"/>
  <c r="F57" i="4"/>
  <c r="G57" i="4"/>
  <c r="H57" i="4"/>
  <c r="I57" i="4"/>
  <c r="J57" i="4"/>
  <c r="K57" i="4"/>
  <c r="L57" i="4"/>
  <c r="M57" i="4"/>
  <c r="N57" i="4"/>
  <c r="O57" i="4"/>
  <c r="P57" i="4"/>
  <c r="Q57" i="4"/>
  <c r="R57" i="4"/>
  <c r="S57" i="4"/>
  <c r="T57" i="4"/>
  <c r="U57" i="4"/>
  <c r="V57" i="4"/>
  <c r="W57" i="4"/>
  <c r="X57" i="4"/>
  <c r="Y57" i="4"/>
  <c r="Z57" i="4"/>
  <c r="AA57" i="4"/>
  <c r="E58" i="4"/>
  <c r="F58" i="4"/>
  <c r="G58" i="4"/>
  <c r="H58" i="4"/>
  <c r="I58" i="4"/>
  <c r="J58" i="4"/>
  <c r="K58" i="4"/>
  <c r="L58" i="4"/>
  <c r="M58" i="4"/>
  <c r="N58" i="4"/>
  <c r="O58" i="4"/>
  <c r="P58" i="4"/>
  <c r="Q58" i="4"/>
  <c r="R58" i="4"/>
  <c r="S58" i="4"/>
  <c r="T58" i="4"/>
  <c r="U58" i="4"/>
  <c r="V58" i="4"/>
  <c r="W58" i="4"/>
  <c r="X58" i="4"/>
  <c r="Y58" i="4"/>
  <c r="Z58" i="4"/>
  <c r="AA58" i="4"/>
  <c r="E59" i="4"/>
  <c r="F59" i="4"/>
  <c r="G59" i="4"/>
  <c r="H59" i="4"/>
  <c r="I59" i="4"/>
  <c r="J59" i="4"/>
  <c r="K59" i="4"/>
  <c r="L59" i="4"/>
  <c r="M59" i="4"/>
  <c r="N59" i="4"/>
  <c r="O59" i="4"/>
  <c r="P59" i="4"/>
  <c r="Q59" i="4"/>
  <c r="R59" i="4"/>
  <c r="S59" i="4"/>
  <c r="T59" i="4"/>
  <c r="U59" i="4"/>
  <c r="V59" i="4"/>
  <c r="W59" i="4"/>
  <c r="X59" i="4"/>
  <c r="Y59" i="4"/>
  <c r="Z59" i="4"/>
  <c r="AA59" i="4"/>
  <c r="E60" i="4"/>
  <c r="F60" i="4"/>
  <c r="G60" i="4"/>
  <c r="H60" i="4"/>
  <c r="I60" i="4"/>
  <c r="J60" i="4"/>
  <c r="K60" i="4"/>
  <c r="L60" i="4"/>
  <c r="M60" i="4"/>
  <c r="N60" i="4"/>
  <c r="O60" i="4"/>
  <c r="P60" i="4"/>
  <c r="Q60" i="4"/>
  <c r="R60" i="4"/>
  <c r="S60" i="4"/>
  <c r="T60" i="4"/>
  <c r="U60" i="4"/>
  <c r="V60" i="4"/>
  <c r="W60" i="4"/>
  <c r="X60" i="4"/>
  <c r="Y60" i="4"/>
  <c r="Z60" i="4"/>
  <c r="AA60" i="4"/>
  <c r="E61" i="4"/>
  <c r="F61" i="4"/>
  <c r="G61" i="4"/>
  <c r="H61" i="4"/>
  <c r="I61" i="4"/>
  <c r="J61" i="4"/>
  <c r="K61" i="4"/>
  <c r="L61" i="4"/>
  <c r="M61" i="4"/>
  <c r="N61" i="4"/>
  <c r="O61" i="4"/>
  <c r="P61" i="4"/>
  <c r="Q61" i="4"/>
  <c r="R61" i="4"/>
  <c r="S61" i="4"/>
  <c r="T61" i="4"/>
  <c r="U61" i="4"/>
  <c r="V61" i="4"/>
  <c r="W61" i="4"/>
  <c r="X61" i="4"/>
  <c r="Y61" i="4"/>
  <c r="Z61" i="4"/>
  <c r="AA61" i="4"/>
  <c r="E62" i="4"/>
  <c r="F62" i="4"/>
  <c r="G62" i="4"/>
  <c r="H62" i="4"/>
  <c r="I62" i="4"/>
  <c r="J62" i="4"/>
  <c r="K62" i="4"/>
  <c r="L62" i="4"/>
  <c r="M62" i="4"/>
  <c r="N62" i="4"/>
  <c r="O62" i="4"/>
  <c r="P62" i="4"/>
  <c r="Q62" i="4"/>
  <c r="R62" i="4"/>
  <c r="S62" i="4"/>
  <c r="T62" i="4"/>
  <c r="U62" i="4"/>
  <c r="V62" i="4"/>
  <c r="W62" i="4"/>
  <c r="X62" i="4"/>
  <c r="Y62" i="4"/>
  <c r="Z62" i="4"/>
  <c r="AA62" i="4"/>
  <c r="E63" i="4"/>
  <c r="F63" i="4"/>
  <c r="G63" i="4"/>
  <c r="H63" i="4"/>
  <c r="I63" i="4"/>
  <c r="J63" i="4"/>
  <c r="K63" i="4"/>
  <c r="L63" i="4"/>
  <c r="M63" i="4"/>
  <c r="N63" i="4"/>
  <c r="O63" i="4"/>
  <c r="P63" i="4"/>
  <c r="Q63" i="4"/>
  <c r="R63" i="4"/>
  <c r="S63" i="4"/>
  <c r="T63" i="4"/>
  <c r="U63" i="4"/>
  <c r="V63" i="4"/>
  <c r="W63" i="4"/>
  <c r="X63" i="4"/>
  <c r="Y63" i="4"/>
  <c r="Z63" i="4"/>
  <c r="AA63" i="4"/>
  <c r="E64" i="4"/>
  <c r="F64" i="4"/>
  <c r="G64" i="4"/>
  <c r="H64" i="4"/>
  <c r="I64" i="4"/>
  <c r="J64" i="4"/>
  <c r="K64" i="4"/>
  <c r="L64" i="4"/>
  <c r="M64" i="4"/>
  <c r="N64" i="4"/>
  <c r="O64" i="4"/>
  <c r="P64" i="4"/>
  <c r="Q64" i="4"/>
  <c r="R64" i="4"/>
  <c r="S64" i="4"/>
  <c r="T64" i="4"/>
  <c r="U64" i="4"/>
  <c r="V64" i="4"/>
  <c r="W64" i="4"/>
  <c r="X64" i="4"/>
  <c r="Y64" i="4"/>
  <c r="Z64" i="4"/>
  <c r="AA64" i="4"/>
  <c r="E65" i="4"/>
  <c r="F65" i="4"/>
  <c r="G65" i="4"/>
  <c r="H65" i="4"/>
  <c r="I65" i="4"/>
  <c r="J65" i="4"/>
  <c r="K65" i="4"/>
  <c r="L65" i="4"/>
  <c r="M65" i="4"/>
  <c r="N65" i="4"/>
  <c r="O65" i="4"/>
  <c r="P65" i="4"/>
  <c r="Q65" i="4"/>
  <c r="R65" i="4"/>
  <c r="S65" i="4"/>
  <c r="T65" i="4"/>
  <c r="U65" i="4"/>
  <c r="V65" i="4"/>
  <c r="W65" i="4"/>
  <c r="X65" i="4"/>
  <c r="Y65" i="4"/>
  <c r="Z65" i="4"/>
  <c r="AA65" i="4"/>
  <c r="E66" i="4"/>
  <c r="F66" i="4"/>
  <c r="G66" i="4"/>
  <c r="H66" i="4"/>
  <c r="I66" i="4"/>
  <c r="J66" i="4"/>
  <c r="K66" i="4"/>
  <c r="L66" i="4"/>
  <c r="M66" i="4"/>
  <c r="N66" i="4"/>
  <c r="O66" i="4"/>
  <c r="P66" i="4"/>
  <c r="Q66" i="4"/>
  <c r="R66" i="4"/>
  <c r="S66" i="4"/>
  <c r="T66" i="4"/>
  <c r="U66" i="4"/>
  <c r="V66" i="4"/>
  <c r="W66" i="4"/>
  <c r="X66" i="4"/>
  <c r="Y66" i="4"/>
  <c r="Z66" i="4"/>
  <c r="AA66" i="4"/>
  <c r="E67" i="4"/>
  <c r="F67" i="4"/>
  <c r="G67" i="4"/>
  <c r="H67" i="4"/>
  <c r="I67" i="4"/>
  <c r="J67" i="4"/>
  <c r="K67" i="4"/>
  <c r="L67" i="4"/>
  <c r="M67" i="4"/>
  <c r="N67" i="4"/>
  <c r="O67" i="4"/>
  <c r="P67" i="4"/>
  <c r="Q67" i="4"/>
  <c r="R67" i="4"/>
  <c r="S67" i="4"/>
  <c r="T67" i="4"/>
  <c r="U67" i="4"/>
  <c r="V67" i="4"/>
  <c r="W67" i="4"/>
  <c r="X67" i="4"/>
  <c r="Y67" i="4"/>
  <c r="Z67" i="4"/>
  <c r="AA67" i="4"/>
  <c r="E68" i="4"/>
  <c r="F68" i="4"/>
  <c r="G68" i="4"/>
  <c r="H68" i="4"/>
  <c r="I68" i="4"/>
  <c r="J68" i="4"/>
  <c r="K68" i="4"/>
  <c r="L68" i="4"/>
  <c r="M68" i="4"/>
  <c r="N68" i="4"/>
  <c r="O68" i="4"/>
  <c r="P68" i="4"/>
  <c r="Q68" i="4"/>
  <c r="R68" i="4"/>
  <c r="S68" i="4"/>
  <c r="T68" i="4"/>
  <c r="U68" i="4"/>
  <c r="V68" i="4"/>
  <c r="W68" i="4"/>
  <c r="X68" i="4"/>
  <c r="Y68" i="4"/>
  <c r="Z68" i="4"/>
  <c r="AA68" i="4"/>
  <c r="E69" i="4"/>
  <c r="F69" i="4"/>
  <c r="G69" i="4"/>
  <c r="H69" i="4"/>
  <c r="I69" i="4"/>
  <c r="J69" i="4"/>
  <c r="K69" i="4"/>
  <c r="L69" i="4"/>
  <c r="M69" i="4"/>
  <c r="N69" i="4"/>
  <c r="O69" i="4"/>
  <c r="P69" i="4"/>
  <c r="Q69" i="4"/>
  <c r="R69" i="4"/>
  <c r="S69" i="4"/>
  <c r="T69" i="4"/>
  <c r="U69" i="4"/>
  <c r="V69" i="4"/>
  <c r="W69" i="4"/>
  <c r="X69" i="4"/>
  <c r="Y69" i="4"/>
  <c r="Z69" i="4"/>
  <c r="AA69" i="4"/>
  <c r="E70" i="4"/>
  <c r="F70" i="4"/>
  <c r="G70" i="4"/>
  <c r="H70" i="4"/>
  <c r="I70" i="4"/>
  <c r="J70" i="4"/>
  <c r="K70" i="4"/>
  <c r="L70" i="4"/>
  <c r="M70" i="4"/>
  <c r="N70" i="4"/>
  <c r="O70" i="4"/>
  <c r="P70" i="4"/>
  <c r="Q70" i="4"/>
  <c r="R70" i="4"/>
  <c r="S70" i="4"/>
  <c r="T70" i="4"/>
  <c r="U70" i="4"/>
  <c r="V70" i="4"/>
  <c r="W70" i="4"/>
  <c r="X70" i="4"/>
  <c r="Y70" i="4"/>
  <c r="Z70" i="4"/>
  <c r="AA70" i="4"/>
  <c r="E71" i="4"/>
  <c r="F71" i="4"/>
  <c r="G71" i="4"/>
  <c r="H71" i="4"/>
  <c r="I71" i="4"/>
  <c r="J71" i="4"/>
  <c r="K71" i="4"/>
  <c r="L71" i="4"/>
  <c r="M71" i="4"/>
  <c r="N71" i="4"/>
  <c r="O71" i="4"/>
  <c r="P71" i="4"/>
  <c r="Q71" i="4"/>
  <c r="R71" i="4"/>
  <c r="S71" i="4"/>
  <c r="T71" i="4"/>
  <c r="U71" i="4"/>
  <c r="V71" i="4"/>
  <c r="W71" i="4"/>
  <c r="X71" i="4"/>
  <c r="Y71" i="4"/>
  <c r="Z71" i="4"/>
  <c r="AA71" i="4"/>
  <c r="E72" i="4"/>
  <c r="F72" i="4"/>
  <c r="G72" i="4"/>
  <c r="H72" i="4"/>
  <c r="I72" i="4"/>
  <c r="J72" i="4"/>
  <c r="K72" i="4"/>
  <c r="L72" i="4"/>
  <c r="M72" i="4"/>
  <c r="N72" i="4"/>
  <c r="O72" i="4"/>
  <c r="P72" i="4"/>
  <c r="Q72" i="4"/>
  <c r="R72" i="4"/>
  <c r="S72" i="4"/>
  <c r="T72" i="4"/>
  <c r="U72" i="4"/>
  <c r="V72" i="4"/>
  <c r="W72" i="4"/>
  <c r="X72" i="4"/>
  <c r="Y72" i="4"/>
  <c r="Z72" i="4"/>
  <c r="AA72" i="4"/>
  <c r="E73" i="4"/>
  <c r="F73" i="4"/>
  <c r="G73" i="4"/>
  <c r="H73" i="4"/>
  <c r="I73" i="4"/>
  <c r="J73" i="4"/>
  <c r="K73" i="4"/>
  <c r="L73" i="4"/>
  <c r="M73" i="4"/>
  <c r="N73" i="4"/>
  <c r="O73" i="4"/>
  <c r="P73" i="4"/>
  <c r="Q73" i="4"/>
  <c r="R73" i="4"/>
  <c r="S73" i="4"/>
  <c r="T73" i="4"/>
  <c r="U73" i="4"/>
  <c r="V73" i="4"/>
  <c r="W73" i="4"/>
  <c r="X73" i="4"/>
  <c r="Y73" i="4"/>
  <c r="Z73" i="4"/>
  <c r="AA73" i="4"/>
  <c r="E74" i="4"/>
  <c r="F74" i="4"/>
  <c r="G74" i="4"/>
  <c r="H74" i="4"/>
  <c r="I74" i="4"/>
  <c r="J74" i="4"/>
  <c r="K74" i="4"/>
  <c r="L74" i="4"/>
  <c r="M74" i="4"/>
  <c r="N74" i="4"/>
  <c r="O74" i="4"/>
  <c r="P74" i="4"/>
  <c r="Q74" i="4"/>
  <c r="R74" i="4"/>
  <c r="S74" i="4"/>
  <c r="T74" i="4"/>
  <c r="U74" i="4"/>
  <c r="V74" i="4"/>
  <c r="W74" i="4"/>
  <c r="X74" i="4"/>
  <c r="Y74" i="4"/>
  <c r="Z74" i="4"/>
  <c r="AA74" i="4"/>
  <c r="E75" i="4"/>
  <c r="F75" i="4"/>
  <c r="G75" i="4"/>
  <c r="H75" i="4"/>
  <c r="I75" i="4"/>
  <c r="J75" i="4"/>
  <c r="K75" i="4"/>
  <c r="L75" i="4"/>
  <c r="M75" i="4"/>
  <c r="N75" i="4"/>
  <c r="O75" i="4"/>
  <c r="P75" i="4"/>
  <c r="Q75" i="4"/>
  <c r="R75" i="4"/>
  <c r="S75" i="4"/>
  <c r="T75" i="4"/>
  <c r="U75" i="4"/>
  <c r="V75" i="4"/>
  <c r="W75" i="4"/>
  <c r="X75" i="4"/>
  <c r="Y75" i="4"/>
  <c r="Z75" i="4"/>
  <c r="AA75" i="4"/>
  <c r="E76" i="4"/>
  <c r="F76" i="4"/>
  <c r="G76" i="4"/>
  <c r="H76" i="4"/>
  <c r="I76" i="4"/>
  <c r="J76" i="4"/>
  <c r="K76" i="4"/>
  <c r="L76" i="4"/>
  <c r="M76" i="4"/>
  <c r="N76" i="4"/>
  <c r="O76" i="4"/>
  <c r="P76" i="4"/>
  <c r="Q76" i="4"/>
  <c r="R76" i="4"/>
  <c r="S76" i="4"/>
  <c r="T76" i="4"/>
  <c r="U76" i="4"/>
  <c r="V76" i="4"/>
  <c r="W76" i="4"/>
  <c r="X76" i="4"/>
  <c r="Y76" i="4"/>
  <c r="Z76" i="4"/>
  <c r="AA76" i="4"/>
  <c r="E77" i="4"/>
  <c r="F77" i="4"/>
  <c r="G77" i="4"/>
  <c r="H77" i="4"/>
  <c r="I77" i="4"/>
  <c r="J77" i="4"/>
  <c r="K77" i="4"/>
  <c r="L77" i="4"/>
  <c r="M77" i="4"/>
  <c r="N77" i="4"/>
  <c r="O77" i="4"/>
  <c r="P77" i="4"/>
  <c r="Q77" i="4"/>
  <c r="R77" i="4"/>
  <c r="S77" i="4"/>
  <c r="T77" i="4"/>
  <c r="U77" i="4"/>
  <c r="V77" i="4"/>
  <c r="W77" i="4"/>
  <c r="X77" i="4"/>
  <c r="Y77" i="4"/>
  <c r="Z77" i="4"/>
  <c r="AA77" i="4"/>
  <c r="E78" i="4"/>
  <c r="F78" i="4"/>
  <c r="G78" i="4"/>
  <c r="H78" i="4"/>
  <c r="I78" i="4"/>
  <c r="J78" i="4"/>
  <c r="K78" i="4"/>
  <c r="L78" i="4"/>
  <c r="M78" i="4"/>
  <c r="N78" i="4"/>
  <c r="O78" i="4"/>
  <c r="P78" i="4"/>
  <c r="Q78" i="4"/>
  <c r="R78" i="4"/>
  <c r="S78" i="4"/>
  <c r="T78" i="4"/>
  <c r="U78" i="4"/>
  <c r="V78" i="4"/>
  <c r="W78" i="4"/>
  <c r="X78" i="4"/>
  <c r="Y78" i="4"/>
  <c r="Z78" i="4"/>
  <c r="AA78" i="4"/>
  <c r="A70" i="4"/>
  <c r="B70" i="4"/>
  <c r="D70" i="4"/>
  <c r="A71" i="4"/>
  <c r="B71" i="4"/>
  <c r="D71" i="4"/>
  <c r="A72" i="4"/>
  <c r="B72" i="4"/>
  <c r="D72" i="4"/>
  <c r="A73" i="4"/>
  <c r="B73" i="4"/>
  <c r="D73" i="4"/>
  <c r="A74" i="4"/>
  <c r="B74" i="4"/>
  <c r="D74" i="4"/>
  <c r="A75" i="4"/>
  <c r="B75" i="4"/>
  <c r="D75" i="4"/>
  <c r="A76" i="4"/>
  <c r="B76" i="4"/>
  <c r="D76" i="4"/>
  <c r="A77" i="4"/>
  <c r="B77" i="4"/>
  <c r="D77" i="4"/>
  <c r="A78" i="4"/>
  <c r="B78" i="4"/>
  <c r="D78" i="4"/>
  <c r="A44" i="4"/>
  <c r="B44" i="4"/>
  <c r="D44" i="4"/>
  <c r="A45" i="4"/>
  <c r="B45" i="4"/>
  <c r="D45" i="4"/>
  <c r="A46" i="4"/>
  <c r="B46" i="4"/>
  <c r="D46" i="4"/>
  <c r="A47" i="4"/>
  <c r="B47" i="4"/>
  <c r="D47" i="4"/>
  <c r="A48" i="4"/>
  <c r="B48" i="4"/>
  <c r="D48" i="4"/>
  <c r="A49" i="4"/>
  <c r="B49" i="4"/>
  <c r="D49" i="4"/>
  <c r="A50" i="4"/>
  <c r="B50" i="4"/>
  <c r="D50" i="4"/>
  <c r="A51" i="4"/>
  <c r="B51" i="4"/>
  <c r="D51" i="4"/>
  <c r="A52" i="4"/>
  <c r="B52" i="4"/>
  <c r="D52" i="4"/>
  <c r="A53" i="4"/>
  <c r="B53" i="4"/>
  <c r="D53" i="4"/>
  <c r="A54" i="4"/>
  <c r="B54" i="4"/>
  <c r="D54" i="4"/>
  <c r="A55" i="4"/>
  <c r="B55" i="4"/>
  <c r="D55" i="4"/>
  <c r="A56" i="4"/>
  <c r="B56" i="4"/>
  <c r="D56" i="4"/>
  <c r="A57" i="4"/>
  <c r="B57" i="4"/>
  <c r="D57" i="4"/>
  <c r="A58" i="4"/>
  <c r="B58" i="4"/>
  <c r="D58" i="4"/>
  <c r="A59" i="4"/>
  <c r="B59" i="4"/>
  <c r="D59" i="4"/>
  <c r="A60" i="4"/>
  <c r="B60" i="4"/>
  <c r="D60" i="4"/>
  <c r="A61" i="4"/>
  <c r="B61" i="4"/>
  <c r="D61" i="4"/>
  <c r="A62" i="4"/>
  <c r="B62" i="4"/>
  <c r="D62" i="4"/>
  <c r="A63" i="4"/>
  <c r="B63" i="4"/>
  <c r="D63" i="4"/>
  <c r="A64" i="4"/>
  <c r="B64" i="4"/>
  <c r="D64" i="4"/>
  <c r="A65" i="4"/>
  <c r="B65" i="4"/>
  <c r="D65" i="4"/>
  <c r="A66" i="4"/>
  <c r="B66" i="4"/>
  <c r="D66" i="4"/>
  <c r="A67" i="4"/>
  <c r="B67" i="4"/>
  <c r="D67" i="4"/>
  <c r="A68" i="4"/>
  <c r="B68" i="4"/>
  <c r="A69" i="4"/>
  <c r="B69" i="4"/>
  <c r="D69" i="4"/>
  <c r="D43" i="4"/>
  <c r="B43" i="4"/>
  <c r="A43" i="4"/>
  <c r="AO36" i="4"/>
  <c r="AN36" i="4"/>
  <c r="AM36" i="4"/>
  <c r="AL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F66" i="2"/>
  <c r="F67" i="2"/>
  <c r="F68" i="2"/>
  <c r="F69" i="2"/>
  <c r="F70" i="2"/>
  <c r="F71" i="2"/>
  <c r="F72" i="2"/>
  <c r="F73" i="2"/>
  <c r="F74" i="2"/>
  <c r="F75" i="2"/>
  <c r="F76" i="2"/>
  <c r="F77" i="2"/>
  <c r="F78" i="2"/>
  <c r="F79" i="2"/>
  <c r="F80" i="2"/>
  <c r="F81" i="2"/>
  <c r="F82" i="2"/>
  <c r="F83" i="2"/>
  <c r="G66" i="2"/>
  <c r="H66" i="2"/>
  <c r="I66" i="2"/>
  <c r="J66" i="2"/>
  <c r="K66" i="2"/>
  <c r="L66" i="2"/>
  <c r="M66" i="2"/>
  <c r="N66" i="2"/>
  <c r="O66" i="2"/>
  <c r="P66" i="2"/>
  <c r="Q66" i="2"/>
  <c r="R66" i="2"/>
  <c r="S66" i="2"/>
  <c r="T66" i="2"/>
  <c r="U66" i="2"/>
  <c r="V66" i="2"/>
  <c r="W66" i="2"/>
  <c r="X66" i="2"/>
  <c r="Y66" i="2"/>
  <c r="Z66" i="2"/>
  <c r="AA66" i="2"/>
  <c r="AB66" i="2"/>
  <c r="AC66" i="2"/>
  <c r="AD66" i="2"/>
  <c r="AE66" i="2"/>
  <c r="AF66" i="2"/>
  <c r="AG66" i="2"/>
  <c r="AH66" i="2"/>
  <c r="AI66" i="2"/>
  <c r="AJ66" i="2"/>
  <c r="AK66" i="2"/>
  <c r="AL66" i="2"/>
  <c r="AM66" i="2"/>
  <c r="AN66" i="2"/>
  <c r="AO66" i="2"/>
  <c r="AP66" i="2"/>
  <c r="AQ66" i="2"/>
  <c r="AR66" i="2"/>
  <c r="AS66" i="2"/>
  <c r="AT66" i="2"/>
  <c r="AU66" i="2"/>
  <c r="AV66" i="2"/>
  <c r="AW66" i="2"/>
  <c r="AX66" i="2"/>
  <c r="AY66" i="2"/>
  <c r="AZ66" i="2"/>
  <c r="BA66" i="2"/>
  <c r="BB66" i="2"/>
  <c r="G67" i="2"/>
  <c r="H67" i="2"/>
  <c r="I67" i="2"/>
  <c r="J67" i="2"/>
  <c r="K67" i="2"/>
  <c r="L67" i="2"/>
  <c r="M67" i="2"/>
  <c r="N67" i="2"/>
  <c r="O67" i="2"/>
  <c r="P67" i="2"/>
  <c r="Q67" i="2"/>
  <c r="R67" i="2"/>
  <c r="S67" i="2"/>
  <c r="T67" i="2"/>
  <c r="U67" i="2"/>
  <c r="V67" i="2"/>
  <c r="W67" i="2"/>
  <c r="X67" i="2"/>
  <c r="Y67" i="2"/>
  <c r="Z67" i="2"/>
  <c r="AA67" i="2"/>
  <c r="AB67" i="2"/>
  <c r="AC67" i="2"/>
  <c r="AD67" i="2"/>
  <c r="AE67" i="2"/>
  <c r="AF67" i="2"/>
  <c r="AG67" i="2"/>
  <c r="AH67" i="2"/>
  <c r="AI67" i="2"/>
  <c r="AJ67" i="2"/>
  <c r="AK67" i="2"/>
  <c r="AL67" i="2"/>
  <c r="AM67" i="2"/>
  <c r="AN67" i="2"/>
  <c r="AO67" i="2"/>
  <c r="AP67" i="2"/>
  <c r="AQ67" i="2"/>
  <c r="AR67" i="2"/>
  <c r="AS67" i="2"/>
  <c r="AT67" i="2"/>
  <c r="AU67" i="2"/>
  <c r="AV67" i="2"/>
  <c r="AW67" i="2"/>
  <c r="AX67" i="2"/>
  <c r="AY67" i="2"/>
  <c r="AZ67" i="2"/>
  <c r="BA67" i="2"/>
  <c r="BB67" i="2"/>
  <c r="BC67" i="2"/>
  <c r="G68" i="2"/>
  <c r="H68" i="2"/>
  <c r="I68" i="2"/>
  <c r="J68" i="2"/>
  <c r="K68" i="2"/>
  <c r="L68" i="2"/>
  <c r="M68" i="2"/>
  <c r="N68" i="2"/>
  <c r="O68" i="2"/>
  <c r="P68" i="2"/>
  <c r="Q68" i="2"/>
  <c r="R68" i="2"/>
  <c r="S68" i="2"/>
  <c r="T68" i="2"/>
  <c r="U68" i="2"/>
  <c r="V68" i="2"/>
  <c r="W68" i="2"/>
  <c r="X68" i="2"/>
  <c r="Y68" i="2"/>
  <c r="Z68" i="2"/>
  <c r="AA68" i="2"/>
  <c r="AB68" i="2"/>
  <c r="AC68" i="2"/>
  <c r="AD68" i="2"/>
  <c r="AE68" i="2"/>
  <c r="AF68" i="2"/>
  <c r="AG68" i="2"/>
  <c r="AH68" i="2"/>
  <c r="AI68" i="2"/>
  <c r="AJ68" i="2"/>
  <c r="AK68" i="2"/>
  <c r="AL68" i="2"/>
  <c r="AM68" i="2"/>
  <c r="AN68" i="2"/>
  <c r="AO68" i="2"/>
  <c r="AP68" i="2"/>
  <c r="AQ68" i="2"/>
  <c r="AR68" i="2"/>
  <c r="AS68" i="2"/>
  <c r="AT68" i="2"/>
  <c r="AU68" i="2"/>
  <c r="AV68" i="2"/>
  <c r="AW68" i="2"/>
  <c r="AX68" i="2"/>
  <c r="AY68" i="2"/>
  <c r="AZ68" i="2"/>
  <c r="BA68" i="2"/>
  <c r="BB68" i="2"/>
  <c r="BC68"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AS69" i="2"/>
  <c r="AT69" i="2"/>
  <c r="AU69" i="2"/>
  <c r="AV69" i="2"/>
  <c r="AW69" i="2"/>
  <c r="AX69" i="2"/>
  <c r="AY69" i="2"/>
  <c r="AZ69" i="2"/>
  <c r="BA69" i="2"/>
  <c r="BB69" i="2"/>
  <c r="BC69" i="2"/>
  <c r="G70" i="2"/>
  <c r="H70" i="2"/>
  <c r="I70" i="2"/>
  <c r="J70" i="2"/>
  <c r="K70" i="2"/>
  <c r="L70" i="2"/>
  <c r="M70" i="2"/>
  <c r="N70" i="2"/>
  <c r="O70" i="2"/>
  <c r="P70" i="2"/>
  <c r="Q70" i="2"/>
  <c r="R70" i="2"/>
  <c r="S70" i="2"/>
  <c r="T70" i="2"/>
  <c r="U70" i="2"/>
  <c r="V70" i="2"/>
  <c r="W70" i="2"/>
  <c r="X70" i="2"/>
  <c r="Y70" i="2"/>
  <c r="Z70" i="2"/>
  <c r="AA70" i="2"/>
  <c r="AB70" i="2"/>
  <c r="AC70" i="2"/>
  <c r="AD70" i="2"/>
  <c r="AE70" i="2"/>
  <c r="AF70" i="2"/>
  <c r="AG70" i="2"/>
  <c r="AH70" i="2"/>
  <c r="AI70" i="2"/>
  <c r="AJ70" i="2"/>
  <c r="AK70" i="2"/>
  <c r="AL70" i="2"/>
  <c r="AM70" i="2"/>
  <c r="AN70" i="2"/>
  <c r="AO70" i="2"/>
  <c r="AP70" i="2"/>
  <c r="AQ70" i="2"/>
  <c r="AR70" i="2"/>
  <c r="AS70" i="2"/>
  <c r="AT70" i="2"/>
  <c r="AU70" i="2"/>
  <c r="AV70" i="2"/>
  <c r="AW70" i="2"/>
  <c r="AX70" i="2"/>
  <c r="AY70" i="2"/>
  <c r="AZ70" i="2"/>
  <c r="BA70" i="2"/>
  <c r="BB70" i="2"/>
  <c r="BC70" i="2"/>
  <c r="G71" i="2"/>
  <c r="H71" i="2"/>
  <c r="I71" i="2"/>
  <c r="J71" i="2"/>
  <c r="K71" i="2"/>
  <c r="L71" i="2"/>
  <c r="M71" i="2"/>
  <c r="N71" i="2"/>
  <c r="O71" i="2"/>
  <c r="P71" i="2"/>
  <c r="Q71" i="2"/>
  <c r="R71" i="2"/>
  <c r="S71" i="2"/>
  <c r="T71" i="2"/>
  <c r="U71" i="2"/>
  <c r="V71" i="2"/>
  <c r="W71" i="2"/>
  <c r="X71" i="2"/>
  <c r="Y71" i="2"/>
  <c r="Z71" i="2"/>
  <c r="AA71" i="2"/>
  <c r="AB71" i="2"/>
  <c r="AC71" i="2"/>
  <c r="AD71" i="2"/>
  <c r="AE71" i="2"/>
  <c r="AF71" i="2"/>
  <c r="AG71" i="2"/>
  <c r="AH71" i="2"/>
  <c r="AI71" i="2"/>
  <c r="AJ71" i="2"/>
  <c r="AK71" i="2"/>
  <c r="AL71" i="2"/>
  <c r="AM71" i="2"/>
  <c r="AN71" i="2"/>
  <c r="AO71" i="2"/>
  <c r="AP71" i="2"/>
  <c r="AQ71" i="2"/>
  <c r="AR71" i="2"/>
  <c r="AS71" i="2"/>
  <c r="AT71" i="2"/>
  <c r="AU71" i="2"/>
  <c r="AV71" i="2"/>
  <c r="AW71" i="2"/>
  <c r="AX71" i="2"/>
  <c r="AY71" i="2"/>
  <c r="AZ71" i="2"/>
  <c r="BA71" i="2"/>
  <c r="BB71" i="2"/>
  <c r="BC71" i="2"/>
  <c r="G72" i="2"/>
  <c r="H72" i="2"/>
  <c r="I72" i="2"/>
  <c r="J72" i="2"/>
  <c r="K72" i="2"/>
  <c r="L72" i="2"/>
  <c r="M72" i="2"/>
  <c r="N72" i="2"/>
  <c r="O72" i="2"/>
  <c r="P72" i="2"/>
  <c r="Q72" i="2"/>
  <c r="R72" i="2"/>
  <c r="S72" i="2"/>
  <c r="T72" i="2"/>
  <c r="U72" i="2"/>
  <c r="V72" i="2"/>
  <c r="W72" i="2"/>
  <c r="X72" i="2"/>
  <c r="Y72" i="2"/>
  <c r="Z72" i="2"/>
  <c r="AA72" i="2"/>
  <c r="AB72" i="2"/>
  <c r="AC72" i="2"/>
  <c r="AD72" i="2"/>
  <c r="AE72" i="2"/>
  <c r="AF72" i="2"/>
  <c r="AG72" i="2"/>
  <c r="AH72" i="2"/>
  <c r="AI72" i="2"/>
  <c r="AJ72" i="2"/>
  <c r="AK72" i="2"/>
  <c r="AL72" i="2"/>
  <c r="AM72" i="2"/>
  <c r="AN72" i="2"/>
  <c r="AO72" i="2"/>
  <c r="AP72" i="2"/>
  <c r="AQ72" i="2"/>
  <c r="AR72" i="2"/>
  <c r="AS72" i="2"/>
  <c r="AT72" i="2"/>
  <c r="AU72" i="2"/>
  <c r="AV72" i="2"/>
  <c r="AW72" i="2"/>
  <c r="AX72" i="2"/>
  <c r="AY72" i="2"/>
  <c r="AZ72" i="2"/>
  <c r="BA72" i="2"/>
  <c r="BB72" i="2"/>
  <c r="BC72" i="2"/>
  <c r="G73" i="2"/>
  <c r="H73" i="2"/>
  <c r="I73" i="2"/>
  <c r="J73" i="2"/>
  <c r="K73" i="2"/>
  <c r="L73" i="2"/>
  <c r="M73" i="2"/>
  <c r="N73" i="2"/>
  <c r="O73" i="2"/>
  <c r="P73" i="2"/>
  <c r="Q73" i="2"/>
  <c r="R73" i="2"/>
  <c r="S73" i="2"/>
  <c r="T73" i="2"/>
  <c r="U73" i="2"/>
  <c r="V73" i="2"/>
  <c r="W73" i="2"/>
  <c r="X73" i="2"/>
  <c r="Y73" i="2"/>
  <c r="Z73" i="2"/>
  <c r="AA73" i="2"/>
  <c r="AB73" i="2"/>
  <c r="AC73" i="2"/>
  <c r="AD73" i="2"/>
  <c r="AE73" i="2"/>
  <c r="AF73" i="2"/>
  <c r="AG73" i="2"/>
  <c r="AH73" i="2"/>
  <c r="AI73" i="2"/>
  <c r="AJ73" i="2"/>
  <c r="AK73" i="2"/>
  <c r="AL73" i="2"/>
  <c r="AM73" i="2"/>
  <c r="AN73" i="2"/>
  <c r="AO73" i="2"/>
  <c r="AP73" i="2"/>
  <c r="AQ73" i="2"/>
  <c r="AR73" i="2"/>
  <c r="AS73" i="2"/>
  <c r="AT73" i="2"/>
  <c r="AU73" i="2"/>
  <c r="AV73" i="2"/>
  <c r="AW73" i="2"/>
  <c r="AX73" i="2"/>
  <c r="AY73" i="2"/>
  <c r="AZ73" i="2"/>
  <c r="BA73" i="2"/>
  <c r="BB73" i="2"/>
  <c r="BC73" i="2"/>
  <c r="G74" i="2"/>
  <c r="H74" i="2"/>
  <c r="I74" i="2"/>
  <c r="J74" i="2"/>
  <c r="K74" i="2"/>
  <c r="L74" i="2"/>
  <c r="M74" i="2"/>
  <c r="N74" i="2"/>
  <c r="O74" i="2"/>
  <c r="P74" i="2"/>
  <c r="Q74" i="2"/>
  <c r="R74" i="2"/>
  <c r="S74" i="2"/>
  <c r="T74" i="2"/>
  <c r="U74" i="2"/>
  <c r="V74" i="2"/>
  <c r="W74" i="2"/>
  <c r="X74" i="2"/>
  <c r="Y74" i="2"/>
  <c r="Z74" i="2"/>
  <c r="AA74" i="2"/>
  <c r="AB74" i="2"/>
  <c r="AC74" i="2"/>
  <c r="AD74" i="2"/>
  <c r="AE74" i="2"/>
  <c r="AF74" i="2"/>
  <c r="AG74" i="2"/>
  <c r="AH74" i="2"/>
  <c r="AI74" i="2"/>
  <c r="AJ74" i="2"/>
  <c r="AK74" i="2"/>
  <c r="AL74" i="2"/>
  <c r="AM74" i="2"/>
  <c r="AN74" i="2"/>
  <c r="AO74" i="2"/>
  <c r="AP74" i="2"/>
  <c r="AQ74" i="2"/>
  <c r="AR74" i="2"/>
  <c r="AS74" i="2"/>
  <c r="AT74" i="2"/>
  <c r="AU74" i="2"/>
  <c r="AV74" i="2"/>
  <c r="AW74" i="2"/>
  <c r="AX74" i="2"/>
  <c r="AY74" i="2"/>
  <c r="AZ74" i="2"/>
  <c r="BA74" i="2"/>
  <c r="BB74" i="2"/>
  <c r="BC74" i="2"/>
  <c r="G75" i="2"/>
  <c r="H75" i="2"/>
  <c r="I75" i="2"/>
  <c r="J75" i="2"/>
  <c r="K75" i="2"/>
  <c r="L75" i="2"/>
  <c r="M75" i="2"/>
  <c r="N75" i="2"/>
  <c r="O75" i="2"/>
  <c r="P75" i="2"/>
  <c r="Q75" i="2"/>
  <c r="R75" i="2"/>
  <c r="S75" i="2"/>
  <c r="T75" i="2"/>
  <c r="U75" i="2"/>
  <c r="V75" i="2"/>
  <c r="W75" i="2"/>
  <c r="X75" i="2"/>
  <c r="Y75" i="2"/>
  <c r="Z75" i="2"/>
  <c r="AA75" i="2"/>
  <c r="AB75" i="2"/>
  <c r="AC75" i="2"/>
  <c r="AD75" i="2"/>
  <c r="AE75" i="2"/>
  <c r="AF75" i="2"/>
  <c r="AG75" i="2"/>
  <c r="AH75" i="2"/>
  <c r="AI75" i="2"/>
  <c r="AJ75" i="2"/>
  <c r="AK75" i="2"/>
  <c r="AL75" i="2"/>
  <c r="AM75" i="2"/>
  <c r="AN75" i="2"/>
  <c r="AO75" i="2"/>
  <c r="AP75" i="2"/>
  <c r="AQ75" i="2"/>
  <c r="AR75" i="2"/>
  <c r="AS75" i="2"/>
  <c r="AT75" i="2"/>
  <c r="AU75" i="2"/>
  <c r="AV75" i="2"/>
  <c r="AW75" i="2"/>
  <c r="AX75" i="2"/>
  <c r="AY75" i="2"/>
  <c r="AZ75" i="2"/>
  <c r="BA75" i="2"/>
  <c r="BB75" i="2"/>
  <c r="BC75" i="2"/>
  <c r="G76" i="2"/>
  <c r="H76" i="2"/>
  <c r="I76" i="2"/>
  <c r="J76" i="2"/>
  <c r="K76" i="2"/>
  <c r="L76" i="2"/>
  <c r="M76" i="2"/>
  <c r="N76" i="2"/>
  <c r="O76" i="2"/>
  <c r="P76" i="2"/>
  <c r="Q76" i="2"/>
  <c r="R76" i="2"/>
  <c r="S76" i="2"/>
  <c r="T76" i="2"/>
  <c r="U76" i="2"/>
  <c r="V76" i="2"/>
  <c r="W76" i="2"/>
  <c r="X76" i="2"/>
  <c r="Y76" i="2"/>
  <c r="Z76" i="2"/>
  <c r="AA76" i="2"/>
  <c r="AB76" i="2"/>
  <c r="AC76" i="2"/>
  <c r="AD76" i="2"/>
  <c r="AE76" i="2"/>
  <c r="AF76" i="2"/>
  <c r="AG76" i="2"/>
  <c r="AH76" i="2"/>
  <c r="AI76" i="2"/>
  <c r="AJ76" i="2"/>
  <c r="AK76" i="2"/>
  <c r="AL76" i="2"/>
  <c r="AM76" i="2"/>
  <c r="AN76" i="2"/>
  <c r="AO76" i="2"/>
  <c r="AP76" i="2"/>
  <c r="AQ76" i="2"/>
  <c r="AR76" i="2"/>
  <c r="AS76" i="2"/>
  <c r="AT76" i="2"/>
  <c r="AU76" i="2"/>
  <c r="AV76" i="2"/>
  <c r="AW76" i="2"/>
  <c r="AX76" i="2"/>
  <c r="AY76" i="2"/>
  <c r="AZ76" i="2"/>
  <c r="BA76" i="2"/>
  <c r="BB76" i="2"/>
  <c r="BC76" i="2"/>
  <c r="G77" i="2"/>
  <c r="H77" i="2"/>
  <c r="I77" i="2"/>
  <c r="J77" i="2"/>
  <c r="K77" i="2"/>
  <c r="L77" i="2"/>
  <c r="M77" i="2"/>
  <c r="N77" i="2"/>
  <c r="O77" i="2"/>
  <c r="P77" i="2"/>
  <c r="Q77" i="2"/>
  <c r="R77" i="2"/>
  <c r="S77" i="2"/>
  <c r="T77" i="2"/>
  <c r="U77" i="2"/>
  <c r="V77" i="2"/>
  <c r="W77" i="2"/>
  <c r="X77" i="2"/>
  <c r="Y77" i="2"/>
  <c r="Z77" i="2"/>
  <c r="AA77" i="2"/>
  <c r="AB77" i="2"/>
  <c r="AC77" i="2"/>
  <c r="AD77" i="2"/>
  <c r="AE77" i="2"/>
  <c r="AF77" i="2"/>
  <c r="AG77" i="2"/>
  <c r="AH77" i="2"/>
  <c r="AI77" i="2"/>
  <c r="AJ77" i="2"/>
  <c r="AK77" i="2"/>
  <c r="AL77" i="2"/>
  <c r="AM77" i="2"/>
  <c r="AN77" i="2"/>
  <c r="AO77" i="2"/>
  <c r="AP77" i="2"/>
  <c r="AQ77" i="2"/>
  <c r="AR77" i="2"/>
  <c r="AS77" i="2"/>
  <c r="AT77" i="2"/>
  <c r="AU77" i="2"/>
  <c r="AV77" i="2"/>
  <c r="AW77" i="2"/>
  <c r="AX77" i="2"/>
  <c r="AY77" i="2"/>
  <c r="AZ77" i="2"/>
  <c r="BA77" i="2"/>
  <c r="BB77" i="2"/>
  <c r="BC77" i="2"/>
  <c r="G78" i="2"/>
  <c r="H78" i="2"/>
  <c r="I78" i="2"/>
  <c r="J78" i="2"/>
  <c r="K78" i="2"/>
  <c r="L78" i="2"/>
  <c r="M78" i="2"/>
  <c r="N78" i="2"/>
  <c r="O78" i="2"/>
  <c r="P78" i="2"/>
  <c r="Q78" i="2"/>
  <c r="R78" i="2"/>
  <c r="S78" i="2"/>
  <c r="T78" i="2"/>
  <c r="U78" i="2"/>
  <c r="V78" i="2"/>
  <c r="W78" i="2"/>
  <c r="X78" i="2"/>
  <c r="Y78" i="2"/>
  <c r="Z78" i="2"/>
  <c r="AA78" i="2"/>
  <c r="AB78" i="2"/>
  <c r="AC78" i="2"/>
  <c r="AD78" i="2"/>
  <c r="AE78" i="2"/>
  <c r="AF78" i="2"/>
  <c r="AG78" i="2"/>
  <c r="AH78" i="2"/>
  <c r="AI78" i="2"/>
  <c r="AJ78" i="2"/>
  <c r="AK78" i="2"/>
  <c r="AL78" i="2"/>
  <c r="AM78" i="2"/>
  <c r="AN78" i="2"/>
  <c r="AO78" i="2"/>
  <c r="AP78" i="2"/>
  <c r="AQ78" i="2"/>
  <c r="AR78" i="2"/>
  <c r="AS78" i="2"/>
  <c r="AT78" i="2"/>
  <c r="AU78" i="2"/>
  <c r="AV78" i="2"/>
  <c r="AW78" i="2"/>
  <c r="AX78" i="2"/>
  <c r="AY78" i="2"/>
  <c r="AZ78" i="2"/>
  <c r="BA78" i="2"/>
  <c r="BB78" i="2"/>
  <c r="BC78" i="2"/>
  <c r="G79" i="2"/>
  <c r="H79" i="2"/>
  <c r="I79" i="2"/>
  <c r="J79" i="2"/>
  <c r="K79" i="2"/>
  <c r="L79" i="2"/>
  <c r="M79" i="2"/>
  <c r="N79" i="2"/>
  <c r="O79" i="2"/>
  <c r="P79" i="2"/>
  <c r="Q79" i="2"/>
  <c r="R79" i="2"/>
  <c r="S79" i="2"/>
  <c r="T79" i="2"/>
  <c r="U79" i="2"/>
  <c r="V79" i="2"/>
  <c r="W79" i="2"/>
  <c r="X79" i="2"/>
  <c r="Y79" i="2"/>
  <c r="Z79" i="2"/>
  <c r="AA79" i="2"/>
  <c r="AB79" i="2"/>
  <c r="AC79" i="2"/>
  <c r="AD79" i="2"/>
  <c r="AE79" i="2"/>
  <c r="AF79" i="2"/>
  <c r="AG79" i="2"/>
  <c r="AH79" i="2"/>
  <c r="AI79" i="2"/>
  <c r="AJ79" i="2"/>
  <c r="AK79" i="2"/>
  <c r="AL79" i="2"/>
  <c r="AM79" i="2"/>
  <c r="AN79" i="2"/>
  <c r="AO79" i="2"/>
  <c r="AP79" i="2"/>
  <c r="AQ79" i="2"/>
  <c r="AR79" i="2"/>
  <c r="AS79" i="2"/>
  <c r="AT79" i="2"/>
  <c r="AU79" i="2"/>
  <c r="AV79" i="2"/>
  <c r="AW79" i="2"/>
  <c r="AX79" i="2"/>
  <c r="AY79" i="2"/>
  <c r="AZ79" i="2"/>
  <c r="BA79" i="2"/>
  <c r="BB79" i="2"/>
  <c r="BC79" i="2"/>
  <c r="G80" i="2"/>
  <c r="H80" i="2"/>
  <c r="I80" i="2"/>
  <c r="J80" i="2"/>
  <c r="K80" i="2"/>
  <c r="L80" i="2"/>
  <c r="M80" i="2"/>
  <c r="N80" i="2"/>
  <c r="O80" i="2"/>
  <c r="P80" i="2"/>
  <c r="Q80" i="2"/>
  <c r="R80" i="2"/>
  <c r="S80" i="2"/>
  <c r="T80" i="2"/>
  <c r="U80" i="2"/>
  <c r="V80" i="2"/>
  <c r="W80" i="2"/>
  <c r="X80" i="2"/>
  <c r="Y80" i="2"/>
  <c r="Z80" i="2"/>
  <c r="AA80" i="2"/>
  <c r="AB80" i="2"/>
  <c r="AC80" i="2"/>
  <c r="AD80" i="2"/>
  <c r="AE80" i="2"/>
  <c r="AF80" i="2"/>
  <c r="AG80" i="2"/>
  <c r="AH80" i="2"/>
  <c r="AI80" i="2"/>
  <c r="AJ80" i="2"/>
  <c r="AK80" i="2"/>
  <c r="AL80" i="2"/>
  <c r="AM80" i="2"/>
  <c r="AN80" i="2"/>
  <c r="AO80" i="2"/>
  <c r="AP80" i="2"/>
  <c r="AQ80" i="2"/>
  <c r="AR80" i="2"/>
  <c r="AS80" i="2"/>
  <c r="AT80" i="2"/>
  <c r="AU80" i="2"/>
  <c r="AV80" i="2"/>
  <c r="AW80" i="2"/>
  <c r="AX80" i="2"/>
  <c r="AY80" i="2"/>
  <c r="AZ80" i="2"/>
  <c r="BA80" i="2"/>
  <c r="BB80" i="2"/>
  <c r="BC80" i="2"/>
  <c r="G81" i="2"/>
  <c r="H81" i="2"/>
  <c r="I81" i="2"/>
  <c r="J81" i="2"/>
  <c r="K81" i="2"/>
  <c r="L81" i="2"/>
  <c r="M81" i="2"/>
  <c r="N81" i="2"/>
  <c r="O81" i="2"/>
  <c r="P81" i="2"/>
  <c r="Q81" i="2"/>
  <c r="R81" i="2"/>
  <c r="S81" i="2"/>
  <c r="T81" i="2"/>
  <c r="U81" i="2"/>
  <c r="V81" i="2"/>
  <c r="W81" i="2"/>
  <c r="X81" i="2"/>
  <c r="Y81" i="2"/>
  <c r="Z81" i="2"/>
  <c r="AA81" i="2"/>
  <c r="AB81" i="2"/>
  <c r="AC81" i="2"/>
  <c r="AD81" i="2"/>
  <c r="AE81" i="2"/>
  <c r="AF81" i="2"/>
  <c r="AG81" i="2"/>
  <c r="AH81" i="2"/>
  <c r="AI81" i="2"/>
  <c r="AJ81" i="2"/>
  <c r="AK81" i="2"/>
  <c r="AL81" i="2"/>
  <c r="AM81" i="2"/>
  <c r="AN81" i="2"/>
  <c r="AO81" i="2"/>
  <c r="AP81" i="2"/>
  <c r="AQ81" i="2"/>
  <c r="AR81" i="2"/>
  <c r="AS81" i="2"/>
  <c r="AT81" i="2"/>
  <c r="AU81" i="2"/>
  <c r="AV81" i="2"/>
  <c r="AW81" i="2"/>
  <c r="AX81" i="2"/>
  <c r="AY81" i="2"/>
  <c r="AZ81" i="2"/>
  <c r="BA81" i="2"/>
  <c r="BB81" i="2"/>
  <c r="BC81" i="2"/>
  <c r="G82" i="2"/>
  <c r="H82" i="2"/>
  <c r="I82" i="2"/>
  <c r="J82" i="2"/>
  <c r="K82" i="2"/>
  <c r="L82" i="2"/>
  <c r="M82" i="2"/>
  <c r="N82" i="2"/>
  <c r="O82" i="2"/>
  <c r="P82" i="2"/>
  <c r="Q82" i="2"/>
  <c r="R82" i="2"/>
  <c r="S82" i="2"/>
  <c r="T82" i="2"/>
  <c r="U82" i="2"/>
  <c r="V82" i="2"/>
  <c r="W82" i="2"/>
  <c r="X82" i="2"/>
  <c r="Y82" i="2"/>
  <c r="Z82" i="2"/>
  <c r="AA82" i="2"/>
  <c r="AB82" i="2"/>
  <c r="AC82" i="2"/>
  <c r="AD82" i="2"/>
  <c r="AE82" i="2"/>
  <c r="AF82" i="2"/>
  <c r="AG82" i="2"/>
  <c r="AH82" i="2"/>
  <c r="AI82" i="2"/>
  <c r="AJ82" i="2"/>
  <c r="AK82" i="2"/>
  <c r="AL82" i="2"/>
  <c r="AM82" i="2"/>
  <c r="AN82" i="2"/>
  <c r="AO82" i="2"/>
  <c r="AP82" i="2"/>
  <c r="AQ82" i="2"/>
  <c r="AR82" i="2"/>
  <c r="AS82" i="2"/>
  <c r="AT82" i="2"/>
  <c r="AU82" i="2"/>
  <c r="AV82" i="2"/>
  <c r="AW82" i="2"/>
  <c r="AX82" i="2"/>
  <c r="AY82" i="2"/>
  <c r="AZ82" i="2"/>
  <c r="BA82" i="2"/>
  <c r="BB82" i="2"/>
  <c r="BC82" i="2"/>
  <c r="G83" i="2"/>
  <c r="H83" i="2"/>
  <c r="I83" i="2"/>
  <c r="J83" i="2"/>
  <c r="K83" i="2"/>
  <c r="L83" i="2"/>
  <c r="M83" i="2"/>
  <c r="N83" i="2"/>
  <c r="O83" i="2"/>
  <c r="P83" i="2"/>
  <c r="Q83" i="2"/>
  <c r="R83" i="2"/>
  <c r="S83" i="2"/>
  <c r="T83" i="2"/>
  <c r="U83" i="2"/>
  <c r="V83" i="2"/>
  <c r="W83" i="2"/>
  <c r="X83" i="2"/>
  <c r="Y83" i="2"/>
  <c r="Z83" i="2"/>
  <c r="AA83" i="2"/>
  <c r="AB83" i="2"/>
  <c r="AC83" i="2"/>
  <c r="AD83" i="2"/>
  <c r="AE83" i="2"/>
  <c r="AF83" i="2"/>
  <c r="AG83" i="2"/>
  <c r="AH83" i="2"/>
  <c r="AI83" i="2"/>
  <c r="AJ83" i="2"/>
  <c r="AK83" i="2"/>
  <c r="AL83" i="2"/>
  <c r="AM83" i="2"/>
  <c r="AN83" i="2"/>
  <c r="AO83" i="2"/>
  <c r="AP83" i="2"/>
  <c r="AQ83" i="2"/>
  <c r="AR83" i="2"/>
  <c r="AS83" i="2"/>
  <c r="AT83" i="2"/>
  <c r="AU83" i="2"/>
  <c r="AV83" i="2"/>
  <c r="AW83" i="2"/>
  <c r="AX83" i="2"/>
  <c r="AY83" i="2"/>
  <c r="AZ83" i="2"/>
  <c r="BA83" i="2"/>
  <c r="BB83" i="2"/>
  <c r="BC83" i="2"/>
  <c r="B27" i="2"/>
  <c r="B28" i="2"/>
  <c r="B29" i="2"/>
  <c r="B30" i="2"/>
  <c r="B31" i="2"/>
  <c r="B32" i="2"/>
  <c r="B33" i="2"/>
  <c r="B34" i="2"/>
  <c r="B35" i="2"/>
  <c r="B36" i="2"/>
  <c r="B37" i="2"/>
  <c r="B38" i="2"/>
  <c r="B39" i="2"/>
  <c r="B40" i="2"/>
  <c r="B41" i="2"/>
  <c r="B42" i="2"/>
  <c r="B43" i="2"/>
  <c r="B44" i="2"/>
  <c r="B46" i="2"/>
  <c r="B47" i="2"/>
  <c r="B48" i="2"/>
  <c r="B49" i="2"/>
  <c r="B50" i="2"/>
  <c r="B51" i="2"/>
  <c r="B52" i="2"/>
  <c r="B53" i="2"/>
  <c r="B54" i="2"/>
  <c r="B55" i="2"/>
  <c r="B56" i="2"/>
  <c r="B57" i="2"/>
  <c r="B58" i="2"/>
  <c r="B59" i="2"/>
  <c r="B60" i="2"/>
  <c r="B61" i="2"/>
  <c r="B62" i="2"/>
  <c r="B63" i="2"/>
  <c r="B66" i="2"/>
  <c r="B67" i="2"/>
  <c r="B68" i="2"/>
  <c r="B69" i="2"/>
  <c r="B70" i="2"/>
  <c r="B71" i="2"/>
  <c r="B72" i="2"/>
  <c r="B73" i="2"/>
  <c r="B74" i="2"/>
  <c r="B75" i="2"/>
  <c r="B76" i="2"/>
  <c r="B77" i="2"/>
  <c r="B78" i="2"/>
  <c r="B79" i="2"/>
  <c r="B80" i="2"/>
  <c r="B81" i="2"/>
  <c r="B82" i="2"/>
  <c r="B83" i="2"/>
  <c r="A80" i="2"/>
  <c r="A81" i="2"/>
  <c r="A82" i="2"/>
  <c r="A83" i="2"/>
  <c r="A67" i="2"/>
  <c r="A68" i="2"/>
  <c r="A69" i="2"/>
  <c r="A70" i="2"/>
  <c r="A71" i="2"/>
  <c r="A72" i="2"/>
  <c r="A73" i="2"/>
  <c r="A74" i="2"/>
  <c r="A75" i="2"/>
  <c r="A76" i="2"/>
  <c r="A77" i="2"/>
  <c r="A78" i="2"/>
  <c r="A79" i="2"/>
  <c r="A66" i="2"/>
  <c r="A47" i="2"/>
  <c r="A48" i="2"/>
  <c r="A49" i="2"/>
  <c r="A50" i="2"/>
  <c r="A51" i="2"/>
  <c r="A52" i="2"/>
  <c r="A53" i="2"/>
  <c r="A54" i="2"/>
  <c r="A55" i="2"/>
  <c r="A56" i="2"/>
  <c r="A57" i="2"/>
  <c r="A58" i="2"/>
  <c r="A59" i="2"/>
  <c r="A60" i="2"/>
  <c r="A61" i="2"/>
  <c r="A62" i="2"/>
  <c r="A63" i="2"/>
  <c r="A46" i="2"/>
  <c r="A37" i="2"/>
  <c r="A38" i="2"/>
  <c r="A39" i="2"/>
  <c r="A40" i="2"/>
  <c r="A41" i="2"/>
  <c r="A42" i="2"/>
  <c r="A43" i="2"/>
  <c r="A44" i="2"/>
  <c r="A28" i="2"/>
  <c r="A29" i="2"/>
  <c r="A30" i="2"/>
  <c r="A31" i="2"/>
  <c r="A32" i="2"/>
  <c r="A33" i="2"/>
  <c r="A34" i="2"/>
  <c r="A35" i="2"/>
  <c r="A36" i="2"/>
  <c r="A27" i="2"/>
  <c r="B177" i="1" l="1"/>
  <c r="C177" i="1"/>
  <c r="D177" i="1"/>
  <c r="E177" i="1"/>
  <c r="A177" i="1"/>
  <c r="AE123" i="1" l="1"/>
  <c r="AF123" i="1"/>
  <c r="AG123" i="1"/>
  <c r="AH123" i="1"/>
  <c r="AI123" i="1"/>
  <c r="AJ123" i="1"/>
  <c r="AK123" i="1"/>
  <c r="AL123" i="1"/>
  <c r="AM123" i="1"/>
  <c r="AN123" i="1"/>
  <c r="AO123" i="1"/>
  <c r="AP123" i="1"/>
  <c r="AQ123" i="1"/>
  <c r="AR123" i="1"/>
  <c r="AS123" i="1"/>
  <c r="AT123" i="1"/>
  <c r="AU123" i="1"/>
  <c r="AV123" i="1"/>
  <c r="AL45" i="1" l="1"/>
  <c r="AM45" i="1"/>
  <c r="AN45" i="1"/>
  <c r="AO45" i="1"/>
  <c r="AP45" i="1"/>
  <c r="AQ45" i="1"/>
  <c r="AR45" i="1"/>
  <c r="AS45" i="1"/>
  <c r="AT45" i="1"/>
  <c r="AU45" i="1"/>
  <c r="AV45" i="1"/>
  <c r="AL46" i="1"/>
  <c r="AM46" i="1"/>
  <c r="AN46" i="1"/>
  <c r="AO46" i="1"/>
  <c r="AP46" i="1"/>
  <c r="AQ46" i="1"/>
  <c r="AR46" i="1"/>
  <c r="AS46" i="1"/>
  <c r="AT46" i="1"/>
  <c r="AU46" i="1"/>
  <c r="AV46" i="1"/>
  <c r="AL47" i="1"/>
  <c r="AM47" i="1"/>
  <c r="AN47" i="1"/>
  <c r="AO47" i="1"/>
  <c r="AP47" i="1"/>
  <c r="AQ47" i="1"/>
  <c r="AR47" i="1"/>
  <c r="AS47" i="1"/>
  <c r="AT47" i="1"/>
  <c r="AU47" i="1"/>
  <c r="AV47" i="1"/>
  <c r="AL50" i="1"/>
  <c r="AM50" i="1"/>
  <c r="AN50" i="1"/>
  <c r="AO50" i="1"/>
  <c r="AP50" i="1"/>
  <c r="AQ50" i="1"/>
  <c r="AR50" i="1"/>
  <c r="AS50" i="1"/>
  <c r="AT50" i="1"/>
  <c r="AU50" i="1"/>
  <c r="AV50" i="1"/>
  <c r="AL51" i="1"/>
  <c r="AM51" i="1"/>
  <c r="AN51" i="1"/>
  <c r="AO51" i="1"/>
  <c r="AP51" i="1"/>
  <c r="AQ51" i="1"/>
  <c r="AR51" i="1"/>
  <c r="AS51" i="1"/>
  <c r="AT51" i="1"/>
  <c r="AU51" i="1"/>
  <c r="AV51" i="1"/>
  <c r="AL52" i="1"/>
  <c r="AM52" i="1"/>
  <c r="AN52" i="1"/>
  <c r="AO52" i="1"/>
  <c r="AP52" i="1"/>
  <c r="AQ52" i="1"/>
  <c r="AR52" i="1"/>
  <c r="AS52" i="1"/>
  <c r="AT52" i="1"/>
  <c r="AU52" i="1"/>
  <c r="AV52" i="1"/>
  <c r="AK46" i="1"/>
  <c r="AK47" i="1"/>
  <c r="AK50" i="1"/>
  <c r="AK51" i="1"/>
  <c r="AK52" i="1"/>
  <c r="AK45" i="1"/>
</calcChain>
</file>

<file path=xl/sharedStrings.xml><?xml version="1.0" encoding="utf-8"?>
<sst xmlns="http://schemas.openxmlformats.org/spreadsheetml/2006/main" count="2870" uniqueCount="526">
  <si>
    <t>NSF</t>
  </si>
  <si>
    <t>BIO</t>
  </si>
  <si>
    <t>CISE</t>
  </si>
  <si>
    <t>ENG</t>
  </si>
  <si>
    <t>GEO</t>
  </si>
  <si>
    <t>MPS</t>
  </si>
  <si>
    <t>SBE</t>
  </si>
  <si>
    <t>OISE</t>
  </si>
  <si>
    <t>TIPS</t>
  </si>
  <si>
    <t>Integrative Activities</t>
  </si>
  <si>
    <t>R&amp;RA</t>
  </si>
  <si>
    <t>MREFC</t>
  </si>
  <si>
    <t>COVID-19</t>
  </si>
  <si>
    <t>AOAM</t>
  </si>
  <si>
    <t>OIG</t>
  </si>
  <si>
    <t>NSB</t>
  </si>
  <si>
    <t>USDA</t>
  </si>
  <si>
    <t>ARS</t>
  </si>
  <si>
    <t>NIFA</t>
  </si>
  <si>
    <t>ERS</t>
  </si>
  <si>
    <t>NASS</t>
  </si>
  <si>
    <t>ARRA</t>
  </si>
  <si>
    <t>DOE</t>
  </si>
  <si>
    <t>Adv Sci Comp</t>
  </si>
  <si>
    <t>BES</t>
  </si>
  <si>
    <t>Bio Env Res</t>
  </si>
  <si>
    <t>EERE</t>
  </si>
  <si>
    <t>Nuclear</t>
  </si>
  <si>
    <t>Fossil Energy R&amp;D</t>
  </si>
  <si>
    <t>ARPA-E</t>
  </si>
  <si>
    <t>NNSA</t>
  </si>
  <si>
    <t>CESER</t>
  </si>
  <si>
    <t>Hydrogen</t>
  </si>
  <si>
    <t>Solar</t>
  </si>
  <si>
    <t>Wind</t>
  </si>
  <si>
    <t>Geothermal</t>
  </si>
  <si>
    <t>Vehicles</t>
  </si>
  <si>
    <t>Buildings</t>
  </si>
  <si>
    <t>Science</t>
  </si>
  <si>
    <t>Aeronautics</t>
  </si>
  <si>
    <t>Space Technology</t>
  </si>
  <si>
    <t>Exploration</t>
  </si>
  <si>
    <t xml:space="preserve">Space Ops </t>
  </si>
  <si>
    <t>Support and Construction</t>
  </si>
  <si>
    <t>STEM Engagement</t>
  </si>
  <si>
    <t>USGS</t>
  </si>
  <si>
    <t>NOAA</t>
  </si>
  <si>
    <t>NOS</t>
  </si>
  <si>
    <t>NMFS</t>
  </si>
  <si>
    <t>OAR</t>
  </si>
  <si>
    <t>NESDIS</t>
  </si>
  <si>
    <t>NIST</t>
  </si>
  <si>
    <t>ITS</t>
  </si>
  <si>
    <t>DHS</t>
  </si>
  <si>
    <t>S&amp;T</t>
  </si>
  <si>
    <t>DNDO</t>
  </si>
  <si>
    <t>CWMD R&amp;D</t>
  </si>
  <si>
    <t>Institute for Education Sci</t>
  </si>
  <si>
    <t>Department</t>
  </si>
  <si>
    <t>Agency</t>
  </si>
  <si>
    <t>Program</t>
  </si>
  <si>
    <t>Commerce</t>
  </si>
  <si>
    <t>Agriculture</t>
  </si>
  <si>
    <t>NASA</t>
  </si>
  <si>
    <t>National Mapping, Geography</t>
  </si>
  <si>
    <t>Geological Hazards, Resources, and Processes</t>
  </si>
  <si>
    <t>Water Resources</t>
  </si>
  <si>
    <t xml:space="preserve">Biological Research </t>
  </si>
  <si>
    <t>Enterprise Information</t>
  </si>
  <si>
    <t>Ecosystems</t>
  </si>
  <si>
    <t>Climate and Land Use Change</t>
  </si>
  <si>
    <t>Energy, Minerals, and Enviro Health</t>
  </si>
  <si>
    <t>Natural Hazards</t>
  </si>
  <si>
    <t>Core Science Systems</t>
  </si>
  <si>
    <t>EPA</t>
  </si>
  <si>
    <t>Total</t>
  </si>
  <si>
    <t>Air, Climate, Energy</t>
  </si>
  <si>
    <t>Water</t>
  </si>
  <si>
    <t>Sustainable Communities</t>
  </si>
  <si>
    <t>Chem Safety</t>
  </si>
  <si>
    <t>Other S&amp;T</t>
  </si>
  <si>
    <t>VA</t>
  </si>
  <si>
    <t>Medical and Prosthetic Research</t>
  </si>
  <si>
    <t>Education</t>
  </si>
  <si>
    <t>Interior</t>
  </si>
  <si>
    <t>Subprogram</t>
  </si>
  <si>
    <t>Office of Science</t>
  </si>
  <si>
    <t>Dollar Type</t>
  </si>
  <si>
    <t>Subprograms</t>
  </si>
  <si>
    <t>GDP Deflator</t>
  </si>
  <si>
    <t>Constant 2017</t>
  </si>
  <si>
    <t>Current</t>
  </si>
  <si>
    <t>Electricity</t>
  </si>
  <si>
    <t>Construction</t>
  </si>
  <si>
    <t xml:space="preserve"> </t>
  </si>
  <si>
    <t>OMAO</t>
  </si>
  <si>
    <t>EPM</t>
  </si>
  <si>
    <t>FAA</t>
  </si>
  <si>
    <t>FRA</t>
  </si>
  <si>
    <t>NHTSA</t>
  </si>
  <si>
    <t>DOT</t>
  </si>
  <si>
    <t>HHS</t>
  </si>
  <si>
    <t>NIH</t>
  </si>
  <si>
    <t>CDC</t>
  </si>
  <si>
    <t>AHQR</t>
  </si>
  <si>
    <t>ARPA-Health</t>
  </si>
  <si>
    <t>FDA</t>
  </si>
  <si>
    <t>Railroad R&amp;D</t>
  </si>
  <si>
    <t>OS</t>
  </si>
  <si>
    <t>BSEE</t>
  </si>
  <si>
    <t>BOEM</t>
  </si>
  <si>
    <t>NPS</t>
  </si>
  <si>
    <t>NPS-Operation</t>
  </si>
  <si>
    <t>One-Year</t>
  </si>
  <si>
    <t>Steady</t>
  </si>
  <si>
    <t>One-year</t>
  </si>
  <si>
    <t>Earth Science</t>
  </si>
  <si>
    <t>Planetary Science</t>
  </si>
  <si>
    <t>Astrophysics</t>
  </si>
  <si>
    <t>Heliophysics</t>
  </si>
  <si>
    <t>Bio and Physical Sciences</t>
  </si>
  <si>
    <t>Full Name</t>
  </si>
  <si>
    <r>
      <rPr>
        <b/>
        <sz val="8"/>
        <color indexed="0"/>
        <rFont val="Arial"/>
        <family val="2"/>
      </rPr>
      <t>Total</t>
    </r>
  </si>
  <si>
    <r>
      <rPr>
        <b/>
        <sz val="8"/>
        <color indexed="0"/>
        <rFont val="Arial"/>
        <family val="2"/>
      </rPr>
      <t>Computer and information sciences</t>
    </r>
  </si>
  <si>
    <r>
      <rPr>
        <b/>
        <sz val="8"/>
        <color indexed="0"/>
        <rFont val="Arial"/>
        <family val="2"/>
      </rPr>
      <t>Geosciences, atmospheric sciences, and ocean sciences</t>
    </r>
  </si>
  <si>
    <r>
      <rPr>
        <b/>
        <sz val="8"/>
        <color indexed="0"/>
        <rFont val="Arial"/>
        <family val="2"/>
      </rPr>
      <t>Life sciences</t>
    </r>
  </si>
  <si>
    <r>
      <rPr>
        <b/>
        <sz val="8"/>
        <color indexed="0"/>
        <rFont val="Arial"/>
        <family val="2"/>
      </rPr>
      <t>Mathematics and statistics</t>
    </r>
  </si>
  <si>
    <r>
      <rPr>
        <b/>
        <sz val="8"/>
        <color indexed="0"/>
        <rFont val="Arial"/>
        <family val="2"/>
      </rPr>
      <t>Physical sciences</t>
    </r>
  </si>
  <si>
    <r>
      <rPr>
        <b/>
        <sz val="8"/>
        <color indexed="0"/>
        <rFont val="Arial"/>
        <family val="2"/>
      </rPr>
      <t>Psychology</t>
    </r>
  </si>
  <si>
    <r>
      <rPr>
        <b/>
        <sz val="8"/>
        <color indexed="0"/>
        <rFont val="Arial"/>
        <family val="2"/>
      </rPr>
      <t>Social sciences</t>
    </r>
  </si>
  <si>
    <r>
      <rPr>
        <b/>
        <sz val="8"/>
        <color indexed="0"/>
        <rFont val="Arial"/>
        <family val="2"/>
      </rPr>
      <t>Engineering</t>
    </r>
  </si>
  <si>
    <r>
      <rPr>
        <b/>
        <sz val="8"/>
        <color indexed="0"/>
        <rFont val="Arial"/>
        <family val="2"/>
      </rPr>
      <t>Other fields</t>
    </r>
  </si>
  <si>
    <t>Year</t>
  </si>
  <si>
    <r>
      <rPr>
        <sz val="8"/>
        <color indexed="0"/>
        <rFont val="Arial"/>
        <family val="2"/>
      </rPr>
      <t>Department of Agriculture</t>
    </r>
  </si>
  <si>
    <r>
      <rPr>
        <sz val="8"/>
        <color indexed="0"/>
        <rFont val="Arial"/>
        <family val="2"/>
      </rPr>
      <t>Agricultural Marketing Service</t>
    </r>
  </si>
  <si>
    <r>
      <rPr>
        <sz val="8"/>
        <color indexed="0"/>
        <rFont val="Arial"/>
        <family val="2"/>
      </rPr>
      <t>Agricultural Research Service</t>
    </r>
  </si>
  <si>
    <r>
      <rPr>
        <sz val="8"/>
        <color indexed="0"/>
        <rFont val="Arial"/>
        <family val="2"/>
      </rPr>
      <t>Animal and Plant Health Inspection Service</t>
    </r>
  </si>
  <si>
    <r>
      <rPr>
        <sz val="8"/>
        <color indexed="0"/>
        <rFont val="Arial"/>
        <family val="2"/>
      </rPr>
      <t>Economic Research Service</t>
    </r>
  </si>
  <si>
    <r>
      <rPr>
        <sz val="8"/>
        <color indexed="0"/>
        <rFont val="Arial"/>
        <family val="2"/>
      </rPr>
      <t>Forest Service</t>
    </r>
  </si>
  <si>
    <r>
      <rPr>
        <sz val="8"/>
        <color indexed="0"/>
        <rFont val="Arial"/>
        <family val="2"/>
      </rPr>
      <t>National Agricultural Statistics Service</t>
    </r>
  </si>
  <si>
    <r>
      <rPr>
        <sz val="8"/>
        <color indexed="0"/>
        <rFont val="Arial"/>
        <family val="2"/>
      </rPr>
      <t>National Institute of Food and Agriculture</t>
    </r>
  </si>
  <si>
    <r>
      <rPr>
        <sz val="8"/>
        <color indexed="0"/>
        <rFont val="Arial"/>
        <family val="2"/>
      </rPr>
      <t>Natural Resources Conservation Service</t>
    </r>
  </si>
  <si>
    <r>
      <rPr>
        <sz val="8"/>
        <color indexed="0"/>
        <rFont val="Arial"/>
        <family val="2"/>
      </rPr>
      <t>Department of Commerce</t>
    </r>
  </si>
  <si>
    <r>
      <rPr>
        <sz val="12"/>
        <color indexed="0"/>
        <rFont val="Arial"/>
        <family val="2"/>
      </rPr>
      <t>*</t>
    </r>
  </si>
  <si>
    <r>
      <rPr>
        <sz val="8"/>
        <color indexed="0"/>
        <rFont val="Arial"/>
        <family val="2"/>
      </rPr>
      <t>Census Bureau</t>
    </r>
  </si>
  <si>
    <r>
      <rPr>
        <sz val="8"/>
        <color indexed="0"/>
        <rFont val="Arial"/>
        <family val="2"/>
      </rPr>
      <t>National Institute of Standards and Technology</t>
    </r>
  </si>
  <si>
    <r>
      <rPr>
        <sz val="8"/>
        <color indexed="0"/>
        <rFont val="Arial"/>
        <family val="2"/>
      </rPr>
      <t>National Oceanic and Atmospheric Administration</t>
    </r>
  </si>
  <si>
    <r>
      <rPr>
        <sz val="8"/>
        <color indexed="0"/>
        <rFont val="Arial"/>
        <family val="2"/>
      </rPr>
      <t>National Telecommunications and Information Administration</t>
    </r>
  </si>
  <si>
    <r>
      <rPr>
        <sz val="8"/>
        <color indexed="0"/>
        <rFont val="Arial"/>
        <family val="2"/>
      </rPr>
      <t>Department of Defense</t>
    </r>
  </si>
  <si>
    <r>
      <rPr>
        <sz val="8"/>
        <color indexed="0"/>
        <rFont val="Arial"/>
        <family val="2"/>
      </rPr>
      <t>Defense Advanced Research Projects Agency</t>
    </r>
  </si>
  <si>
    <r>
      <rPr>
        <sz val="8"/>
        <color indexed="0"/>
        <rFont val="Arial"/>
        <family val="2"/>
      </rPr>
      <t>Defense Health Agency</t>
    </r>
  </si>
  <si>
    <r>
      <rPr>
        <sz val="8"/>
        <color indexed="0"/>
        <rFont val="Arial"/>
        <family val="2"/>
      </rPr>
      <t>Department of the Air Force</t>
    </r>
  </si>
  <si>
    <r>
      <rPr>
        <sz val="8"/>
        <color indexed="0"/>
        <rFont val="Arial"/>
        <family val="2"/>
      </rPr>
      <t>Department of the Army</t>
    </r>
  </si>
  <si>
    <r>
      <rPr>
        <sz val="8"/>
        <color indexed="0"/>
        <rFont val="Arial"/>
        <family val="2"/>
      </rPr>
      <t>Department of the Navy</t>
    </r>
  </si>
  <si>
    <r>
      <rPr>
        <sz val="8"/>
        <color indexed="0"/>
        <rFont val="Arial"/>
        <family val="2"/>
      </rPr>
      <t>Space Force</t>
    </r>
  </si>
  <si>
    <r>
      <rPr>
        <sz val="8"/>
        <color indexed="0"/>
        <rFont val="Arial"/>
        <family val="2"/>
      </rPr>
      <t>Other defense agencies</t>
    </r>
  </si>
  <si>
    <r>
      <rPr>
        <sz val="8"/>
        <color indexed="0"/>
        <rFont val="Arial"/>
        <family val="2"/>
      </rPr>
      <t>Department of Education</t>
    </r>
  </si>
  <si>
    <r>
      <rPr>
        <sz val="8"/>
        <color indexed="0"/>
        <rFont val="Arial"/>
        <family val="2"/>
      </rPr>
      <t>Department of Energy</t>
    </r>
  </si>
  <si>
    <r>
      <rPr>
        <sz val="8"/>
        <color indexed="0"/>
        <rFont val="Arial"/>
        <family val="2"/>
      </rPr>
      <t>Advanced Research Projects Agency—Energy</t>
    </r>
  </si>
  <si>
    <r>
      <rPr>
        <sz val="8"/>
        <color indexed="0"/>
        <rFont val="Arial"/>
        <family val="2"/>
      </rPr>
      <t>Electricity Delivery and Energy Reliability</t>
    </r>
  </si>
  <si>
    <r>
      <rPr>
        <sz val="8"/>
        <color indexed="0"/>
        <rFont val="Arial"/>
        <family val="2"/>
      </rPr>
      <t>Energy Efficiency and Renewable Energy</t>
    </r>
  </si>
  <si>
    <r>
      <rPr>
        <sz val="8"/>
        <color indexed="0"/>
        <rFont val="Arial"/>
        <family val="2"/>
      </rPr>
      <t>Environmental Management</t>
    </r>
  </si>
  <si>
    <r>
      <rPr>
        <sz val="8"/>
        <color indexed="0"/>
        <rFont val="Arial"/>
        <family val="2"/>
      </rPr>
      <t>Fossil Energy</t>
    </r>
  </si>
  <si>
    <r>
      <rPr>
        <sz val="8"/>
        <color indexed="0"/>
        <rFont val="Arial"/>
        <family val="2"/>
      </rPr>
      <t>National Nuclear Security Administration</t>
    </r>
  </si>
  <si>
    <r>
      <rPr>
        <sz val="8"/>
        <color indexed="0"/>
        <rFont val="Arial"/>
        <family val="2"/>
      </rPr>
      <t>Nuclear Energy</t>
    </r>
  </si>
  <si>
    <r>
      <rPr>
        <sz val="8"/>
        <color indexed="0"/>
        <rFont val="Arial"/>
        <family val="2"/>
      </rPr>
      <t>Office of Cybersecurity, Energy Security, and Emergency Response</t>
    </r>
  </si>
  <si>
    <r>
      <rPr>
        <sz val="8"/>
        <color indexed="0"/>
        <rFont val="Arial"/>
        <family val="2"/>
      </rPr>
      <t>Office of Science</t>
    </r>
  </si>
  <si>
    <r>
      <rPr>
        <sz val="8"/>
        <color indexed="0"/>
        <rFont val="Arial"/>
        <family val="2"/>
      </rPr>
      <t>Department of Health and Human Services</t>
    </r>
  </si>
  <si>
    <r>
      <rPr>
        <sz val="8"/>
        <color indexed="0"/>
        <rFont val="Arial"/>
        <family val="2"/>
      </rPr>
      <t>Administration for Children and Families</t>
    </r>
  </si>
  <si>
    <r>
      <rPr>
        <sz val="8"/>
        <color indexed="0"/>
        <rFont val="Arial"/>
        <family val="2"/>
      </rPr>
      <t>Administration for Community Living</t>
    </r>
  </si>
  <si>
    <r>
      <rPr>
        <sz val="8"/>
        <color indexed="0"/>
        <rFont val="Arial"/>
        <family val="2"/>
      </rPr>
      <t>Agency for Healthcare Research and Quality</t>
    </r>
  </si>
  <si>
    <r>
      <rPr>
        <sz val="8"/>
        <color indexed="0"/>
        <rFont val="Arial"/>
        <family val="2"/>
      </rPr>
      <t>Agency for Toxic Substances and Disease Registry</t>
    </r>
  </si>
  <si>
    <r>
      <rPr>
        <sz val="8"/>
        <color indexed="0"/>
        <rFont val="Arial"/>
        <family val="2"/>
      </rPr>
      <t>Centers for Disease Control and Prevention</t>
    </r>
  </si>
  <si>
    <r>
      <rPr>
        <sz val="8"/>
        <color indexed="0"/>
        <rFont val="Arial"/>
        <family val="2"/>
      </rPr>
      <t>Centers for Medicare and Medicaid Services</t>
    </r>
  </si>
  <si>
    <r>
      <rPr>
        <sz val="8"/>
        <color indexed="0"/>
        <rFont val="Arial"/>
        <family val="2"/>
      </rPr>
      <t>Food and Drug Administration</t>
    </r>
  </si>
  <si>
    <r>
      <rPr>
        <sz val="8"/>
        <color indexed="0"/>
        <rFont val="Arial"/>
        <family val="2"/>
      </rPr>
      <t>Health Resources and Services Administration</t>
    </r>
  </si>
  <si>
    <r>
      <rPr>
        <sz val="8"/>
        <color indexed="0"/>
        <rFont val="Arial"/>
        <family val="2"/>
      </rPr>
      <t>National Institutes of Health</t>
    </r>
  </si>
  <si>
    <r>
      <rPr>
        <sz val="8"/>
        <color indexed="0"/>
        <rFont val="Arial"/>
        <family val="2"/>
      </rPr>
      <t>Office of the Secretary of Health and Human Services</t>
    </r>
  </si>
  <si>
    <r>
      <rPr>
        <sz val="8"/>
        <color indexed="0"/>
        <rFont val="Arial"/>
        <family val="2"/>
      </rPr>
      <t>Department of Homeland Security</t>
    </r>
  </si>
  <si>
    <r>
      <rPr>
        <sz val="8"/>
        <color indexed="0"/>
        <rFont val="Arial"/>
        <family val="2"/>
      </rPr>
      <t>Coast Guard</t>
    </r>
  </si>
  <si>
    <r>
      <rPr>
        <sz val="8"/>
        <color indexed="0"/>
        <rFont val="Arial"/>
        <family val="2"/>
      </rPr>
      <t>Countering Weapons of Mass Destruction Office</t>
    </r>
  </si>
  <si>
    <r>
      <rPr>
        <sz val="8"/>
        <color indexed="0"/>
        <rFont val="Arial"/>
        <family val="2"/>
      </rPr>
      <t>Cybersecurity and Infrastructure Security Agency</t>
    </r>
  </si>
  <si>
    <r>
      <rPr>
        <sz val="8"/>
        <color indexed="0"/>
        <rFont val="Arial"/>
        <family val="2"/>
      </rPr>
      <t>Science and Technology Directorate</t>
    </r>
  </si>
  <si>
    <r>
      <rPr>
        <sz val="8"/>
        <color indexed="0"/>
        <rFont val="Arial"/>
        <family val="2"/>
      </rPr>
      <t>Transportation Security Administration</t>
    </r>
  </si>
  <si>
    <r>
      <rPr>
        <sz val="8"/>
        <color indexed="0"/>
        <rFont val="Arial"/>
        <family val="2"/>
      </rPr>
      <t>Department of the Interior</t>
    </r>
  </si>
  <si>
    <r>
      <rPr>
        <sz val="8"/>
        <color indexed="0"/>
        <rFont val="Arial"/>
        <family val="2"/>
      </rPr>
      <t>Bureau of Indian Affairs</t>
    </r>
  </si>
  <si>
    <r>
      <rPr>
        <sz val="8"/>
        <color indexed="0"/>
        <rFont val="Arial"/>
        <family val="2"/>
      </rPr>
      <t>Bureau of Land Management</t>
    </r>
  </si>
  <si>
    <r>
      <rPr>
        <sz val="8"/>
        <color indexed="0"/>
        <rFont val="Arial"/>
        <family val="2"/>
      </rPr>
      <t>Bureau of Ocean Energy Management</t>
    </r>
  </si>
  <si>
    <r>
      <rPr>
        <sz val="8"/>
        <color indexed="0"/>
        <rFont val="Arial"/>
        <family val="2"/>
      </rPr>
      <t>Bureau of Reclamation</t>
    </r>
  </si>
  <si>
    <r>
      <rPr>
        <sz val="8"/>
        <color indexed="0"/>
        <rFont val="Arial"/>
        <family val="2"/>
      </rPr>
      <t>Bureau of Safety and Environmental Enforcement</t>
    </r>
  </si>
  <si>
    <r>
      <rPr>
        <sz val="8"/>
        <color indexed="0"/>
        <rFont val="Arial"/>
        <family val="2"/>
      </rPr>
      <t>Fish and Wildlife Service</t>
    </r>
  </si>
  <si>
    <r>
      <rPr>
        <sz val="8"/>
        <color indexed="0"/>
        <rFont val="Arial"/>
        <family val="2"/>
      </rPr>
      <t>Geological Survey</t>
    </r>
  </si>
  <si>
    <r>
      <rPr>
        <sz val="8"/>
        <color indexed="0"/>
        <rFont val="Arial"/>
        <family val="2"/>
      </rPr>
      <t>National Park Service</t>
    </r>
  </si>
  <si>
    <r>
      <rPr>
        <sz val="8"/>
        <color indexed="0"/>
        <rFont val="Arial"/>
        <family val="2"/>
      </rPr>
      <t>Department of Justice</t>
    </r>
  </si>
  <si>
    <r>
      <rPr>
        <sz val="8"/>
        <color indexed="0"/>
        <rFont val="Arial"/>
        <family val="2"/>
      </rPr>
      <t>Bureau of Prisons</t>
    </r>
  </si>
  <si>
    <r>
      <rPr>
        <sz val="8"/>
        <color indexed="0"/>
        <rFont val="Arial"/>
        <family val="2"/>
      </rPr>
      <t>Federal Bureau of Investigation</t>
    </r>
  </si>
  <si>
    <r>
      <rPr>
        <sz val="8"/>
        <color indexed="0"/>
        <rFont val="Arial"/>
        <family val="2"/>
      </rPr>
      <t>Office of Justice Programs</t>
    </r>
  </si>
  <si>
    <r>
      <rPr>
        <sz val="8"/>
        <color indexed="0"/>
        <rFont val="Arial"/>
        <family val="2"/>
      </rPr>
      <t>Department of Labor</t>
    </r>
  </si>
  <si>
    <r>
      <rPr>
        <sz val="8"/>
        <color indexed="0"/>
        <rFont val="Arial"/>
        <family val="2"/>
      </rPr>
      <t>Employee Benefits Security Administration</t>
    </r>
  </si>
  <si>
    <r>
      <rPr>
        <sz val="8"/>
        <color indexed="0"/>
        <rFont val="Arial"/>
        <family val="2"/>
      </rPr>
      <t>Occupational Safety and Health Administration</t>
    </r>
  </si>
  <si>
    <r>
      <rPr>
        <sz val="8"/>
        <color indexed="0"/>
        <rFont val="Arial"/>
        <family val="2"/>
      </rPr>
      <t>Department of State</t>
    </r>
  </si>
  <si>
    <r>
      <rPr>
        <sz val="8"/>
        <color indexed="0"/>
        <rFont val="Arial"/>
        <family val="2"/>
      </rPr>
      <t>Department of Transportation</t>
    </r>
  </si>
  <si>
    <r>
      <rPr>
        <sz val="8"/>
        <color indexed="0"/>
        <rFont val="Arial"/>
        <family val="2"/>
      </rPr>
      <t>Federal Aviation Administration</t>
    </r>
  </si>
  <si>
    <r>
      <rPr>
        <sz val="8"/>
        <color indexed="0"/>
        <rFont val="Arial"/>
        <family val="2"/>
      </rPr>
      <t>Federal Highway Administration</t>
    </r>
  </si>
  <si>
    <r>
      <rPr>
        <sz val="8"/>
        <color indexed="0"/>
        <rFont val="Arial"/>
        <family val="2"/>
      </rPr>
      <t>Federal Motor Carrier Safety Administration</t>
    </r>
  </si>
  <si>
    <r>
      <rPr>
        <sz val="8"/>
        <color indexed="0"/>
        <rFont val="Arial"/>
        <family val="2"/>
      </rPr>
      <t>Federal Railroad Administration</t>
    </r>
  </si>
  <si>
    <r>
      <rPr>
        <sz val="8"/>
        <color indexed="0"/>
        <rFont val="Arial"/>
        <family val="2"/>
      </rPr>
      <t>Federal Transit Administration</t>
    </r>
  </si>
  <si>
    <r>
      <rPr>
        <sz val="8"/>
        <color indexed="0"/>
        <rFont val="Arial"/>
        <family val="2"/>
      </rPr>
      <t>National Highway Traffic Safety Administration</t>
    </r>
  </si>
  <si>
    <r>
      <rPr>
        <sz val="8"/>
        <color indexed="0"/>
        <rFont val="Arial"/>
        <family val="2"/>
      </rPr>
      <t>Office of the Secretary of Transportation</t>
    </r>
  </si>
  <si>
    <r>
      <rPr>
        <sz val="8"/>
        <color indexed="0"/>
        <rFont val="Arial"/>
        <family val="2"/>
      </rPr>
      <t>Pipeline and Hazardous Materials Safety Administration</t>
    </r>
  </si>
  <si>
    <r>
      <rPr>
        <sz val="8"/>
        <color indexed="0"/>
        <rFont val="Arial"/>
        <family val="2"/>
      </rPr>
      <t>Department of the Treasury</t>
    </r>
  </si>
  <si>
    <r>
      <rPr>
        <sz val="8"/>
        <color indexed="0"/>
        <rFont val="Arial"/>
        <family val="2"/>
      </rPr>
      <t>Bureau of Engraving and Printing</t>
    </r>
  </si>
  <si>
    <r>
      <rPr>
        <sz val="8"/>
        <color indexed="0"/>
        <rFont val="Arial"/>
        <family val="2"/>
      </rPr>
      <t>Mint</t>
    </r>
  </si>
  <si>
    <r>
      <rPr>
        <sz val="8"/>
        <color indexed="0"/>
        <rFont val="Arial"/>
        <family val="2"/>
      </rPr>
      <t>Department of Veterans Affairs</t>
    </r>
  </si>
  <si>
    <r>
      <rPr>
        <sz val="8"/>
        <color indexed="0"/>
        <rFont val="Arial"/>
        <family val="2"/>
      </rPr>
      <t>Administrative Office of the U.S. Courts</t>
    </r>
  </si>
  <si>
    <r>
      <rPr>
        <sz val="8"/>
        <color indexed="0"/>
        <rFont val="Arial"/>
        <family val="2"/>
      </rPr>
      <t>Agency for Global Media</t>
    </r>
  </si>
  <si>
    <r>
      <rPr>
        <sz val="8"/>
        <color indexed="0"/>
        <rFont val="Arial"/>
        <family val="2"/>
      </rPr>
      <t>Agency for International Development</t>
    </r>
  </si>
  <si>
    <r>
      <rPr>
        <sz val="8"/>
        <color indexed="0"/>
        <rFont val="Arial"/>
        <family val="2"/>
      </rPr>
      <t>Appalachian Regional Commission</t>
    </r>
  </si>
  <si>
    <r>
      <rPr>
        <sz val="8"/>
        <color indexed="0"/>
        <rFont val="Arial"/>
        <family val="2"/>
      </rPr>
      <t>Consumer Product Safety Commission</t>
    </r>
  </si>
  <si>
    <r>
      <rPr>
        <sz val="8"/>
        <color indexed="0"/>
        <rFont val="Arial"/>
        <family val="2"/>
      </rPr>
      <t>Environmental Protection Agency</t>
    </r>
  </si>
  <si>
    <r>
      <rPr>
        <sz val="8"/>
        <color indexed="0"/>
        <rFont val="Arial"/>
        <family val="2"/>
      </rPr>
      <t>Federal Trade Commission</t>
    </r>
  </si>
  <si>
    <r>
      <rPr>
        <sz val="8"/>
        <color indexed="0"/>
        <rFont val="Arial"/>
        <family val="2"/>
      </rPr>
      <t>Library of Congress</t>
    </r>
  </si>
  <si>
    <r>
      <rPr>
        <sz val="8"/>
        <color indexed="0"/>
        <rFont val="Arial"/>
        <family val="2"/>
      </rPr>
      <t>National Aeronautics and Space Administration</t>
    </r>
  </si>
  <si>
    <r>
      <rPr>
        <sz val="8"/>
        <color indexed="0"/>
        <rFont val="Arial"/>
        <family val="2"/>
      </rPr>
      <t>National Science Foundation</t>
    </r>
  </si>
  <si>
    <r>
      <rPr>
        <sz val="8"/>
        <color indexed="0"/>
        <rFont val="Arial"/>
        <family val="2"/>
      </rPr>
      <t>Nuclear Regulatory Commission</t>
    </r>
  </si>
  <si>
    <r>
      <rPr>
        <sz val="8"/>
        <color indexed="0"/>
        <rFont val="Arial"/>
        <family val="2"/>
      </rPr>
      <t>Patient-Centered Outcomes Research Trust Fund</t>
    </r>
  </si>
  <si>
    <r>
      <rPr>
        <sz val="8"/>
        <color indexed="0"/>
        <rFont val="Arial"/>
        <family val="2"/>
      </rPr>
      <t>Postal Service</t>
    </r>
  </si>
  <si>
    <r>
      <rPr>
        <sz val="8"/>
        <color indexed="0"/>
        <rFont val="Arial"/>
        <family val="2"/>
      </rPr>
      <t>Smithsonian Institution</t>
    </r>
  </si>
  <si>
    <r>
      <rPr>
        <sz val="8"/>
        <color indexed="0"/>
        <rFont val="Arial"/>
        <family val="2"/>
      </rPr>
      <t>Social Security Administration</t>
    </r>
  </si>
  <si>
    <r>
      <rPr>
        <sz val="8"/>
        <color indexed="0"/>
        <rFont val="Arial"/>
        <family val="2"/>
      </rPr>
      <t>Tennessee Valley Authority</t>
    </r>
  </si>
  <si>
    <r>
      <rPr>
        <sz val="8"/>
        <color indexed="0"/>
        <rFont val="Arial"/>
        <family val="2"/>
      </rPr>
      <t>Biomedical Advanced Research and Development Authority</t>
    </r>
  </si>
  <si>
    <r>
      <rPr>
        <sz val="8"/>
        <color indexed="0"/>
        <rFont val="Arial"/>
        <family val="2"/>
      </rPr>
      <t>Secret Service</t>
    </r>
  </si>
  <si>
    <r>
      <rPr>
        <sz val="8"/>
        <color indexed="0"/>
        <rFont val="Arial"/>
        <family val="2"/>
      </rPr>
      <t>RESTORE Act Centers of Excellence Research Grants Program</t>
    </r>
  </si>
  <si>
    <r>
      <rPr>
        <sz val="8"/>
        <color indexed="0"/>
        <rFont val="Arial"/>
        <family val="2"/>
      </rPr>
      <t>Advanced Research Projects Agency for Health</t>
    </r>
  </si>
  <si>
    <t>Defense</t>
  </si>
  <si>
    <t>Nondefense</t>
  </si>
  <si>
    <t>DOD</t>
  </si>
  <si>
    <t>All Other</t>
  </si>
  <si>
    <t>ARRA Defense</t>
  </si>
  <si>
    <t>ARRA NonDefense</t>
  </si>
  <si>
    <t>Graph Type</t>
  </si>
  <si>
    <t>GDP in FY</t>
  </si>
  <si>
    <t>Metric</t>
  </si>
  <si>
    <t>Current Dollars</t>
  </si>
  <si>
    <t>% GDP</t>
  </si>
  <si>
    <t>% Discretionary</t>
  </si>
  <si>
    <t>Agency or Program</t>
  </si>
  <si>
    <t>Historical File</t>
  </si>
  <si>
    <t>Type</t>
  </si>
  <si>
    <t>Basic</t>
  </si>
  <si>
    <t>Applied</t>
  </si>
  <si>
    <t>Developmental</t>
  </si>
  <si>
    <t>All</t>
  </si>
  <si>
    <t>Other</t>
  </si>
  <si>
    <t>NCRR</t>
  </si>
  <si>
    <t>NCI</t>
  </si>
  <si>
    <t>NHLBI</t>
  </si>
  <si>
    <t>NDCR</t>
  </si>
  <si>
    <t>NIDDK</t>
  </si>
  <si>
    <t>NINDS</t>
  </si>
  <si>
    <t>NIAID</t>
  </si>
  <si>
    <t>NIGMS</t>
  </si>
  <si>
    <t>NICHD</t>
  </si>
  <si>
    <t>NEI</t>
  </si>
  <si>
    <t>NIEHS</t>
  </si>
  <si>
    <t>NIAMS</t>
  </si>
  <si>
    <t>NIDCD</t>
  </si>
  <si>
    <t>NIMH</t>
  </si>
  <si>
    <t>NIDA</t>
  </si>
  <si>
    <t>NIAAA</t>
  </si>
  <si>
    <t>NINR</t>
  </si>
  <si>
    <t>NGHRI</t>
  </si>
  <si>
    <t>NIBIB</t>
  </si>
  <si>
    <t>NCCAM</t>
  </si>
  <si>
    <t>FIC</t>
  </si>
  <si>
    <t>NCMHD</t>
  </si>
  <si>
    <t>NLM</t>
  </si>
  <si>
    <t>OD</t>
  </si>
  <si>
    <t>B&amp;F</t>
  </si>
  <si>
    <t>NICIH</t>
  </si>
  <si>
    <t>ASTRO</t>
  </si>
  <si>
    <t>Antartic Program</t>
  </si>
  <si>
    <t>Science, Aeornautics and Technology</t>
  </si>
  <si>
    <t>RDT&amp;E</t>
  </si>
  <si>
    <t>Defense Health</t>
  </si>
  <si>
    <t>DARPA</t>
  </si>
  <si>
    <t>ChemBio</t>
  </si>
  <si>
    <t>Energy Supply</t>
  </si>
  <si>
    <t>Energy conservation</t>
  </si>
  <si>
    <t>Human Space Flight</t>
  </si>
  <si>
    <t>Misson Support</t>
  </si>
  <si>
    <t>Development</t>
  </si>
  <si>
    <t>Notes</t>
  </si>
  <si>
    <t>Funding Type</t>
  </si>
  <si>
    <t>Obligations</t>
  </si>
  <si>
    <t>Budget Authority</t>
  </si>
  <si>
    <t>National defense (050)</t>
  </si>
  <si>
    <t>International affairs (150)</t>
  </si>
  <si>
    <t>Community and regional development (450)</t>
  </si>
  <si>
    <t>Natural resources and environment (300)</t>
  </si>
  <si>
    <t>Department of Defense</t>
  </si>
  <si>
    <t>National Aeronautics and Space Administration</t>
  </si>
  <si>
    <t>Department of Energy</t>
  </si>
  <si>
    <t>Health and Human Services</t>
  </si>
  <si>
    <t>National Insitutes of Health</t>
  </si>
  <si>
    <t>U.S. Department of Agriculture</t>
  </si>
  <si>
    <t>Department of the Interior</t>
  </si>
  <si>
    <t>Department of Transportation</t>
  </si>
  <si>
    <t>Environmental Protection Agency</t>
  </si>
  <si>
    <t>Department of Commerce</t>
  </si>
  <si>
    <t>Department of Homeland Security</t>
  </si>
  <si>
    <t>Veteran's Affairs</t>
  </si>
  <si>
    <t>Character</t>
  </si>
  <si>
    <t>Constant Dollars</t>
  </si>
  <si>
    <t>Funding Source</t>
  </si>
  <si>
    <t>Total R&amp;D</t>
  </si>
  <si>
    <t>Federal</t>
  </si>
  <si>
    <t>Industry</t>
  </si>
  <si>
    <t>Universities</t>
  </si>
  <si>
    <t>Total Research</t>
  </si>
  <si>
    <t>Psychology</t>
  </si>
  <si>
    <t>Physical Science</t>
  </si>
  <si>
    <t>Environmental Science</t>
  </si>
  <si>
    <t>Math / Computer Science</t>
  </si>
  <si>
    <t>Engineering</t>
  </si>
  <si>
    <t>Social Science</t>
  </si>
  <si>
    <t>Life Science</t>
  </si>
  <si>
    <t>% Research</t>
  </si>
  <si>
    <t>Total Discretionary Budget Authority</t>
  </si>
  <si>
    <t>Research and Related Activities</t>
  </si>
  <si>
    <t>STEM Education</t>
  </si>
  <si>
    <t>STEM Ed</t>
  </si>
  <si>
    <t>Was formerly Education and Human Resources</t>
  </si>
  <si>
    <t>Major Research Equipment and Facilities Construction</t>
  </si>
  <si>
    <t>Agency Operations and Award Management</t>
  </si>
  <si>
    <t>Office of the Inspector General</t>
  </si>
  <si>
    <t>National Science Board</t>
  </si>
  <si>
    <t>National Science Foundation</t>
  </si>
  <si>
    <t>Directorate for Biological Sciences</t>
  </si>
  <si>
    <t>Directorate for Computer and Information Science and Engineering</t>
  </si>
  <si>
    <t>Directorate for Engineering</t>
  </si>
  <si>
    <t>Directorate for Geosciences</t>
  </si>
  <si>
    <t>Directorate for Mathematical and Physical Sciences</t>
  </si>
  <si>
    <t>Directorate for Social, Behavioral and Economic Sciences</t>
  </si>
  <si>
    <t>Directorate for Technology, Innovation and Partnerships</t>
  </si>
  <si>
    <t>Office of International Science and Engineering</t>
  </si>
  <si>
    <t>Directorate f Astronomical, Atmospheric, Earth and Ocean Sciences</t>
  </si>
  <si>
    <t>Agricultural Research Service</t>
  </si>
  <si>
    <t>National Institute of Food and Agriculture</t>
  </si>
  <si>
    <t>Economic Research Service</t>
  </si>
  <si>
    <t>National Agricultural Statistics Service</t>
  </si>
  <si>
    <t>U.S. Forest Service R&amp;D</t>
  </si>
  <si>
    <t>FS R&amp;D</t>
  </si>
  <si>
    <t>Advanced Scientific Computing Research</t>
  </si>
  <si>
    <t>Basic Energy Sciences</t>
  </si>
  <si>
    <t>Biological and Environmental Research</t>
  </si>
  <si>
    <t>Fusion Energy Sciences</t>
  </si>
  <si>
    <t>High Energy Physics</t>
  </si>
  <si>
    <t>Nuclear Physics</t>
  </si>
  <si>
    <t xml:space="preserve">Fusion </t>
  </si>
  <si>
    <t xml:space="preserve">High-Energy </t>
  </si>
  <si>
    <t xml:space="preserve">Nuclear </t>
  </si>
  <si>
    <t>Energy Efficiency and Renewable Energy</t>
  </si>
  <si>
    <t>American Recovery and Reinvestment Act of 2009</t>
  </si>
  <si>
    <t>COVID-19 Emergency Funding, 2020</t>
  </si>
  <si>
    <t>Nuclear Energy</t>
  </si>
  <si>
    <t>Energy Conservation</t>
  </si>
  <si>
    <t>Advanced Research Projects Agency - Energy</t>
  </si>
  <si>
    <t>National Nuclear Security Agency</t>
  </si>
  <si>
    <t>Office of Cybersecurity, Energy Security, and Emergency Response</t>
  </si>
  <si>
    <t>Hydrogen and Fuel Cell Technologies</t>
  </si>
  <si>
    <t>Solar Energy</t>
  </si>
  <si>
    <t>Wind Energy</t>
  </si>
  <si>
    <t>Water Power</t>
  </si>
  <si>
    <t>Geothermal Technologies</t>
  </si>
  <si>
    <t>Bioenergy Technologies</t>
  </si>
  <si>
    <t>BioE</t>
  </si>
  <si>
    <t>Vehicle Technologies</t>
  </si>
  <si>
    <t>Building Technologies</t>
  </si>
  <si>
    <t>Industrial Efficiency &amp; Decarbonization Office</t>
  </si>
  <si>
    <t>Industrial</t>
  </si>
  <si>
    <t>National Oceanic and Atmospheric Administration</t>
  </si>
  <si>
    <t>National Ocean Service</t>
  </si>
  <si>
    <t>National Marine Fisheries Service</t>
  </si>
  <si>
    <t>Oceanic and Atmospheric Research</t>
  </si>
  <si>
    <t>National Weather Service</t>
  </si>
  <si>
    <t>NWS</t>
  </si>
  <si>
    <t>National Environmental Satelite, Data and Information Service</t>
  </si>
  <si>
    <t>Office of Marine and Aviation Operations</t>
  </si>
  <si>
    <t>National Institute of Standards and Technology</t>
  </si>
  <si>
    <t>STR</t>
  </si>
  <si>
    <t>Scientific and Technical Research and Services</t>
  </si>
  <si>
    <t>Industrial Technology Services</t>
  </si>
  <si>
    <t>Science and Technology Directorate</t>
  </si>
  <si>
    <t>Domestic Nuclear Detection Office</t>
  </si>
  <si>
    <t>Countering Weapons of Mass Destruction R&amp;D</t>
  </si>
  <si>
    <t>Bureau of Ocean Energy Management</t>
  </si>
  <si>
    <t>Bureau of Safety and Environmental Enforcement</t>
  </si>
  <si>
    <t>National Park Service</t>
  </si>
  <si>
    <t>Ocean Energy Management</t>
  </si>
  <si>
    <t>BSEE-OSEE</t>
  </si>
  <si>
    <t>BOEM-OEM</t>
  </si>
  <si>
    <t>Offshore Safety and Environmental Enforcement</t>
  </si>
  <si>
    <t>U.S. Geological Survey</t>
  </si>
  <si>
    <t>Science &amp; Technology</t>
  </si>
  <si>
    <t>Environmental Programs and Management</t>
  </si>
  <si>
    <t>Research: Safe and Sustainable Water Resources</t>
  </si>
  <si>
    <t>Research: Chemical Safety for Sustainability</t>
  </si>
  <si>
    <t>Research: Air and Energy</t>
  </si>
  <si>
    <t>Research: Sustainable Communities</t>
  </si>
  <si>
    <t>Federal Aviation Administration</t>
  </si>
  <si>
    <t>Federal Railroad Administration</t>
  </si>
  <si>
    <t>National Highway Traffic Safety Administration</t>
  </si>
  <si>
    <t>Office of the Secretary</t>
  </si>
  <si>
    <t>Food and Drug Administration</t>
  </si>
  <si>
    <t>Agency for Healthcare Quality and Research</t>
  </si>
  <si>
    <t>Centers for Disease Control</t>
  </si>
  <si>
    <t>National Institutes of Health</t>
  </si>
  <si>
    <t>Research, Engineering and Development</t>
  </si>
  <si>
    <t>Operations and Research</t>
  </si>
  <si>
    <t>Ops &amp; R</t>
  </si>
  <si>
    <t>RE&amp;D</t>
  </si>
  <si>
    <t>Railroad Research and Development</t>
  </si>
  <si>
    <t>Research and Technology + Trasportation Planning, Research and Development</t>
  </si>
  <si>
    <t>R&amp;T + TransPlan R&amp;D</t>
  </si>
  <si>
    <t>Research, Development, Technology and Evaluation</t>
  </si>
  <si>
    <t>National Cancer Institute</t>
  </si>
  <si>
    <t>National Heart, Lung, and Blood Institute</t>
  </si>
  <si>
    <t>National Institute on Alcohol Abuse and Alcoholism</t>
  </si>
  <si>
    <t>National Human Genome Research Institute</t>
  </si>
  <si>
    <t>National Eye Institute</t>
  </si>
  <si>
    <t>National Institute of Allergy and Infectious Diseases</t>
  </si>
  <si>
    <t>National Institute of Arthritis and Musculoskeletal and Skin Diseases</t>
  </si>
  <si>
    <t>National Institute of Biomedical Imaging and Bioengineering </t>
  </si>
  <si>
    <t>Eunice Kennedy Shriver National Institute of Child Health and Human Development </t>
  </si>
  <si>
    <t>National Institute on Deafness and Other Communication Disorders</t>
  </si>
  <si>
    <t>National Institute of Dental and Craniofacial Research</t>
  </si>
  <si>
    <t> National Institute of Diabetes and Digestive and Kidney Diseases</t>
  </si>
  <si>
    <t>National Institute on Drug Abuse</t>
  </si>
  <si>
    <t>National Institute of Environmental Health Sciences</t>
  </si>
  <si>
    <t>NIA</t>
  </si>
  <si>
    <t>National Institute on Aging</t>
  </si>
  <si>
    <t>National Institute of General Medical Sciences </t>
  </si>
  <si>
    <t>National Institute of Mental Health</t>
  </si>
  <si>
    <t>National Institute on Minority Health and Health Disparities </t>
  </si>
  <si>
    <t>National Institute of Neurological Disorders and Stroke</t>
  </si>
  <si>
    <t>National Institute of Nursing Research</t>
  </si>
  <si>
    <t>National Library of Medicine</t>
  </si>
  <si>
    <t>Advanced Research Projects Agency - Health</t>
  </si>
  <si>
    <t>Fogarty International Center </t>
  </si>
  <si>
    <t>Office of the Director</t>
  </si>
  <si>
    <t>Buildings and Facilities</t>
  </si>
  <si>
    <t>National Center for Complementary and Integrative Health</t>
  </si>
  <si>
    <t>National Center for Research Resources</t>
  </si>
  <si>
    <t>National Center for Complementary and Alternative Medicine</t>
  </si>
  <si>
    <t>Basic Research</t>
  </si>
  <si>
    <t>Applied Research</t>
  </si>
  <si>
    <t>Advanced Technology Development</t>
  </si>
  <si>
    <t>Advanced Component Development &amp; Prototypes</t>
  </si>
  <si>
    <t>System Development &amp; Demonstration</t>
  </si>
  <si>
    <t>Management Support</t>
  </si>
  <si>
    <t>Operational Systems Development</t>
  </si>
  <si>
    <t>Software and Digital Technology Pilot Programs</t>
  </si>
  <si>
    <t>Chemical and Biological Defense</t>
  </si>
  <si>
    <t>Defense Advanced Research Projects Agency</t>
  </si>
  <si>
    <t xml:space="preserve">Is included in Science, Aeornautics and Technology total, was moved out as it's own unit when SAT was broken up. </t>
  </si>
  <si>
    <t>This file was last updated:</t>
  </si>
  <si>
    <t>AAAS Historical Data File</t>
  </si>
  <si>
    <t>Source</t>
  </si>
  <si>
    <t>Field</t>
  </si>
  <si>
    <t>Funder</t>
  </si>
  <si>
    <t>Data</t>
  </si>
  <si>
    <t>Retrieval Date</t>
  </si>
  <si>
    <t>Link</t>
  </si>
  <si>
    <t>Definitions:</t>
  </si>
  <si>
    <t>R&amp;D Totals</t>
  </si>
  <si>
    <t xml:space="preserve">Type </t>
  </si>
  <si>
    <t>Function</t>
  </si>
  <si>
    <t>Data Name</t>
  </si>
  <si>
    <t>Data Definition</t>
  </si>
  <si>
    <t>Unit (Current Dollars)</t>
  </si>
  <si>
    <t>Millions of Dollars</t>
  </si>
  <si>
    <t>GDP (in Billions)</t>
  </si>
  <si>
    <t>and blue cells</t>
  </si>
  <si>
    <t>All orange cells</t>
  </si>
  <si>
    <t>https://www.whitehouse.gov/omb/information-resources/budget/historical-tables/</t>
  </si>
  <si>
    <t>9.23.25</t>
  </si>
  <si>
    <t>https://www.govinfo.gov/app/details/BUDGET-2025-TAB/context</t>
  </si>
  <si>
    <t>FY2025 OMB Historical Table 10.1</t>
  </si>
  <si>
    <t>FY2025 OMB Historical Table 10.2</t>
  </si>
  <si>
    <t>FY 2026 OMB Historical Table 8.1</t>
  </si>
  <si>
    <t>10.9.25</t>
  </si>
  <si>
    <t>https://ncses.nsf.gov/surveys/federal-funds-research-development/2023-2024</t>
  </si>
  <si>
    <t>https://ncses.nsf.gov/data-collections/national-patterns/2022-2023</t>
  </si>
  <si>
    <t>R&amp;D estimates from each agency, pulled and summed from OMB reporting</t>
  </si>
  <si>
    <t>Appropriations funding for a selection of R&amp;D intensive programs</t>
  </si>
  <si>
    <t>R&amp;D Estimates from each agency, divided by type of R&amp;D performed</t>
  </si>
  <si>
    <t>R&amp;D Estimates, pulled and summed from OMB reporting, divided into broad functional categories</t>
  </si>
  <si>
    <t>NCSES Survey of Federal Funds for Research and Development Table 9</t>
  </si>
  <si>
    <t>R&amp;D funding, by source of funds</t>
  </si>
  <si>
    <t>NCSES's National Patterns of R&amp;D Resources Table 2</t>
  </si>
  <si>
    <t>Federal Obligations and Outlays for R&amp;D, by field of R&amp;D</t>
  </si>
  <si>
    <t>are calculations performed on data in current dollars</t>
  </si>
  <si>
    <t>Fiscal year</t>
  </si>
  <si>
    <t>Total for all budget functions</t>
  </si>
  <si>
    <t>General science and basic research (251)</t>
  </si>
  <si>
    <t>Space flight, research, and supporting activities (252)</t>
  </si>
  <si>
    <t>Energy (270)</t>
  </si>
  <si>
    <t>Agriculture (350)</t>
  </si>
  <si>
    <t>Commerce and housing credit (370)</t>
  </si>
  <si>
    <t>Transportation (400)</t>
  </si>
  <si>
    <t>Education, training, employment, and social services (500)</t>
  </si>
  <si>
    <t>Health (550)</t>
  </si>
  <si>
    <t>Medicare (570)</t>
  </si>
  <si>
    <t>Income security (600)</t>
  </si>
  <si>
    <t>Veterans benefits and services (700)</t>
  </si>
  <si>
    <t>Administration of justice (750)</t>
  </si>
  <si>
    <t>General government (800)</t>
  </si>
  <si>
    <t>Outside Sources:</t>
  </si>
  <si>
    <t xml:space="preserve">All FY 2025 and FY 2026 data is taken from the FY 2026 Presidential Budget Request, and is thus not final appropriations for the year. They will be revised in future updates as more accurate data is available. </t>
  </si>
  <si>
    <t>3.13.25</t>
  </si>
  <si>
    <t>Internal data is collected from OMB and Appropriations documents by the AAAS R&amp;D Budget and Policy Program.</t>
  </si>
  <si>
    <t>Arctic Research Commission</t>
  </si>
  <si>
    <t>10.23.2025</t>
  </si>
  <si>
    <t>na</t>
  </si>
  <si>
    <t>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</si>
</sst>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
    <numFmt numFmtId="165" formatCode="0.0"/>
    <numFmt numFmtId="166" formatCode="##,##0.0000"/>
    <numFmt numFmtId="167" formatCode="0.0%"/>
    <numFmt numFmtId="168" formatCode="#,##0.0"/>
    <numFmt numFmtId="169" formatCode="_(* #,##0.0_);_(* \(#,##0.0\);_(* &quot;-&quot;??_);_(@_)"/>
    <numFmt numFmtId="170" formatCode="_(* #,##0_);_(* \(#,##0\);_(* &quot;-&quot;??_);_(@_)"/>
    <numFmt numFmtId="171" formatCode="_(* #,##0.000_);_(* \(#,##0.000\);_(* &quot;-&quot;??_);_(@_)"/>
    <numFmt numFmtId="172" formatCode="0.000%"/>
    <numFmt numFmtId="173" formatCode="##,##0.0"/>
  </numFmts>
  <fonts count="25" x14ac:knownFonts="1">
    <font>
      <sz val="11"/>
      <color theme="1"/>
      <name val="Aptos Narrow"/>
      <family val="2"/>
      <scheme val="minor"/>
    </font>
    <font>
      <sz val="11"/>
      <color theme="1"/>
      <name val="Aptos Narrow"/>
      <family val="2"/>
      <scheme val="minor"/>
    </font>
    <font>
      <sz val="9"/>
      <name val="Arial"/>
      <family val="2"/>
    </font>
    <font>
      <b/>
      <sz val="9"/>
      <name val="Arial"/>
      <family val="2"/>
    </font>
    <font>
      <sz val="8"/>
      <name val="Arial"/>
      <family val="2"/>
    </font>
    <font>
      <sz val="8"/>
      <name val="Aptos Narrow"/>
      <family val="2"/>
      <scheme val="minor"/>
    </font>
    <font>
      <sz val="8"/>
      <name val="Arial"/>
      <family val="2"/>
      <charset val="1"/>
    </font>
    <font>
      <sz val="10"/>
      <name val="Arial"/>
      <family val="2"/>
    </font>
    <font>
      <sz val="9"/>
      <color theme="1"/>
      <name val="Arial"/>
      <family val="2"/>
    </font>
    <font>
      <sz val="9"/>
      <color indexed="8"/>
      <name val="Arial"/>
      <family val="2"/>
    </font>
    <font>
      <sz val="11"/>
      <color rgb="FFFF0000"/>
      <name val="Aptos Narrow"/>
      <family val="2"/>
      <scheme val="minor"/>
    </font>
    <font>
      <b/>
      <sz val="8"/>
      <color indexed="0"/>
      <name val="Arial"/>
      <family val="2"/>
    </font>
    <font>
      <sz val="8"/>
      <color indexed="0"/>
      <name val="Arial"/>
      <family val="2"/>
    </font>
    <font>
      <b/>
      <sz val="12"/>
      <color indexed="0"/>
      <name val="Arial"/>
      <family val="2"/>
    </font>
    <font>
      <sz val="12"/>
      <color indexed="0"/>
      <name val="Arial"/>
      <family val="2"/>
    </font>
    <font>
      <sz val="8"/>
      <color indexed="0"/>
      <name val="Arial"/>
      <family val="2"/>
    </font>
    <font>
      <b/>
      <sz val="12"/>
      <color indexed="0"/>
      <name val="Arial"/>
      <family val="2"/>
    </font>
    <font>
      <sz val="10"/>
      <color indexed="8"/>
      <name val="Times New Roman"/>
      <family val="1"/>
    </font>
    <font>
      <b/>
      <sz val="8"/>
      <color indexed="0"/>
      <name val="Arial"/>
      <family val="2"/>
    </font>
    <font>
      <sz val="8"/>
      <color rgb="FFFF0000"/>
      <name val="Arial"/>
      <family val="2"/>
    </font>
    <font>
      <sz val="9"/>
      <color indexed="0"/>
      <name val="Arial"/>
      <family val="2"/>
    </font>
    <font>
      <sz val="11"/>
      <color indexed="8"/>
      <name val="Aptos Narrow"/>
      <family val="2"/>
      <scheme val="minor"/>
    </font>
    <font>
      <b/>
      <sz val="9"/>
      <color theme="1"/>
      <name val="Arial"/>
      <family val="2"/>
    </font>
    <font>
      <sz val="9"/>
      <color rgb="FF202122"/>
      <name val="Arial"/>
      <family val="2"/>
    </font>
    <font>
      <sz val="9"/>
      <color rgb="FFFF0000"/>
      <name val="Arial"/>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2" tint="-9.9978637043366805E-2"/>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diagonal/>
    </border>
  </borders>
  <cellStyleXfs count="16">
    <xf numFmtId="0" fontId="0" fillId="0" borderId="0"/>
    <xf numFmtId="43" fontId="1" fillId="0" borderId="0" applyFont="0" applyFill="0" applyBorder="0" applyAlignment="0" applyProtection="0"/>
    <xf numFmtId="0" fontId="4" fillId="0" borderId="0">
      <alignment horizontal="left" wrapText="1"/>
    </xf>
    <xf numFmtId="0" fontId="4" fillId="0" borderId="0"/>
    <xf numFmtId="9" fontId="4" fillId="0" borderId="0" applyFill="0" applyBorder="0" applyProtection="0">
      <alignment horizontal="left" wrapText="1"/>
    </xf>
    <xf numFmtId="0" fontId="6" fillId="0" borderId="0">
      <alignment horizontal="left" wrapText="1"/>
    </xf>
    <xf numFmtId="0" fontId="4" fillId="0" borderId="0"/>
    <xf numFmtId="0" fontId="1" fillId="0" borderId="0"/>
    <xf numFmtId="0" fontId="4" fillId="0" borderId="0">
      <alignment horizontal="left" wrapText="1"/>
    </xf>
    <xf numFmtId="0" fontId="6" fillId="0" borderId="0">
      <alignment horizontal="left" wrapText="1"/>
    </xf>
    <xf numFmtId="0" fontId="4" fillId="0" borderId="0">
      <alignment horizontal="left" wrapText="1"/>
    </xf>
    <xf numFmtId="9" fontId="4" fillId="0" borderId="0" applyFont="0" applyFill="0" applyBorder="0" applyAlignment="0" applyProtection="0"/>
    <xf numFmtId="0" fontId="7" fillId="0" borderId="0">
      <alignment horizontal="left" wrapText="1"/>
    </xf>
    <xf numFmtId="9" fontId="1" fillId="0" borderId="0" applyFont="0" applyFill="0" applyBorder="0" applyAlignment="0" applyProtection="0"/>
    <xf numFmtId="43" fontId="4" fillId="0" borderId="0" applyFont="0" applyFill="0" applyBorder="0" applyAlignment="0" applyProtection="0"/>
    <xf numFmtId="0" fontId="21" fillId="0" borderId="0"/>
  </cellStyleXfs>
  <cellXfs count="152">
    <xf numFmtId="0" fontId="0" fillId="0" borderId="0" xfId="0"/>
    <xf numFmtId="0" fontId="2" fillId="0" borderId="0" xfId="0" applyFont="1"/>
    <xf numFmtId="169" fontId="2" fillId="0" borderId="0" xfId="1" applyNumberFormat="1" applyFont="1" applyBorder="1"/>
    <xf numFmtId="0" fontId="8" fillId="0" borderId="0" xfId="0" applyFont="1"/>
    <xf numFmtId="0" fontId="11" fillId="0" borderId="3" xfId="0" applyFont="1" applyBorder="1" applyAlignment="1">
      <alignment horizontal="center" wrapText="1"/>
    </xf>
    <xf numFmtId="0" fontId="11" fillId="0" borderId="4" xfId="0" applyFont="1" applyBorder="1" applyAlignment="1">
      <alignment horizontal="center" wrapText="1"/>
    </xf>
    <xf numFmtId="3" fontId="12" fillId="0" borderId="3" xfId="0" applyNumberFormat="1" applyFont="1" applyBorder="1" applyAlignment="1">
      <alignment horizontal="right" wrapText="1"/>
    </xf>
    <xf numFmtId="0" fontId="13" fillId="0" borderId="3" xfId="0" applyFont="1" applyBorder="1" applyAlignment="1">
      <alignment horizontal="right" wrapText="1"/>
    </xf>
    <xf numFmtId="3" fontId="12" fillId="0" borderId="4" xfId="0" applyNumberFormat="1" applyFont="1" applyBorder="1" applyAlignment="1">
      <alignment horizontal="right" wrapText="1"/>
    </xf>
    <xf numFmtId="3" fontId="12" fillId="0" borderId="1" xfId="0" applyNumberFormat="1" applyFont="1" applyBorder="1" applyAlignment="1">
      <alignment horizontal="right" wrapText="1"/>
    </xf>
    <xf numFmtId="0" fontId="12" fillId="3" borderId="3" xfId="0" applyFont="1" applyFill="1" applyBorder="1" applyAlignment="1">
      <alignment horizontal="left" wrapText="1" indent="2"/>
    </xf>
    <xf numFmtId="168" fontId="15" fillId="0" borderId="3" xfId="0" applyNumberFormat="1" applyFont="1" applyBorder="1" applyAlignment="1">
      <alignment horizontal="right" wrapText="1"/>
    </xf>
    <xf numFmtId="0" fontId="15" fillId="0" borderId="3" xfId="0" applyFont="1" applyBorder="1" applyAlignment="1">
      <alignment horizontal="left" wrapText="1" indent="2"/>
    </xf>
    <xf numFmtId="0" fontId="16" fillId="0" borderId="3" xfId="0" applyFont="1" applyBorder="1" applyAlignment="1">
      <alignment horizontal="left" wrapText="1"/>
    </xf>
    <xf numFmtId="3" fontId="15" fillId="0" borderId="1" xfId="0" applyNumberFormat="1" applyFont="1" applyBorder="1" applyAlignment="1">
      <alignment horizontal="right" wrapText="1"/>
    </xf>
    <xf numFmtId="0" fontId="18" fillId="0" borderId="3" xfId="0" applyFont="1" applyBorder="1" applyAlignment="1">
      <alignment horizontal="left" wrapText="1"/>
    </xf>
    <xf numFmtId="0" fontId="12" fillId="4" borderId="3" xfId="0" applyFont="1" applyFill="1" applyBorder="1" applyAlignment="1">
      <alignment horizontal="left" wrapText="1" indent="3"/>
    </xf>
    <xf numFmtId="0" fontId="15" fillId="4" borderId="3" xfId="0" applyFont="1" applyFill="1" applyBorder="1" applyAlignment="1">
      <alignment horizontal="left" wrapText="1" indent="3"/>
    </xf>
    <xf numFmtId="0" fontId="19" fillId="0" borderId="3" xfId="0" applyFont="1" applyBorder="1" applyAlignment="1">
      <alignment horizontal="left" wrapText="1" indent="2"/>
    </xf>
    <xf numFmtId="168" fontId="19" fillId="0" borderId="3" xfId="0" applyNumberFormat="1" applyFont="1" applyBorder="1" applyAlignment="1">
      <alignment horizontal="right" wrapText="1"/>
    </xf>
    <xf numFmtId="3" fontId="19" fillId="0" borderId="1" xfId="0" applyNumberFormat="1" applyFont="1" applyBorder="1" applyAlignment="1">
      <alignment horizontal="right" wrapText="1"/>
    </xf>
    <xf numFmtId="0" fontId="10" fillId="0" borderId="0" xfId="0" applyFont="1"/>
    <xf numFmtId="3" fontId="12" fillId="0" borderId="0" xfId="0" applyNumberFormat="1" applyFont="1" applyAlignment="1">
      <alignment horizontal="right" wrapText="1"/>
    </xf>
    <xf numFmtId="0" fontId="0" fillId="0" borderId="1" xfId="0" applyBorder="1"/>
    <xf numFmtId="0" fontId="0" fillId="0" borderId="4" xfId="0" applyBorder="1"/>
    <xf numFmtId="0" fontId="12" fillId="3" borderId="0" xfId="0" applyFont="1" applyFill="1" applyAlignment="1">
      <alignment horizontal="left" wrapText="1" indent="2"/>
    </xf>
    <xf numFmtId="0" fontId="0" fillId="0" borderId="3" xfId="0" applyBorder="1"/>
    <xf numFmtId="1" fontId="2" fillId="0" borderId="0" xfId="1" applyNumberFormat="1" applyFont="1" applyBorder="1" applyAlignment="1">
      <alignment horizontal="right"/>
    </xf>
    <xf numFmtId="168" fontId="2" fillId="0" borderId="0" xfId="1" applyNumberFormat="1" applyFont="1" applyBorder="1" applyAlignment="1">
      <alignment horizontal="right"/>
    </xf>
    <xf numFmtId="1" fontId="2" fillId="0" borderId="0" xfId="1" applyNumberFormat="1" applyFont="1" applyBorder="1"/>
    <xf numFmtId="0" fontId="2" fillId="0" borderId="0" xfId="0" applyFont="1" applyAlignment="1">
      <alignment horizontal="right" wrapText="1"/>
    </xf>
    <xf numFmtId="167" fontId="2" fillId="0" borderId="0" xfId="13" applyNumberFormat="1" applyFont="1" applyBorder="1" applyAlignment="1"/>
    <xf numFmtId="168" fontId="2" fillId="0" borderId="0" xfId="1" applyNumberFormat="1" applyFont="1" applyBorder="1" applyAlignment="1"/>
    <xf numFmtId="4" fontId="2" fillId="0" borderId="0" xfId="1" applyNumberFormat="1" applyFont="1" applyBorder="1" applyAlignment="1"/>
    <xf numFmtId="169" fontId="2" fillId="0" borderId="0" xfId="1" applyNumberFormat="1" applyFont="1" applyFill="1" applyBorder="1"/>
    <xf numFmtId="0" fontId="2" fillId="5" borderId="0" xfId="0" applyFont="1" applyFill="1" applyAlignment="1">
      <alignment horizontal="left" wrapText="1"/>
    </xf>
    <xf numFmtId="170" fontId="8" fillId="0" borderId="0" xfId="1" applyNumberFormat="1" applyFont="1" applyBorder="1"/>
    <xf numFmtId="170" fontId="2" fillId="0" borderId="0" xfId="1" applyNumberFormat="1" applyFont="1" applyBorder="1" applyAlignment="1">
      <alignment horizontal="right" wrapText="1"/>
    </xf>
    <xf numFmtId="170" fontId="2" fillId="0" borderId="0" xfId="1" applyNumberFormat="1" applyFont="1" applyBorder="1" applyAlignment="1">
      <alignment horizontal="right" vertical="center"/>
    </xf>
    <xf numFmtId="170" fontId="20" fillId="0" borderId="0" xfId="1" applyNumberFormat="1" applyFont="1" applyBorder="1" applyAlignment="1">
      <alignment horizontal="right" wrapText="1"/>
    </xf>
    <xf numFmtId="170" fontId="2" fillId="0" borderId="0" xfId="1" applyNumberFormat="1" applyFont="1" applyBorder="1" applyAlignment="1">
      <alignment horizontal="center" vertical="center"/>
    </xf>
    <xf numFmtId="170" fontId="20" fillId="0" borderId="0" xfId="1" applyNumberFormat="1" applyFont="1" applyBorder="1" applyAlignment="1">
      <alignment horizontal="right" vertical="center" wrapText="1"/>
    </xf>
    <xf numFmtId="170" fontId="8" fillId="5" borderId="0" xfId="1" applyNumberFormat="1" applyFont="1" applyFill="1" applyBorder="1"/>
    <xf numFmtId="170" fontId="9" fillId="5" borderId="0" xfId="1" applyNumberFormat="1" applyFont="1" applyFill="1" applyBorder="1" applyAlignment="1">
      <alignment horizontal="right" vertical="top" wrapText="1"/>
    </xf>
    <xf numFmtId="170" fontId="8" fillId="0" borderId="0" xfId="1" applyNumberFormat="1" applyFont="1" applyFill="1" applyBorder="1"/>
    <xf numFmtId="170" fontId="9" fillId="0" borderId="0" xfId="1" applyNumberFormat="1" applyFont="1" applyFill="1" applyBorder="1" applyAlignment="1">
      <alignment horizontal="right" vertical="top" wrapText="1"/>
    </xf>
    <xf numFmtId="170" fontId="20" fillId="0" borderId="0" xfId="1" applyNumberFormat="1" applyFont="1" applyFill="1" applyBorder="1" applyAlignment="1">
      <alignment horizontal="right" wrapText="1"/>
    </xf>
    <xf numFmtId="171" fontId="9" fillId="5" borderId="0" xfId="1" applyNumberFormat="1" applyFont="1" applyFill="1" applyBorder="1" applyAlignment="1">
      <alignment horizontal="right" vertical="top" wrapText="1"/>
    </xf>
    <xf numFmtId="171" fontId="2" fillId="5" borderId="0" xfId="1" applyNumberFormat="1" applyFont="1" applyFill="1" applyBorder="1" applyAlignment="1"/>
    <xf numFmtId="171" fontId="8" fillId="5" borderId="0" xfId="1" applyNumberFormat="1" applyFont="1" applyFill="1" applyBorder="1"/>
    <xf numFmtId="0" fontId="9" fillId="5" borderId="0" xfId="0" applyFont="1" applyFill="1" applyAlignment="1">
      <alignment horizontal="right" vertical="top" wrapText="1"/>
    </xf>
    <xf numFmtId="0" fontId="8" fillId="5" borderId="0" xfId="0" applyFont="1" applyFill="1" applyAlignment="1">
      <alignment horizontal="left" wrapText="1"/>
    </xf>
    <xf numFmtId="0" fontId="2" fillId="5" borderId="0" xfId="1" applyNumberFormat="1" applyFont="1" applyFill="1" applyBorder="1"/>
    <xf numFmtId="43" fontId="2" fillId="0" borderId="0" xfId="1" applyFont="1" applyBorder="1"/>
    <xf numFmtId="43" fontId="2" fillId="0" borderId="0" xfId="1" applyFont="1" applyBorder="1" applyAlignment="1">
      <alignment vertical="center"/>
    </xf>
    <xf numFmtId="43" fontId="8" fillId="0" borderId="0" xfId="1" applyFont="1" applyBorder="1"/>
    <xf numFmtId="43" fontId="2" fillId="0" borderId="0" xfId="1" applyFont="1" applyBorder="1" applyAlignment="1"/>
    <xf numFmtId="43" fontId="8" fillId="0" borderId="0" xfId="1" applyFont="1" applyFill="1" applyBorder="1"/>
    <xf numFmtId="43" fontId="9" fillId="5" borderId="0" xfId="1" applyFont="1" applyFill="1" applyBorder="1" applyAlignment="1">
      <alignment horizontal="right" vertical="top" wrapText="1"/>
    </xf>
    <xf numFmtId="0" fontId="22" fillId="0" borderId="0" xfId="0" applyFont="1"/>
    <xf numFmtId="0" fontId="23" fillId="0" borderId="0" xfId="0" applyFont="1"/>
    <xf numFmtId="0" fontId="2" fillId="5" borderId="0" xfId="0" applyFont="1" applyFill="1"/>
    <xf numFmtId="43" fontId="2" fillId="5" borderId="0" xfId="1" applyFont="1" applyFill="1" applyBorder="1"/>
    <xf numFmtId="170" fontId="8" fillId="6" borderId="0" xfId="1" applyNumberFormat="1" applyFont="1" applyFill="1" applyBorder="1"/>
    <xf numFmtId="170" fontId="2" fillId="6" borderId="0" xfId="1" applyNumberFormat="1" applyFont="1" applyFill="1" applyBorder="1" applyAlignment="1">
      <alignment horizontal="right" wrapText="1"/>
    </xf>
    <xf numFmtId="170" fontId="2" fillId="6" borderId="0" xfId="1" applyNumberFormat="1" applyFont="1" applyFill="1" applyBorder="1" applyAlignment="1"/>
    <xf numFmtId="10" fontId="2" fillId="6" borderId="0" xfId="13" applyNumberFormat="1" applyFont="1" applyFill="1" applyBorder="1" applyAlignment="1"/>
    <xf numFmtId="0" fontId="8" fillId="6" borderId="0" xfId="0" applyFont="1" applyFill="1"/>
    <xf numFmtId="43" fontId="2" fillId="6" borderId="0" xfId="1" applyFont="1" applyFill="1" applyBorder="1"/>
    <xf numFmtId="0" fontId="2" fillId="6" borderId="0" xfId="0" applyFont="1" applyFill="1"/>
    <xf numFmtId="43" fontId="8" fillId="6" borderId="0" xfId="1" applyFont="1" applyFill="1" applyBorder="1"/>
    <xf numFmtId="172" fontId="2" fillId="6" borderId="0" xfId="13" applyNumberFormat="1" applyFont="1" applyFill="1" applyBorder="1"/>
    <xf numFmtId="0" fontId="2" fillId="6" borderId="0" xfId="13" applyNumberFormat="1" applyFont="1" applyFill="1" applyBorder="1"/>
    <xf numFmtId="172" fontId="8" fillId="6" borderId="0" xfId="13" applyNumberFormat="1" applyFont="1" applyFill="1" applyBorder="1"/>
    <xf numFmtId="0" fontId="8" fillId="6" borderId="0" xfId="13" applyNumberFormat="1" applyFont="1" applyFill="1" applyBorder="1"/>
    <xf numFmtId="0" fontId="8" fillId="5" borderId="0" xfId="0" applyFont="1" applyFill="1"/>
    <xf numFmtId="173" fontId="9" fillId="5" borderId="0" xfId="15" applyNumberFormat="1" applyFont="1" applyFill="1" applyAlignment="1">
      <alignment horizontal="right" vertical="top" wrapText="1"/>
    </xf>
    <xf numFmtId="0" fontId="2" fillId="0" borderId="0" xfId="7" applyFont="1" applyAlignment="1">
      <alignment horizontal="left"/>
    </xf>
    <xf numFmtId="2" fontId="2" fillId="0" borderId="0" xfId="7" applyNumberFormat="1" applyFont="1"/>
    <xf numFmtId="2" fontId="2" fillId="0" borderId="0" xfId="11" applyNumberFormat="1" applyFont="1" applyFill="1" applyBorder="1" applyAlignment="1" applyProtection="1"/>
    <xf numFmtId="2" fontId="2" fillId="0" borderId="2" xfId="7" applyNumberFormat="1" applyFont="1" applyBorder="1"/>
    <xf numFmtId="0" fontId="2" fillId="0" borderId="4" xfId="13" applyNumberFormat="1" applyFont="1" applyBorder="1" applyAlignment="1">
      <alignment horizontal="right"/>
    </xf>
    <xf numFmtId="0" fontId="2" fillId="0" borderId="2" xfId="7" applyFont="1" applyBorder="1" applyAlignment="1">
      <alignment horizontal="left"/>
    </xf>
    <xf numFmtId="0" fontId="2" fillId="0" borderId="0" xfId="7" applyFont="1"/>
    <xf numFmtId="0" fontId="2" fillId="0" borderId="0" xfId="11" applyNumberFormat="1" applyFont="1" applyFill="1" applyBorder="1" applyAlignment="1" applyProtection="1"/>
    <xf numFmtId="0" fontId="2" fillId="0" borderId="2" xfId="7" applyFont="1" applyBorder="1"/>
    <xf numFmtId="0" fontId="2" fillId="0" borderId="8" xfId="7" applyFont="1" applyBorder="1"/>
    <xf numFmtId="0" fontId="2" fillId="0" borderId="0" xfId="13" applyNumberFormat="1" applyFont="1" applyAlignment="1">
      <alignment horizontal="left"/>
    </xf>
    <xf numFmtId="0" fontId="2" fillId="5" borderId="0" xfId="7" applyFont="1" applyFill="1" applyAlignment="1">
      <alignment horizontal="left"/>
    </xf>
    <xf numFmtId="0" fontId="2" fillId="5" borderId="0" xfId="7" applyFont="1" applyFill="1"/>
    <xf numFmtId="0" fontId="2" fillId="6" borderId="0" xfId="7" applyFont="1" applyFill="1" applyAlignment="1">
      <alignment horizontal="left"/>
    </xf>
    <xf numFmtId="167" fontId="2" fillId="6" borderId="0" xfId="13" applyNumberFormat="1" applyFont="1" applyFill="1" applyBorder="1" applyAlignment="1" applyProtection="1"/>
    <xf numFmtId="0" fontId="2" fillId="6" borderId="0" xfId="13" applyNumberFormat="1" applyFont="1" applyFill="1" applyBorder="1" applyAlignment="1" applyProtection="1"/>
    <xf numFmtId="0" fontId="2" fillId="8" borderId="7" xfId="7" applyFont="1" applyFill="1" applyBorder="1" applyAlignment="1">
      <alignment horizontal="left"/>
    </xf>
    <xf numFmtId="0" fontId="2" fillId="8" borderId="5" xfId="7" applyFont="1" applyFill="1" applyBorder="1" applyAlignment="1">
      <alignment horizontal="left"/>
    </xf>
    <xf numFmtId="0" fontId="2" fillId="8" borderId="5" xfId="7" applyFont="1" applyFill="1" applyBorder="1" applyAlignment="1">
      <alignment horizontal="right"/>
    </xf>
    <xf numFmtId="0" fontId="2" fillId="8" borderId="5" xfId="7" quotePrefix="1" applyFont="1" applyFill="1" applyBorder="1" applyAlignment="1">
      <alignment horizontal="right"/>
    </xf>
    <xf numFmtId="0" fontId="2" fillId="8" borderId="6" xfId="7" applyFont="1" applyFill="1" applyBorder="1" applyAlignment="1">
      <alignment horizontal="right"/>
    </xf>
    <xf numFmtId="0" fontId="2" fillId="8" borderId="0" xfId="7" applyFont="1" applyFill="1" applyAlignment="1">
      <alignment horizontal="left"/>
    </xf>
    <xf numFmtId="0" fontId="8" fillId="8" borderId="0" xfId="1" applyNumberFormat="1" applyFont="1" applyFill="1" applyBorder="1"/>
    <xf numFmtId="0" fontId="2" fillId="8" borderId="0" xfId="1" applyNumberFormat="1" applyFont="1" applyFill="1" applyBorder="1" applyAlignment="1">
      <alignment horizontal="left" vertical="center"/>
    </xf>
    <xf numFmtId="0" fontId="2" fillId="8" borderId="0" xfId="1" quotePrefix="1" applyNumberFormat="1" applyFont="1" applyFill="1" applyBorder="1" applyAlignment="1">
      <alignment horizontal="left" vertical="center"/>
    </xf>
    <xf numFmtId="0" fontId="20" fillId="0" borderId="0" xfId="0" applyFont="1" applyAlignment="1">
      <alignment horizontal="left" wrapText="1" indent="1"/>
    </xf>
    <xf numFmtId="3" fontId="20" fillId="0" borderId="0" xfId="0" applyNumberFormat="1" applyFont="1" applyAlignment="1">
      <alignment horizontal="right" wrapText="1"/>
    </xf>
    <xf numFmtId="0" fontId="20" fillId="0" borderId="0" xfId="0" applyFont="1" applyAlignment="1">
      <alignment horizontal="right" wrapText="1"/>
    </xf>
    <xf numFmtId="0" fontId="20" fillId="8" borderId="0" xfId="0" applyFont="1" applyFill="1" applyAlignment="1">
      <alignment horizontal="left" wrapText="1"/>
    </xf>
    <xf numFmtId="0" fontId="20" fillId="8" borderId="0" xfId="0" applyFont="1" applyFill="1" applyAlignment="1">
      <alignment horizontal="center" textRotation="90" wrapText="1"/>
    </xf>
    <xf numFmtId="0" fontId="8" fillId="8" borderId="0" xfId="0" applyFont="1" applyFill="1"/>
    <xf numFmtId="0" fontId="2" fillId="8" borderId="0" xfId="0" applyFont="1" applyFill="1"/>
    <xf numFmtId="0" fontId="2" fillId="8" borderId="0" xfId="0" applyFont="1" applyFill="1" applyAlignment="1">
      <alignment horizontal="left" wrapText="1"/>
    </xf>
    <xf numFmtId="0" fontId="3" fillId="8" borderId="0" xfId="0" applyFont="1" applyFill="1" applyAlignment="1">
      <alignment horizontal="left" wrapText="1"/>
    </xf>
    <xf numFmtId="16" fontId="3" fillId="8" borderId="0" xfId="0" quotePrefix="1" applyNumberFormat="1" applyFont="1" applyFill="1" applyAlignment="1">
      <alignment horizontal="right"/>
    </xf>
    <xf numFmtId="0" fontId="2" fillId="0" borderId="0" xfId="0" applyFont="1" applyAlignment="1">
      <alignment horizontal="left" wrapText="1"/>
    </xf>
    <xf numFmtId="1" fontId="2" fillId="0" borderId="0" xfId="0" applyNumberFormat="1" applyFont="1" applyAlignment="1">
      <alignment horizontal="right" wrapText="1"/>
    </xf>
    <xf numFmtId="0" fontId="3" fillId="0" borderId="0" xfId="0" applyFont="1" applyAlignment="1">
      <alignment horizontal="left" wrapText="1"/>
    </xf>
    <xf numFmtId="167" fontId="2" fillId="0" borderId="0" xfId="0" applyNumberFormat="1" applyFont="1" applyAlignment="1">
      <alignment horizontal="left" wrapText="1"/>
    </xf>
    <xf numFmtId="3" fontId="2" fillId="0" borderId="0" xfId="0" applyNumberFormat="1" applyFont="1" applyAlignment="1">
      <alignment horizontal="right" wrapText="1"/>
    </xf>
    <xf numFmtId="168" fontId="2" fillId="0" borderId="0" xfId="0" applyNumberFormat="1" applyFont="1" applyAlignment="1">
      <alignment horizontal="right" wrapText="1"/>
    </xf>
    <xf numFmtId="3" fontId="2" fillId="0" borderId="0" xfId="0" applyNumberFormat="1" applyFont="1" applyAlignment="1">
      <alignment horizontal="left" wrapText="1"/>
    </xf>
    <xf numFmtId="1" fontId="2" fillId="0" borderId="0" xfId="0" applyNumberFormat="1" applyFont="1" applyAlignment="1">
      <alignment horizontal="left" wrapText="1"/>
    </xf>
    <xf numFmtId="168" fontId="2" fillId="0" borderId="0" xfId="0" applyNumberFormat="1" applyFont="1" applyAlignment="1">
      <alignment wrapText="1"/>
    </xf>
    <xf numFmtId="165" fontId="2" fillId="0" borderId="0" xfId="0" applyNumberFormat="1" applyFont="1" applyAlignment="1">
      <alignment wrapText="1"/>
    </xf>
    <xf numFmtId="167" fontId="2" fillId="0" borderId="0" xfId="13" applyNumberFormat="1" applyFont="1" applyBorder="1" applyAlignment="1">
      <alignment horizontal="left" wrapText="1"/>
    </xf>
    <xf numFmtId="4" fontId="2" fillId="0" borderId="0" xfId="0" applyNumberFormat="1" applyFont="1" applyAlignment="1">
      <alignment wrapText="1"/>
    </xf>
    <xf numFmtId="166" fontId="17" fillId="5" borderId="0" xfId="0" applyNumberFormat="1" applyFont="1" applyFill="1" applyAlignment="1">
      <alignment horizontal="right" vertical="top" wrapText="1"/>
    </xf>
    <xf numFmtId="0" fontId="0" fillId="5" borderId="0" xfId="0" applyFill="1" applyAlignment="1">
      <alignment horizontal="left" wrapText="1"/>
    </xf>
    <xf numFmtId="0" fontId="7" fillId="5" borderId="0" xfId="0" applyFont="1" applyFill="1" applyAlignment="1">
      <alignment horizontal="left" wrapText="1"/>
    </xf>
    <xf numFmtId="167" fontId="2" fillId="5" borderId="0" xfId="0" applyNumberFormat="1" applyFont="1" applyFill="1" applyAlignment="1">
      <alignment horizontal="left" wrapText="1"/>
    </xf>
    <xf numFmtId="0" fontId="0" fillId="6" borderId="0" xfId="0" applyFill="1"/>
    <xf numFmtId="16" fontId="2" fillId="8" borderId="0" xfId="0" quotePrefix="1" applyNumberFormat="1" applyFont="1" applyFill="1" applyAlignment="1">
      <alignment horizontal="right"/>
    </xf>
    <xf numFmtId="164" fontId="2" fillId="0" borderId="0" xfId="0" applyNumberFormat="1" applyFont="1" applyAlignment="1">
      <alignment horizontal="right" wrapText="1"/>
    </xf>
    <xf numFmtId="164" fontId="2" fillId="2" borderId="0" xfId="0" applyNumberFormat="1" applyFont="1" applyFill="1" applyAlignment="1">
      <alignment horizontal="right" wrapText="1"/>
    </xf>
    <xf numFmtId="2" fontId="8" fillId="0" borderId="0" xfId="0" applyNumberFormat="1" applyFont="1"/>
    <xf numFmtId="164" fontId="2" fillId="0" borderId="0" xfId="6" applyNumberFormat="1" applyFont="1"/>
    <xf numFmtId="164" fontId="2" fillId="0" borderId="0" xfId="3" applyNumberFormat="1" applyFont="1"/>
    <xf numFmtId="0" fontId="8" fillId="0" borderId="0" xfId="0" applyFont="1" applyAlignment="1">
      <alignment horizontal="left" wrapText="1"/>
    </xf>
    <xf numFmtId="164" fontId="8" fillId="0" borderId="0" xfId="0" applyNumberFormat="1" applyFont="1" applyAlignment="1">
      <alignment horizontal="left"/>
    </xf>
    <xf numFmtId="168" fontId="2" fillId="0" borderId="0" xfId="0" applyNumberFormat="1" applyFont="1" applyAlignment="1">
      <alignment horizontal="left" wrapText="1"/>
    </xf>
    <xf numFmtId="164" fontId="2" fillId="0" borderId="0" xfId="6" applyNumberFormat="1" applyFont="1" applyAlignment="1">
      <alignment horizontal="right" vertical="top" wrapText="1"/>
    </xf>
    <xf numFmtId="3" fontId="8" fillId="0" borderId="0" xfId="0" applyNumberFormat="1" applyFont="1"/>
    <xf numFmtId="164" fontId="2" fillId="0" borderId="0" xfId="0" applyNumberFormat="1" applyFont="1"/>
    <xf numFmtId="0" fontId="2" fillId="0" borderId="0" xfId="0" quotePrefix="1" applyFont="1"/>
    <xf numFmtId="0" fontId="8" fillId="0" borderId="0" xfId="0" applyFont="1" applyAlignment="1">
      <alignment vertical="center" wrapText="1"/>
    </xf>
    <xf numFmtId="164" fontId="8" fillId="0" borderId="0" xfId="0" applyNumberFormat="1" applyFont="1"/>
    <xf numFmtId="166" fontId="9" fillId="5" borderId="0" xfId="0" applyNumberFormat="1" applyFont="1" applyFill="1" applyAlignment="1">
      <alignment horizontal="right" vertical="top" wrapText="1"/>
    </xf>
    <xf numFmtId="0" fontId="2" fillId="8" borderId="0" xfId="0" applyFont="1" applyFill="1" applyAlignment="1">
      <alignment horizontal="right" wrapText="1"/>
    </xf>
    <xf numFmtId="0" fontId="2" fillId="8" borderId="0" xfId="0" applyFont="1" applyFill="1" applyAlignment="1">
      <alignment horizontal="right"/>
    </xf>
    <xf numFmtId="0" fontId="2" fillId="8" borderId="0" xfId="0" quotePrefix="1" applyFont="1" applyFill="1" applyAlignment="1">
      <alignment horizontal="right"/>
    </xf>
    <xf numFmtId="0" fontId="22" fillId="8" borderId="0" xfId="0" applyFont="1" applyFill="1"/>
    <xf numFmtId="0" fontId="24" fillId="0" borderId="0" xfId="0" applyFont="1"/>
    <xf numFmtId="0" fontId="8" fillId="7" borderId="0" xfId="0" applyFont="1" applyFill="1"/>
    <xf numFmtId="43" fontId="8" fillId="5" borderId="0" xfId="1" applyFont="1" applyFill="1" applyBorder="1"/>
  </cellXfs>
  <cellStyles count="16">
    <cellStyle name="Comma" xfId="1" builtinId="3"/>
    <cellStyle name="Comma 2" xfId="14" xr:uid="{58E74BB9-038D-4964-85CA-C554D4E92A4F}"/>
    <cellStyle name="Normal" xfId="0" builtinId="0"/>
    <cellStyle name="Normal 2" xfId="2" xr:uid="{97E23270-16C0-440F-BABB-CE6955AB395D}"/>
    <cellStyle name="Normal 2 2" xfId="6" xr:uid="{43212FBF-2581-4D27-B405-FE724F152A6C}"/>
    <cellStyle name="Normal 2 3" xfId="5" xr:uid="{EA71CE6F-A2FB-4C2F-B584-61BC0119926D}"/>
    <cellStyle name="Normal 2 4" xfId="15" xr:uid="{05EA818A-94EA-4DBB-B5A3-67636547172D}"/>
    <cellStyle name="Normal 3" xfId="7" xr:uid="{DB352C67-CE8F-4080-9328-2C40E0A28259}"/>
    <cellStyle name="Normal 4" xfId="8" xr:uid="{3595EBF7-C671-439C-9471-163CA79339C7}"/>
    <cellStyle name="Normal 5" xfId="9" xr:uid="{B45D407E-79E2-4600-A19B-3C2164A71291}"/>
    <cellStyle name="Normal 6" xfId="10" xr:uid="{19B98275-C971-412F-9A26-E3680779B8CD}"/>
    <cellStyle name="Normal 7" xfId="3" xr:uid="{9D9CF38A-EC65-4D30-9AF5-4E5FDE4ABA92}"/>
    <cellStyle name="Percent" xfId="13" builtinId="5"/>
    <cellStyle name="Percent 2" xfId="11" xr:uid="{0246A2BE-017E-4EE9-88E0-6BD5F960EF55}"/>
    <cellStyle name="Percent 3" xfId="4" xr:uid="{48D3A4FE-7638-47BF-A32E-C414254FA8B4}"/>
    <cellStyle name="Style 1" xfId="12" xr:uid="{C127E286-F348-4414-B688-7823CBE88B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8F45-A34D-4F0C-99AD-12DD9F639DFE}">
  <dimension ref="A1:H21"/>
  <sheetViews>
    <sheetView workbookViewId="0">
      <selection activeCell="A25" sqref="A25"/>
    </sheetView>
  </sheetViews>
  <sheetFormatPr defaultRowHeight="11.5" x14ac:dyDescent="0.25"/>
  <cols>
    <col min="1" max="1" width="27.26953125" style="3" customWidth="1"/>
    <col min="2" max="2" width="63.54296875" style="3" customWidth="1"/>
    <col min="3" max="3" width="26.08984375" style="3" customWidth="1"/>
    <col min="4" max="5" width="8.7265625" style="3"/>
    <col min="6" max="6" width="14.6328125" style="3" customWidth="1"/>
    <col min="7" max="7" width="41" style="3" bestFit="1" customWidth="1"/>
    <col min="8" max="8" width="13.54296875" style="3" customWidth="1"/>
    <col min="9" max="16384" width="8.7265625" style="3"/>
  </cols>
  <sheetData>
    <row r="1" spans="1:8" s="107" customFormat="1" x14ac:dyDescent="0.25">
      <c r="A1" s="148" t="s">
        <v>467</v>
      </c>
    </row>
    <row r="2" spans="1:8" x14ac:dyDescent="0.25">
      <c r="A2" s="3" t="s">
        <v>466</v>
      </c>
      <c r="B2" s="149" t="s">
        <v>523</v>
      </c>
    </row>
    <row r="4" spans="1:8" s="59" customFormat="1" x14ac:dyDescent="0.25">
      <c r="A4" s="59" t="s">
        <v>518</v>
      </c>
      <c r="F4" s="67" t="s">
        <v>484</v>
      </c>
      <c r="G4" s="3" t="s">
        <v>502</v>
      </c>
      <c r="H4" s="150" t="s">
        <v>483</v>
      </c>
    </row>
    <row r="5" spans="1:8" s="107" customFormat="1" x14ac:dyDescent="0.25">
      <c r="A5" s="107" t="s">
        <v>471</v>
      </c>
      <c r="B5" s="107" t="s">
        <v>468</v>
      </c>
      <c r="C5" s="107" t="s">
        <v>472</v>
      </c>
      <c r="D5" s="107" t="s">
        <v>473</v>
      </c>
    </row>
    <row r="6" spans="1:8" x14ac:dyDescent="0.25">
      <c r="A6" s="1" t="s">
        <v>89</v>
      </c>
      <c r="B6" s="3" t="s">
        <v>488</v>
      </c>
      <c r="C6" s="3" t="s">
        <v>520</v>
      </c>
      <c r="D6" s="3" t="s">
        <v>487</v>
      </c>
    </row>
    <row r="7" spans="1:8" x14ac:dyDescent="0.25">
      <c r="A7" s="1" t="s">
        <v>241</v>
      </c>
      <c r="B7" s="3" t="s">
        <v>489</v>
      </c>
      <c r="C7" s="3" t="s">
        <v>520</v>
      </c>
      <c r="D7" s="3" t="s">
        <v>487</v>
      </c>
    </row>
    <row r="8" spans="1:8" x14ac:dyDescent="0.25">
      <c r="A8" s="3" t="s">
        <v>328</v>
      </c>
      <c r="B8" s="3" t="s">
        <v>490</v>
      </c>
      <c r="C8" s="3" t="s">
        <v>486</v>
      </c>
      <c r="D8" s="3" t="s">
        <v>485</v>
      </c>
    </row>
    <row r="9" spans="1:8" x14ac:dyDescent="0.25">
      <c r="A9" s="3" t="s">
        <v>470</v>
      </c>
      <c r="B9" s="3" t="s">
        <v>500</v>
      </c>
      <c r="C9" s="3" t="s">
        <v>491</v>
      </c>
      <c r="D9" s="3" t="s">
        <v>493</v>
      </c>
    </row>
    <row r="10" spans="1:8" x14ac:dyDescent="0.25">
      <c r="A10" s="3" t="s">
        <v>469</v>
      </c>
      <c r="B10" s="3" t="s">
        <v>498</v>
      </c>
      <c r="C10" s="3" t="s">
        <v>491</v>
      </c>
      <c r="D10" s="3" t="s">
        <v>492</v>
      </c>
    </row>
    <row r="12" spans="1:8" x14ac:dyDescent="0.25">
      <c r="A12" s="149" t="s">
        <v>521</v>
      </c>
    </row>
    <row r="13" spans="1:8" s="149" customFormat="1" x14ac:dyDescent="0.25">
      <c r="A13" s="149" t="s">
        <v>519</v>
      </c>
    </row>
    <row r="14" spans="1:8" s="59" customFormat="1" x14ac:dyDescent="0.25">
      <c r="A14" s="59" t="s">
        <v>474</v>
      </c>
    </row>
    <row r="15" spans="1:8" s="107" customFormat="1" x14ac:dyDescent="0.25">
      <c r="A15" s="107" t="s">
        <v>478</v>
      </c>
      <c r="B15" s="107" t="s">
        <v>479</v>
      </c>
      <c r="C15" s="107" t="s">
        <v>480</v>
      </c>
    </row>
    <row r="16" spans="1:8" x14ac:dyDescent="0.25">
      <c r="A16" s="3" t="s">
        <v>475</v>
      </c>
      <c r="B16" s="3" t="s">
        <v>494</v>
      </c>
      <c r="C16" s="3" t="s">
        <v>481</v>
      </c>
    </row>
    <row r="17" spans="1:3" x14ac:dyDescent="0.25">
      <c r="A17" s="3" t="s">
        <v>59</v>
      </c>
      <c r="B17" s="3" t="s">
        <v>495</v>
      </c>
      <c r="C17" s="3" t="s">
        <v>481</v>
      </c>
    </row>
    <row r="18" spans="1:3" x14ac:dyDescent="0.25">
      <c r="A18" s="3" t="s">
        <v>476</v>
      </c>
      <c r="B18" s="3" t="s">
        <v>496</v>
      </c>
      <c r="C18" s="3" t="s">
        <v>481</v>
      </c>
    </row>
    <row r="19" spans="1:3" x14ac:dyDescent="0.25">
      <c r="A19" s="3" t="s">
        <v>477</v>
      </c>
      <c r="B19" s="3" t="s">
        <v>497</v>
      </c>
      <c r="C19" s="3" t="s">
        <v>481</v>
      </c>
    </row>
    <row r="20" spans="1:3" x14ac:dyDescent="0.25">
      <c r="A20" s="3" t="s">
        <v>470</v>
      </c>
      <c r="B20" s="3" t="s">
        <v>499</v>
      </c>
      <c r="C20" s="3" t="s">
        <v>481</v>
      </c>
    </row>
    <row r="21" spans="1:3" x14ac:dyDescent="0.25">
      <c r="A21" s="3" t="s">
        <v>469</v>
      </c>
      <c r="B21" s="3" t="s">
        <v>501</v>
      </c>
      <c r="C21" s="3" t="s">
        <v>481</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AC76-5A15-4B18-9A1A-0AC3DD490B7F}">
  <dimension ref="A1:BR83"/>
  <sheetViews>
    <sheetView zoomScale="70" zoomScaleNormal="70" workbookViewId="0">
      <pane xSplit="4" ySplit="1" topLeftCell="AK2" activePane="bottomRight" state="frozen"/>
      <selection pane="topRight" activeCell="E1" sqref="E1"/>
      <selection pane="bottomLeft" activeCell="A2" sqref="A2"/>
      <selection pane="bottomRight" activeCell="BB6" sqref="BB6"/>
    </sheetView>
  </sheetViews>
  <sheetFormatPr defaultRowHeight="11.5" x14ac:dyDescent="0.25"/>
  <cols>
    <col min="1" max="4" width="8.7265625" style="3"/>
    <col min="5" max="50" width="11.54296875" style="3" bestFit="1" customWidth="1"/>
    <col min="51" max="51" width="12.08984375" style="3" bestFit="1" customWidth="1"/>
    <col min="52" max="55" width="11.54296875" style="3" bestFit="1" customWidth="1"/>
    <col min="56" max="16384" width="8.7265625" style="3"/>
  </cols>
  <sheetData>
    <row r="1" spans="1:66" s="109" customFormat="1" x14ac:dyDescent="0.25">
      <c r="A1" s="108" t="s">
        <v>59</v>
      </c>
      <c r="B1" s="108" t="s">
        <v>240</v>
      </c>
      <c r="C1" s="108" t="s">
        <v>242</v>
      </c>
      <c r="D1" s="108" t="s">
        <v>121</v>
      </c>
      <c r="E1" s="145">
        <v>1976</v>
      </c>
      <c r="F1" s="145">
        <v>1977</v>
      </c>
      <c r="G1" s="145">
        <v>1978</v>
      </c>
      <c r="H1" s="145">
        <v>1979</v>
      </c>
      <c r="I1" s="145">
        <v>1980</v>
      </c>
      <c r="J1" s="145">
        <v>1981</v>
      </c>
      <c r="K1" s="145">
        <v>1982</v>
      </c>
      <c r="L1" s="145">
        <v>1983</v>
      </c>
      <c r="M1" s="145">
        <v>1984</v>
      </c>
      <c r="N1" s="145">
        <v>1985</v>
      </c>
      <c r="O1" s="145">
        <v>1986</v>
      </c>
      <c r="P1" s="145">
        <v>1987</v>
      </c>
      <c r="Q1" s="145">
        <v>1988</v>
      </c>
      <c r="R1" s="145">
        <v>1989</v>
      </c>
      <c r="S1" s="145">
        <v>1990</v>
      </c>
      <c r="T1" s="145">
        <v>1991</v>
      </c>
      <c r="U1" s="145">
        <v>1992</v>
      </c>
      <c r="V1" s="145">
        <v>1993</v>
      </c>
      <c r="W1" s="145">
        <v>1994</v>
      </c>
      <c r="X1" s="145">
        <v>1995</v>
      </c>
      <c r="Y1" s="145">
        <v>1996</v>
      </c>
      <c r="Z1" s="146">
        <v>1997</v>
      </c>
      <c r="AA1" s="146">
        <v>1998</v>
      </c>
      <c r="AB1" s="146">
        <v>1999</v>
      </c>
      <c r="AC1" s="146">
        <v>2000</v>
      </c>
      <c r="AD1" s="146">
        <v>2001</v>
      </c>
      <c r="AE1" s="146">
        <v>2002</v>
      </c>
      <c r="AF1" s="146">
        <v>2003</v>
      </c>
      <c r="AG1" s="146">
        <v>2004</v>
      </c>
      <c r="AH1" s="146">
        <v>2005</v>
      </c>
      <c r="AI1" s="145">
        <v>2006</v>
      </c>
      <c r="AJ1" s="145">
        <v>2007</v>
      </c>
      <c r="AK1" s="145">
        <v>2008</v>
      </c>
      <c r="AL1" s="145">
        <v>2009</v>
      </c>
      <c r="AM1" s="145">
        <v>2010</v>
      </c>
      <c r="AN1" s="145">
        <v>2011</v>
      </c>
      <c r="AO1" s="145">
        <v>2012</v>
      </c>
      <c r="AP1" s="145">
        <v>2013</v>
      </c>
      <c r="AQ1" s="145">
        <v>2014</v>
      </c>
      <c r="AR1" s="145">
        <v>2015</v>
      </c>
      <c r="AS1" s="145">
        <v>2016</v>
      </c>
      <c r="AT1" s="145">
        <v>2017</v>
      </c>
      <c r="AU1" s="145">
        <v>2018</v>
      </c>
      <c r="AV1" s="145">
        <v>2019</v>
      </c>
      <c r="AW1" s="145">
        <v>2020</v>
      </c>
      <c r="AX1" s="145">
        <v>2021</v>
      </c>
      <c r="AY1" s="145">
        <v>2022</v>
      </c>
      <c r="AZ1" s="145">
        <v>2023</v>
      </c>
      <c r="BA1" s="109">
        <v>2024</v>
      </c>
      <c r="BB1" s="109">
        <v>2025</v>
      </c>
      <c r="BC1" s="109">
        <v>2026</v>
      </c>
      <c r="BL1" s="147"/>
      <c r="BM1" s="147"/>
      <c r="BN1" s="147"/>
    </row>
    <row r="2" spans="1:66" x14ac:dyDescent="0.25">
      <c r="A2" s="1" t="s">
        <v>234</v>
      </c>
      <c r="B2" s="1" t="s">
        <v>75</v>
      </c>
      <c r="C2" s="1" t="s">
        <v>243</v>
      </c>
      <c r="D2" s="1"/>
      <c r="E2" s="53">
        <v>11065</v>
      </c>
      <c r="F2" s="53">
        <v>12478</v>
      </c>
      <c r="G2" s="53">
        <v>13257.7</v>
      </c>
      <c r="H2" s="53">
        <v>14300</v>
      </c>
      <c r="I2" s="53">
        <v>15430</v>
      </c>
      <c r="J2" s="53">
        <v>19022</v>
      </c>
      <c r="K2" s="53">
        <v>22898.2</v>
      </c>
      <c r="L2" s="53">
        <v>25648.3</v>
      </c>
      <c r="M2" s="53">
        <v>30497.8</v>
      </c>
      <c r="N2" s="53">
        <v>34714.300000000003</v>
      </c>
      <c r="O2" s="53">
        <v>37643.9</v>
      </c>
      <c r="P2" s="53">
        <v>39833.300000000003</v>
      </c>
      <c r="Q2" s="53">
        <v>40971.699999999997</v>
      </c>
      <c r="R2" s="53">
        <v>41579.300000000003</v>
      </c>
      <c r="S2" s="53">
        <v>40978.300000000003</v>
      </c>
      <c r="T2" s="53">
        <v>40375</v>
      </c>
      <c r="U2" s="53">
        <v>41231.300000000003</v>
      </c>
      <c r="V2" s="53">
        <v>42113.599999999999</v>
      </c>
      <c r="W2" s="53">
        <v>38299.1</v>
      </c>
      <c r="X2" s="53">
        <v>37833</v>
      </c>
      <c r="Y2" s="53">
        <v>38464.946000000004</v>
      </c>
      <c r="Z2" s="53">
        <v>40047.195999999996</v>
      </c>
      <c r="AA2" s="53">
        <v>40571.395000000004</v>
      </c>
      <c r="AB2" s="53">
        <v>42085.337</v>
      </c>
      <c r="AC2" s="53">
        <v>43160.677000000003</v>
      </c>
      <c r="AD2" s="53">
        <v>46201.686000000002</v>
      </c>
      <c r="AE2" s="53">
        <v>53731.460999999996</v>
      </c>
      <c r="AF2" s="53">
        <v>63707.550999999999</v>
      </c>
      <c r="AG2" s="53">
        <v>70343.665999999997</v>
      </c>
      <c r="AH2" s="53">
        <v>74641.114000000001</v>
      </c>
      <c r="AI2" s="53">
        <v>78737.285999999993</v>
      </c>
      <c r="AJ2" s="53">
        <v>82657.7</v>
      </c>
      <c r="AK2" s="53">
        <v>85129.422000000006</v>
      </c>
      <c r="AL2" s="53">
        <v>85308.759000000005</v>
      </c>
      <c r="AM2" s="53">
        <v>86755.738000000012</v>
      </c>
      <c r="AN2" s="53">
        <v>83192.710000000006</v>
      </c>
      <c r="AO2" s="53">
        <v>78717.3</v>
      </c>
      <c r="AP2" s="53">
        <v>69766.48</v>
      </c>
      <c r="AQ2" s="53">
        <v>71469.022000000026</v>
      </c>
      <c r="AR2" s="53">
        <v>72720.88499999998</v>
      </c>
      <c r="AS2" s="53">
        <v>79108.624000000011</v>
      </c>
      <c r="AT2" s="53">
        <v>57530</v>
      </c>
      <c r="AU2" s="53">
        <v>68912.861000000004</v>
      </c>
      <c r="AV2" s="53">
        <v>72003.817999999999</v>
      </c>
      <c r="AW2" s="53">
        <v>81874.271999999997</v>
      </c>
      <c r="AX2" s="53">
        <v>78379.183999999994</v>
      </c>
      <c r="AY2" s="53">
        <v>88936.162000000011</v>
      </c>
      <c r="AZ2" s="54">
        <v>96003.578999999998</v>
      </c>
      <c r="BA2" s="55">
        <v>99764.63900000001</v>
      </c>
      <c r="BB2" s="55">
        <v>103558.45732476369</v>
      </c>
      <c r="BC2" s="55">
        <v>94069.222000000009</v>
      </c>
      <c r="BD2" s="30"/>
      <c r="BE2" s="30"/>
      <c r="BF2" s="30"/>
      <c r="BG2" s="30"/>
      <c r="BH2" s="30"/>
    </row>
    <row r="3" spans="1:66" x14ac:dyDescent="0.25">
      <c r="A3" s="1" t="s">
        <v>235</v>
      </c>
      <c r="B3" s="1" t="s">
        <v>75</v>
      </c>
      <c r="C3" s="1" t="s">
        <v>243</v>
      </c>
      <c r="D3" s="1"/>
      <c r="E3" s="53">
        <v>10990</v>
      </c>
      <c r="F3" s="53">
        <v>12793</v>
      </c>
      <c r="G3" s="53">
        <v>14507.3</v>
      </c>
      <c r="H3" s="53">
        <v>16151</v>
      </c>
      <c r="I3" s="53">
        <v>17614</v>
      </c>
      <c r="J3" s="53">
        <v>18305</v>
      </c>
      <c r="K3" s="53">
        <v>15839.8</v>
      </c>
      <c r="L3" s="53">
        <v>14393.2</v>
      </c>
      <c r="M3" s="53">
        <v>15509.6</v>
      </c>
      <c r="N3" s="53">
        <v>17019.900000000001</v>
      </c>
      <c r="O3" s="53">
        <v>16976.8</v>
      </c>
      <c r="P3" s="53">
        <v>18811.8</v>
      </c>
      <c r="Q3" s="53">
        <v>20060.8</v>
      </c>
      <c r="R3" s="53">
        <v>22704.6</v>
      </c>
      <c r="S3" s="53">
        <v>25467.3</v>
      </c>
      <c r="T3" s="53">
        <v>28371.5</v>
      </c>
      <c r="U3" s="53">
        <v>30709.4</v>
      </c>
      <c r="V3" s="53">
        <v>30814.5</v>
      </c>
      <c r="W3" s="53">
        <v>32774.800000000003</v>
      </c>
      <c r="X3" s="53">
        <v>33115</v>
      </c>
      <c r="Y3" s="53">
        <v>32767</v>
      </c>
      <c r="Z3" s="53">
        <v>33886.357000000018</v>
      </c>
      <c r="AA3" s="53">
        <v>35307</v>
      </c>
      <c r="AB3" s="53">
        <v>38085.953255422588</v>
      </c>
      <c r="AC3" s="53">
        <v>40608.372142400076</v>
      </c>
      <c r="AD3" s="53">
        <v>45332.410749802948</v>
      </c>
      <c r="AE3" s="53">
        <v>49368.28127071388</v>
      </c>
      <c r="AF3" s="53">
        <v>54412.909109207721</v>
      </c>
      <c r="AG3" s="53">
        <v>55977.806239266531</v>
      </c>
      <c r="AH3" s="53">
        <v>56666.833774167557</v>
      </c>
      <c r="AI3" s="53">
        <v>57348.777187877095</v>
      </c>
      <c r="AJ3" s="53">
        <v>59275.585402385695</v>
      </c>
      <c r="AK3" s="53">
        <v>59318.421000000009</v>
      </c>
      <c r="AL3" s="53">
        <v>60296.569999999992</v>
      </c>
      <c r="AM3" s="53">
        <v>62839.500076512981</v>
      </c>
      <c r="AN3" s="53">
        <v>61175.556769884002</v>
      </c>
      <c r="AO3" s="53">
        <v>63804.794000000038</v>
      </c>
      <c r="AP3" s="53">
        <v>61716.295369000043</v>
      </c>
      <c r="AQ3" s="53">
        <v>65096.252000000008</v>
      </c>
      <c r="AR3" s="53">
        <v>65607.129186000035</v>
      </c>
      <c r="AS3" s="53">
        <v>70158.07055699997</v>
      </c>
      <c r="AT3" s="53">
        <v>69805.667000000001</v>
      </c>
      <c r="AU3" s="53">
        <v>75447.395898999996</v>
      </c>
      <c r="AV3" s="53">
        <v>77972.908319000009</v>
      </c>
      <c r="AW3" s="53">
        <v>88026.548928770004</v>
      </c>
      <c r="AX3" s="53">
        <v>85346.378000000012</v>
      </c>
      <c r="AY3" s="53">
        <v>96864.072999999975</v>
      </c>
      <c r="AZ3" s="56">
        <v>97964</v>
      </c>
      <c r="BA3" s="55">
        <v>94341.3</v>
      </c>
      <c r="BB3" s="55">
        <v>93438.385546629739</v>
      </c>
      <c r="BC3" s="55">
        <v>61172.700000000012</v>
      </c>
      <c r="BD3" s="30"/>
      <c r="BE3" s="30"/>
      <c r="BF3" s="30"/>
      <c r="BG3" s="30"/>
      <c r="BH3" s="30"/>
    </row>
    <row r="4" spans="1:66" x14ac:dyDescent="0.25">
      <c r="A4" s="3" t="s">
        <v>238</v>
      </c>
      <c r="B4" s="1" t="s">
        <v>75</v>
      </c>
      <c r="C4" s="1" t="s">
        <v>243</v>
      </c>
      <c r="D4" s="1"/>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v>300</v>
      </c>
      <c r="AM4" s="53"/>
      <c r="AN4" s="53"/>
      <c r="AO4" s="53"/>
      <c r="AP4" s="53"/>
      <c r="AQ4" s="53"/>
      <c r="AR4" s="53"/>
      <c r="AS4" s="53"/>
      <c r="AT4" s="53"/>
      <c r="AU4" s="53"/>
      <c r="AV4" s="53"/>
      <c r="AW4" s="53"/>
      <c r="AX4" s="53"/>
      <c r="AY4" s="53"/>
      <c r="AZ4" s="53"/>
      <c r="BA4" s="55"/>
      <c r="BB4" s="55"/>
      <c r="BC4" s="55"/>
      <c r="BD4" s="30"/>
      <c r="BE4" s="30"/>
      <c r="BF4" s="30"/>
      <c r="BG4" s="30"/>
      <c r="BH4" s="30"/>
    </row>
    <row r="5" spans="1:66" x14ac:dyDescent="0.25">
      <c r="A5" s="3" t="s">
        <v>239</v>
      </c>
      <c r="B5" s="1" t="s">
        <v>75</v>
      </c>
      <c r="C5" s="1" t="s">
        <v>243</v>
      </c>
      <c r="D5" s="1"/>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v>18438.748999999996</v>
      </c>
      <c r="AM5" s="53"/>
      <c r="AN5" s="53"/>
      <c r="AO5" s="53"/>
      <c r="AP5" s="53"/>
      <c r="AQ5" s="53"/>
      <c r="AR5" s="53"/>
      <c r="AS5" s="53"/>
      <c r="AT5" s="53"/>
      <c r="AU5" s="53"/>
      <c r="AV5" s="53"/>
      <c r="AW5" s="53"/>
      <c r="AX5" s="53"/>
      <c r="AY5" s="53"/>
      <c r="AZ5" s="53"/>
      <c r="BA5" s="55"/>
      <c r="BB5" s="55"/>
      <c r="BC5" s="55"/>
      <c r="BD5" s="30"/>
      <c r="BE5" s="30"/>
      <c r="BF5" s="30"/>
      <c r="BG5" s="30"/>
      <c r="BH5" s="30"/>
    </row>
    <row r="6" spans="1:66" x14ac:dyDescent="0.25">
      <c r="A6" s="3" t="s">
        <v>236</v>
      </c>
      <c r="B6" s="3" t="s">
        <v>59</v>
      </c>
      <c r="C6" s="1" t="s">
        <v>243</v>
      </c>
      <c r="D6" s="1" t="s">
        <v>300</v>
      </c>
      <c r="E6" s="55">
        <v>10067</v>
      </c>
      <c r="F6" s="55">
        <v>11478</v>
      </c>
      <c r="G6" s="55">
        <v>11944</v>
      </c>
      <c r="H6" s="55">
        <v>12958</v>
      </c>
      <c r="I6" s="55">
        <v>14021</v>
      </c>
      <c r="J6" s="55">
        <v>17363</v>
      </c>
      <c r="K6" s="55">
        <v>20848</v>
      </c>
      <c r="L6" s="55">
        <v>23673</v>
      </c>
      <c r="M6" s="55">
        <v>27935</v>
      </c>
      <c r="N6" s="55">
        <v>31978</v>
      </c>
      <c r="O6" s="55">
        <v>35000.1</v>
      </c>
      <c r="P6" s="55">
        <v>37135.699999999997</v>
      </c>
      <c r="Q6" s="55">
        <v>38126</v>
      </c>
      <c r="R6" s="55">
        <v>38578.199999999997</v>
      </c>
      <c r="S6" s="55">
        <v>37869.1</v>
      </c>
      <c r="T6" s="55">
        <v>37208.5</v>
      </c>
      <c r="U6" s="55">
        <v>37779</v>
      </c>
      <c r="V6" s="55">
        <v>38848.300000000003</v>
      </c>
      <c r="W6" s="55">
        <v>35509.599999999999</v>
      </c>
      <c r="X6" s="55">
        <v>35349</v>
      </c>
      <c r="Y6" s="55">
        <v>35782.669000000002</v>
      </c>
      <c r="Z6" s="55">
        <v>37238</v>
      </c>
      <c r="AA6" s="55">
        <v>37569</v>
      </c>
      <c r="AB6" s="55">
        <v>38888</v>
      </c>
      <c r="AC6" s="55">
        <v>39959.5</v>
      </c>
      <c r="AD6" s="55">
        <v>42740</v>
      </c>
      <c r="AE6" s="55">
        <v>49876.803999999996</v>
      </c>
      <c r="AF6" s="55">
        <v>59295.550999999999</v>
      </c>
      <c r="AG6" s="55">
        <v>65948.346000000005</v>
      </c>
      <c r="AH6" s="55">
        <v>70269.114000000001</v>
      </c>
      <c r="AI6" s="55">
        <v>74289.285999999993</v>
      </c>
      <c r="AJ6" s="55">
        <v>79008.7</v>
      </c>
      <c r="AK6" s="55">
        <v>81166.422000000006</v>
      </c>
      <c r="AL6" s="55">
        <v>81483.759000000005</v>
      </c>
      <c r="AM6" s="55">
        <v>82901.738000000012</v>
      </c>
      <c r="AN6" s="55">
        <v>79111.710000000021</v>
      </c>
      <c r="AO6" s="55">
        <v>74460.3</v>
      </c>
      <c r="AP6" s="55">
        <v>65540.222999999998</v>
      </c>
      <c r="AQ6" s="55">
        <v>66504.539000000019</v>
      </c>
      <c r="AR6" s="55">
        <v>66523.547999999981</v>
      </c>
      <c r="AS6" s="55">
        <v>72801.183000000005</v>
      </c>
      <c r="AT6" s="55">
        <v>50374.088000000003</v>
      </c>
      <c r="AU6" s="55">
        <v>61766.421000000002</v>
      </c>
      <c r="AV6" s="55">
        <v>64684.695</v>
      </c>
      <c r="AW6" s="55">
        <v>74105.423999999999</v>
      </c>
      <c r="AX6" s="55">
        <v>72094.752999999997</v>
      </c>
      <c r="AY6" s="55">
        <v>79797.673999999999</v>
      </c>
      <c r="AZ6" s="55">
        <v>89553.578999999998</v>
      </c>
      <c r="BA6" s="55">
        <v>93067.63900000001</v>
      </c>
      <c r="BB6" s="55">
        <v>95921.226696170066</v>
      </c>
      <c r="BC6" s="55">
        <v>88713.222000000009</v>
      </c>
      <c r="BD6" s="30"/>
      <c r="BE6" s="30"/>
      <c r="BF6" s="30"/>
      <c r="BG6" s="30"/>
      <c r="BH6" s="30"/>
    </row>
    <row r="7" spans="1:66" x14ac:dyDescent="0.25">
      <c r="A7" s="3" t="s">
        <v>63</v>
      </c>
      <c r="B7" s="3" t="s">
        <v>59</v>
      </c>
      <c r="C7" s="1" t="s">
        <v>243</v>
      </c>
      <c r="D7" s="60" t="s">
        <v>301</v>
      </c>
      <c r="E7" s="55">
        <v>3529</v>
      </c>
      <c r="F7" s="55">
        <v>3795</v>
      </c>
      <c r="G7" s="55">
        <v>4038</v>
      </c>
      <c r="H7" s="55">
        <v>4559</v>
      </c>
      <c r="I7" s="55">
        <v>5243</v>
      </c>
      <c r="J7" s="55">
        <v>5523</v>
      </c>
      <c r="K7" s="55">
        <v>4589</v>
      </c>
      <c r="L7" s="55">
        <v>2735</v>
      </c>
      <c r="M7" s="55">
        <v>2994</v>
      </c>
      <c r="N7" s="55">
        <v>3561.5</v>
      </c>
      <c r="O7" s="55">
        <v>3728.5</v>
      </c>
      <c r="P7" s="55">
        <v>4332.3</v>
      </c>
      <c r="Q7" s="55">
        <v>4686.7</v>
      </c>
      <c r="R7" s="55">
        <v>5919.5</v>
      </c>
      <c r="S7" s="55">
        <v>7111.6</v>
      </c>
      <c r="T7" s="55">
        <v>8123.9</v>
      </c>
      <c r="U7" s="55">
        <v>8544.2000000000007</v>
      </c>
      <c r="V7" s="55">
        <v>8814.7999999999993</v>
      </c>
      <c r="W7" s="55">
        <v>9405.5</v>
      </c>
      <c r="X7" s="55">
        <v>9459</v>
      </c>
      <c r="Y7" s="55">
        <v>9432.3809999999994</v>
      </c>
      <c r="Z7" s="55">
        <v>9351.9449999999997</v>
      </c>
      <c r="AA7" s="55">
        <v>9750.902</v>
      </c>
      <c r="AB7" s="55">
        <v>9717.2010000000009</v>
      </c>
      <c r="AC7" s="55">
        <v>9494.438157999999</v>
      </c>
      <c r="AD7" s="55">
        <v>9887.4179999999997</v>
      </c>
      <c r="AE7" s="55">
        <v>10224.266</v>
      </c>
      <c r="AF7" s="55">
        <v>10681.326999999999</v>
      </c>
      <c r="AG7" s="55">
        <v>10803.434999999999</v>
      </c>
      <c r="AH7" s="55">
        <v>10618.20012</v>
      </c>
      <c r="AI7" s="55">
        <v>11294.5</v>
      </c>
      <c r="AJ7" s="55">
        <v>11581.893</v>
      </c>
      <c r="AK7" s="55">
        <v>11183.156000000001</v>
      </c>
      <c r="AL7" s="55">
        <v>8788</v>
      </c>
      <c r="AM7" s="55">
        <v>9262</v>
      </c>
      <c r="AN7" s="55">
        <v>9099</v>
      </c>
      <c r="AO7" s="55">
        <v>11315</v>
      </c>
      <c r="AP7" s="55">
        <v>10998.8</v>
      </c>
      <c r="AQ7" s="55">
        <v>11753.5</v>
      </c>
      <c r="AR7" s="55">
        <v>11413</v>
      </c>
      <c r="AS7" s="55">
        <v>13272.899999999998</v>
      </c>
      <c r="AT7" s="55">
        <v>10703.7</v>
      </c>
      <c r="AU7" s="55">
        <v>11085.400000000001</v>
      </c>
      <c r="AV7" s="55">
        <v>10698</v>
      </c>
      <c r="AW7" s="55">
        <v>14801</v>
      </c>
      <c r="AX7" s="55">
        <v>12188</v>
      </c>
      <c r="AY7" s="55">
        <v>12479</v>
      </c>
      <c r="AZ7" s="55">
        <v>11691</v>
      </c>
      <c r="BA7" s="55">
        <v>10979</v>
      </c>
      <c r="BB7" s="55">
        <v>10937</v>
      </c>
      <c r="BC7" s="55">
        <v>7186</v>
      </c>
      <c r="BD7" s="30"/>
      <c r="BE7" s="30"/>
      <c r="BF7" s="30"/>
      <c r="BG7" s="30"/>
      <c r="BH7" s="30"/>
    </row>
    <row r="8" spans="1:66" x14ac:dyDescent="0.25">
      <c r="A8" s="3" t="s">
        <v>22</v>
      </c>
      <c r="B8" s="3" t="s">
        <v>59</v>
      </c>
      <c r="C8" s="1" t="s">
        <v>243</v>
      </c>
      <c r="D8" s="1" t="s">
        <v>302</v>
      </c>
      <c r="E8" s="55">
        <v>3069</v>
      </c>
      <c r="F8" s="55">
        <v>4154</v>
      </c>
      <c r="G8" s="55">
        <v>5053</v>
      </c>
      <c r="H8" s="55">
        <v>5442</v>
      </c>
      <c r="I8" s="55">
        <v>5769</v>
      </c>
      <c r="J8" s="55">
        <v>6156</v>
      </c>
      <c r="K8" s="55">
        <v>5406</v>
      </c>
      <c r="L8" s="55">
        <v>5165</v>
      </c>
      <c r="M8" s="55">
        <v>5636.7</v>
      </c>
      <c r="N8" s="55">
        <v>5978.5</v>
      </c>
      <c r="O8" s="55">
        <v>5540.2000000000007</v>
      </c>
      <c r="P8" s="55">
        <v>5422.3</v>
      </c>
      <c r="Q8" s="55">
        <v>5821.4</v>
      </c>
      <c r="R8" s="55">
        <v>6255.1</v>
      </c>
      <c r="S8" s="55">
        <v>6987.9</v>
      </c>
      <c r="T8" s="55">
        <v>7338.7</v>
      </c>
      <c r="U8" s="55">
        <v>8133.4</v>
      </c>
      <c r="V8" s="55">
        <v>7444</v>
      </c>
      <c r="W8" s="55">
        <v>6771.2</v>
      </c>
      <c r="X8" s="55">
        <v>6416</v>
      </c>
      <c r="Y8" s="55">
        <v>6273.2009999999991</v>
      </c>
      <c r="Z8" s="55">
        <v>6217.4019999999991</v>
      </c>
      <c r="AA8" s="55">
        <v>6350.9680000000008</v>
      </c>
      <c r="AB8" s="55">
        <v>6966.1779999999999</v>
      </c>
      <c r="AC8" s="55">
        <v>6956.1540000000005</v>
      </c>
      <c r="AD8" s="55">
        <v>7732.7650000000003</v>
      </c>
      <c r="AE8" s="55">
        <v>8078.4040000000005</v>
      </c>
      <c r="AF8" s="55">
        <v>8453.5939999999991</v>
      </c>
      <c r="AG8" s="55">
        <v>8712.66</v>
      </c>
      <c r="AH8" s="55">
        <v>8619.7950000000001</v>
      </c>
      <c r="AI8" s="55">
        <v>8584.0969999999998</v>
      </c>
      <c r="AJ8" s="55">
        <v>9034.9009999999998</v>
      </c>
      <c r="AK8" s="55">
        <v>9769</v>
      </c>
      <c r="AL8" s="55">
        <v>10301</v>
      </c>
      <c r="AM8" s="55">
        <v>10836</v>
      </c>
      <c r="AN8" s="55">
        <v>10673</v>
      </c>
      <c r="AO8" s="55">
        <v>10811</v>
      </c>
      <c r="AP8" s="55">
        <v>10704.732000000002</v>
      </c>
      <c r="AQ8" s="55">
        <v>11993.713999999998</v>
      </c>
      <c r="AR8" s="55">
        <v>14384.608</v>
      </c>
      <c r="AS8" s="55">
        <v>15007.023999999999</v>
      </c>
      <c r="AT8" s="55">
        <v>15319.462000000001</v>
      </c>
      <c r="AU8" s="55">
        <v>17440.923000000003</v>
      </c>
      <c r="AV8" s="55">
        <v>18271</v>
      </c>
      <c r="AW8" s="55">
        <v>19137.236999999997</v>
      </c>
      <c r="AX8" s="55">
        <v>17759</v>
      </c>
      <c r="AY8" s="55">
        <v>22562</v>
      </c>
      <c r="AZ8" s="55">
        <v>20790</v>
      </c>
      <c r="BA8" s="55">
        <v>20703</v>
      </c>
      <c r="BB8" s="55">
        <v>20692.816175223383</v>
      </c>
      <c r="BC8" s="55">
        <v>13997</v>
      </c>
      <c r="BD8" s="30"/>
      <c r="BE8" s="30"/>
      <c r="BF8" s="30"/>
      <c r="BG8" s="30"/>
      <c r="BH8" s="30"/>
    </row>
    <row r="9" spans="1:66" x14ac:dyDescent="0.25">
      <c r="A9" s="3" t="s">
        <v>101</v>
      </c>
      <c r="B9" s="3" t="s">
        <v>59</v>
      </c>
      <c r="C9" s="1" t="s">
        <v>243</v>
      </c>
      <c r="D9" s="1" t="s">
        <v>303</v>
      </c>
      <c r="E9" s="55">
        <v>2602</v>
      </c>
      <c r="F9" s="55">
        <v>2874</v>
      </c>
      <c r="G9" s="55">
        <v>3398</v>
      </c>
      <c r="H9" s="55">
        <v>3530</v>
      </c>
      <c r="I9" s="55">
        <v>3806</v>
      </c>
      <c r="J9" s="55">
        <v>4012</v>
      </c>
      <c r="K9" s="55">
        <v>3939</v>
      </c>
      <c r="L9" s="55">
        <v>4371</v>
      </c>
      <c r="M9" s="55">
        <v>4874.6000000000004</v>
      </c>
      <c r="N9" s="55">
        <v>5502</v>
      </c>
      <c r="O9" s="55">
        <v>5652.8</v>
      </c>
      <c r="P9" s="55">
        <v>6668.8</v>
      </c>
      <c r="Q9" s="55">
        <v>7218.4000000000005</v>
      </c>
      <c r="R9" s="55">
        <v>7963.7</v>
      </c>
      <c r="S9" s="55">
        <v>8532.9</v>
      </c>
      <c r="T9" s="55">
        <v>9566.2999999999993</v>
      </c>
      <c r="U9" s="55">
        <v>10179.700000000001</v>
      </c>
      <c r="V9" s="55">
        <v>10472.4</v>
      </c>
      <c r="W9" s="55">
        <v>11323.5</v>
      </c>
      <c r="X9" s="55">
        <v>11517</v>
      </c>
      <c r="Y9" s="55">
        <v>12033</v>
      </c>
      <c r="Z9" s="55">
        <v>12912</v>
      </c>
      <c r="AA9" s="55">
        <v>13842</v>
      </c>
      <c r="AB9" s="55">
        <v>15825</v>
      </c>
      <c r="AC9" s="55">
        <v>18182</v>
      </c>
      <c r="AD9" s="55">
        <v>21045</v>
      </c>
      <c r="AE9" s="55">
        <v>24016</v>
      </c>
      <c r="AF9" s="55">
        <v>27695.759999999998</v>
      </c>
      <c r="AG9" s="55">
        <v>28520.638999999999</v>
      </c>
      <c r="AH9" s="55">
        <v>29170.726000000002</v>
      </c>
      <c r="AI9" s="55">
        <v>28976.016696361432</v>
      </c>
      <c r="AJ9" s="55">
        <v>29621.018757585396</v>
      </c>
      <c r="AK9" s="55">
        <v>29249.895</v>
      </c>
      <c r="AL9" s="55">
        <v>31058.412</v>
      </c>
      <c r="AM9" s="55">
        <v>31757.740999999998</v>
      </c>
      <c r="AN9" s="55">
        <v>31183</v>
      </c>
      <c r="AO9" s="55">
        <v>31375.071</v>
      </c>
      <c r="AP9" s="55">
        <v>29802.268368999998</v>
      </c>
      <c r="AQ9" s="55">
        <v>30668.897000000001</v>
      </c>
      <c r="AR9" s="55">
        <v>30176.998186000001</v>
      </c>
      <c r="AS9" s="55">
        <v>32059.463556999999</v>
      </c>
      <c r="AT9" s="55">
        <v>33965</v>
      </c>
      <c r="AU9" s="55">
        <v>36847.533899000002</v>
      </c>
      <c r="AV9" s="55">
        <v>38459.028198999993</v>
      </c>
      <c r="AW9" s="55">
        <v>44455</v>
      </c>
      <c r="AX9" s="55">
        <v>42225</v>
      </c>
      <c r="AY9" s="55">
        <v>45173</v>
      </c>
      <c r="AZ9" s="55">
        <v>48393</v>
      </c>
      <c r="BA9" s="55">
        <v>47975</v>
      </c>
      <c r="BB9" s="55">
        <v>48757</v>
      </c>
      <c r="BC9" s="55">
        <v>31067</v>
      </c>
      <c r="BD9" s="30"/>
      <c r="BE9" s="30"/>
      <c r="BF9" s="30"/>
      <c r="BG9" s="30"/>
      <c r="BH9" s="30"/>
    </row>
    <row r="10" spans="1:66" x14ac:dyDescent="0.25">
      <c r="A10" s="3" t="s">
        <v>102</v>
      </c>
      <c r="B10" s="3" t="s">
        <v>59</v>
      </c>
      <c r="C10" s="1" t="s">
        <v>243</v>
      </c>
      <c r="D10" s="1" t="s">
        <v>304</v>
      </c>
      <c r="E10" s="55">
        <v>2263.1</v>
      </c>
      <c r="F10" s="55">
        <v>2483.1000000000004</v>
      </c>
      <c r="G10" s="55">
        <v>2839.6</v>
      </c>
      <c r="H10" s="55">
        <v>3222</v>
      </c>
      <c r="I10" s="55">
        <v>3445.4</v>
      </c>
      <c r="J10" s="55">
        <v>3569.6</v>
      </c>
      <c r="K10" s="55">
        <v>3696.1000000000004</v>
      </c>
      <c r="L10" s="55">
        <v>4053.2</v>
      </c>
      <c r="M10" s="55">
        <v>4622.2</v>
      </c>
      <c r="N10" s="55">
        <v>5265.2</v>
      </c>
      <c r="O10" s="55">
        <v>5412.3</v>
      </c>
      <c r="P10" s="55">
        <v>6402.9</v>
      </c>
      <c r="Q10" s="55">
        <v>6918.0999999999995</v>
      </c>
      <c r="R10" s="55">
        <v>7550.5</v>
      </c>
      <c r="S10" s="55">
        <v>8107.2000000000007</v>
      </c>
      <c r="T10" s="55">
        <v>8977.4</v>
      </c>
      <c r="U10" s="55">
        <v>9624.2999999999993</v>
      </c>
      <c r="V10" s="55">
        <v>9890.7999999999993</v>
      </c>
      <c r="W10" s="55">
        <v>10473.5</v>
      </c>
      <c r="X10" s="55">
        <v>10762</v>
      </c>
      <c r="Y10" s="55">
        <v>11424.519</v>
      </c>
      <c r="Z10" s="55">
        <v>12217.273999999999</v>
      </c>
      <c r="AA10" s="55">
        <v>13109.528</v>
      </c>
      <c r="AB10" s="55">
        <v>14995.450999999999</v>
      </c>
      <c r="AC10" s="55">
        <v>17234.371984400077</v>
      </c>
      <c r="AD10" s="55">
        <v>19807.019</v>
      </c>
      <c r="AE10" s="55">
        <v>22713.896000000004</v>
      </c>
      <c r="AF10" s="55">
        <v>26397.759999999998</v>
      </c>
      <c r="AG10" s="55">
        <v>27247.638999999999</v>
      </c>
      <c r="AH10" s="55">
        <v>27874.668000000001</v>
      </c>
      <c r="AI10" s="55">
        <v>27747.016696361432</v>
      </c>
      <c r="AJ10" s="55">
        <v>28350.018757585396</v>
      </c>
      <c r="AK10" s="55">
        <v>28531.895</v>
      </c>
      <c r="AL10" s="55">
        <v>29752.412</v>
      </c>
      <c r="AM10" s="55">
        <v>30188.740999999991</v>
      </c>
      <c r="AN10" s="55">
        <v>29831</v>
      </c>
      <c r="AO10" s="55">
        <v>30010.071</v>
      </c>
      <c r="AP10" s="55">
        <v>28341.268368999998</v>
      </c>
      <c r="AQ10" s="55">
        <v>29250.897000000001</v>
      </c>
      <c r="AR10" s="55">
        <v>28749.998186000001</v>
      </c>
      <c r="AS10" s="55">
        <v>30659.463556999999</v>
      </c>
      <c r="AT10" s="55">
        <v>32542</v>
      </c>
      <c r="AU10" s="55">
        <v>35378.533899000002</v>
      </c>
      <c r="AV10" s="55">
        <v>37094.028198999993</v>
      </c>
      <c r="AW10" s="55">
        <v>43117</v>
      </c>
      <c r="AX10" s="55">
        <v>40775</v>
      </c>
      <c r="AY10" s="55">
        <v>43718</v>
      </c>
      <c r="AZ10" s="55">
        <v>46761</v>
      </c>
      <c r="BA10" s="55">
        <v>46008</v>
      </c>
      <c r="BB10" s="55">
        <v>45630</v>
      </c>
      <c r="BC10" s="55">
        <v>27533</v>
      </c>
      <c r="BD10" s="30"/>
      <c r="BE10" s="30"/>
      <c r="BF10" s="30"/>
      <c r="BG10" s="30"/>
      <c r="BH10" s="30"/>
    </row>
    <row r="11" spans="1:66" x14ac:dyDescent="0.25">
      <c r="A11" s="3" t="s">
        <v>0</v>
      </c>
      <c r="B11" s="3" t="s">
        <v>59</v>
      </c>
      <c r="C11" s="1" t="s">
        <v>243</v>
      </c>
      <c r="D11" s="1" t="s">
        <v>337</v>
      </c>
      <c r="E11" s="55">
        <v>669</v>
      </c>
      <c r="F11" s="55">
        <v>724</v>
      </c>
      <c r="G11" s="55">
        <v>789</v>
      </c>
      <c r="H11" s="55">
        <v>838</v>
      </c>
      <c r="I11" s="55">
        <v>912</v>
      </c>
      <c r="J11" s="55">
        <v>957</v>
      </c>
      <c r="K11" s="55">
        <v>974</v>
      </c>
      <c r="L11" s="55">
        <v>1059</v>
      </c>
      <c r="M11" s="55">
        <v>1248</v>
      </c>
      <c r="N11" s="55">
        <v>1419.2</v>
      </c>
      <c r="O11" s="55">
        <v>1400</v>
      </c>
      <c r="P11" s="55">
        <v>1527</v>
      </c>
      <c r="Q11" s="55">
        <v>1587.1</v>
      </c>
      <c r="R11" s="55">
        <v>1761.8</v>
      </c>
      <c r="S11" s="55">
        <v>1728.8</v>
      </c>
      <c r="T11" s="55">
        <v>1893.4</v>
      </c>
      <c r="U11" s="55">
        <v>1971.7</v>
      </c>
      <c r="V11" s="55">
        <v>2013.5</v>
      </c>
      <c r="W11" s="55">
        <v>2242.6999999999998</v>
      </c>
      <c r="X11" s="55">
        <v>2396</v>
      </c>
      <c r="Y11" s="55">
        <v>2391.121062547762</v>
      </c>
      <c r="Z11" s="55">
        <v>2424.4110000000001</v>
      </c>
      <c r="AA11" s="55">
        <v>2500.7820000000002</v>
      </c>
      <c r="AB11" s="55">
        <v>2669.7722554226057</v>
      </c>
      <c r="AC11" s="55">
        <v>2931.0839999999998</v>
      </c>
      <c r="AD11" s="55">
        <v>3320.4367498029724</v>
      </c>
      <c r="AE11" s="55">
        <v>3525.494270713833</v>
      </c>
      <c r="AF11" s="55">
        <v>3926.303109207709</v>
      </c>
      <c r="AG11" s="55">
        <v>4123.1042392665113</v>
      </c>
      <c r="AH11" s="55">
        <v>4102.3616541675565</v>
      </c>
      <c r="AI11" s="55">
        <v>4182.9584915156638</v>
      </c>
      <c r="AJ11" s="55">
        <v>4439.9696448003024</v>
      </c>
      <c r="AK11" s="55">
        <v>4506.3500000000004</v>
      </c>
      <c r="AL11" s="55">
        <v>4767.1490000000003</v>
      </c>
      <c r="AM11" s="55">
        <v>5391.9797659977248</v>
      </c>
      <c r="AN11" s="55">
        <v>5494.2660211188886</v>
      </c>
      <c r="AO11" s="55">
        <v>5705.3499999999995</v>
      </c>
      <c r="AP11" s="55">
        <v>5328.78</v>
      </c>
      <c r="AQ11" s="55">
        <v>5800.1900000000005</v>
      </c>
      <c r="AR11" s="55">
        <v>5989.7400000000007</v>
      </c>
      <c r="AS11" s="55">
        <v>6022.2800000000007</v>
      </c>
      <c r="AT11" s="55">
        <v>5946.4799999999987</v>
      </c>
      <c r="AU11" s="55">
        <v>6358.03</v>
      </c>
      <c r="AV11" s="55">
        <v>6648.27</v>
      </c>
      <c r="AW11" s="55">
        <v>6735.8663210000004</v>
      </c>
      <c r="AX11" s="55">
        <v>7515.08</v>
      </c>
      <c r="AY11" s="55">
        <v>7126</v>
      </c>
      <c r="AZ11" s="55">
        <v>7988</v>
      </c>
      <c r="BA11" s="55">
        <v>7252</v>
      </c>
      <c r="BB11" s="55">
        <v>7022</v>
      </c>
      <c r="BC11" s="55">
        <v>3137</v>
      </c>
    </row>
    <row r="12" spans="1:66" x14ac:dyDescent="0.25">
      <c r="A12" s="3" t="s">
        <v>16</v>
      </c>
      <c r="B12" s="3" t="s">
        <v>59</v>
      </c>
      <c r="C12" s="1" t="s">
        <v>243</v>
      </c>
      <c r="D12" s="1" t="s">
        <v>305</v>
      </c>
      <c r="E12" s="55">
        <v>518</v>
      </c>
      <c r="F12" s="55">
        <v>543</v>
      </c>
      <c r="G12" s="55">
        <v>633</v>
      </c>
      <c r="H12" s="55">
        <v>716</v>
      </c>
      <c r="I12" s="55">
        <v>715</v>
      </c>
      <c r="J12" s="55">
        <v>817</v>
      </c>
      <c r="K12" s="55">
        <v>830</v>
      </c>
      <c r="L12" s="55">
        <v>885</v>
      </c>
      <c r="M12" s="55">
        <v>976.3</v>
      </c>
      <c r="N12" s="55">
        <v>1002</v>
      </c>
      <c r="O12" s="55">
        <v>959.9</v>
      </c>
      <c r="P12" s="55">
        <v>1092</v>
      </c>
      <c r="Q12" s="55">
        <v>1117.0999999999999</v>
      </c>
      <c r="R12" s="55">
        <v>1139</v>
      </c>
      <c r="S12" s="55">
        <v>1223.3</v>
      </c>
      <c r="T12" s="55">
        <v>1391.1</v>
      </c>
      <c r="U12" s="55">
        <v>1519.2</v>
      </c>
      <c r="V12" s="55">
        <v>1466.9</v>
      </c>
      <c r="W12" s="55">
        <v>1528.3</v>
      </c>
      <c r="X12" s="55">
        <v>1487</v>
      </c>
      <c r="Y12" s="55">
        <v>1487.5840000000001</v>
      </c>
      <c r="Z12" s="55">
        <v>1556.385</v>
      </c>
      <c r="AA12" s="55">
        <v>1561.027</v>
      </c>
      <c r="AB12" s="55">
        <v>1645</v>
      </c>
      <c r="AC12" s="55">
        <v>1775.605</v>
      </c>
      <c r="AD12" s="55">
        <v>2181.0349999999999</v>
      </c>
      <c r="AE12" s="55">
        <v>2112</v>
      </c>
      <c r="AF12" s="55">
        <v>2342.5680000000002</v>
      </c>
      <c r="AG12" s="55">
        <v>2222.491</v>
      </c>
      <c r="AH12" s="55">
        <v>2418.4560000000001</v>
      </c>
      <c r="AI12" s="55">
        <v>2438.2110000000002</v>
      </c>
      <c r="AJ12" s="55">
        <v>2275</v>
      </c>
      <c r="AK12" s="55">
        <v>2332</v>
      </c>
      <c r="AL12" s="55">
        <v>2437</v>
      </c>
      <c r="AM12" s="55">
        <v>2611</v>
      </c>
      <c r="AN12" s="55">
        <v>2365</v>
      </c>
      <c r="AO12" s="55">
        <v>2331</v>
      </c>
      <c r="AP12" s="55">
        <v>2116</v>
      </c>
      <c r="AQ12" s="55">
        <v>2380</v>
      </c>
      <c r="AR12" s="55">
        <v>2454.373</v>
      </c>
      <c r="AS12" s="55">
        <v>2657.373</v>
      </c>
      <c r="AT12" s="55">
        <v>2584.357</v>
      </c>
      <c r="AU12" s="55">
        <v>2617.7570000000001</v>
      </c>
      <c r="AV12" s="55">
        <v>3024.9570000000003</v>
      </c>
      <c r="AW12" s="55">
        <v>2988.4569999999999</v>
      </c>
      <c r="AX12" s="55">
        <v>4099</v>
      </c>
      <c r="AY12" s="55">
        <v>3751</v>
      </c>
      <c r="AZ12" s="55">
        <v>3381</v>
      </c>
      <c r="BA12" s="55">
        <v>3279</v>
      </c>
      <c r="BB12" s="55">
        <v>3337</v>
      </c>
      <c r="BC12" s="55">
        <v>2493</v>
      </c>
    </row>
    <row r="13" spans="1:66" x14ac:dyDescent="0.25">
      <c r="A13" s="3" t="s">
        <v>84</v>
      </c>
      <c r="B13" s="3" t="s">
        <v>59</v>
      </c>
      <c r="C13" s="1" t="s">
        <v>243</v>
      </c>
      <c r="D13" s="1" t="s">
        <v>306</v>
      </c>
      <c r="E13" s="55">
        <v>325</v>
      </c>
      <c r="F13" s="55">
        <v>327</v>
      </c>
      <c r="G13" s="55">
        <v>363</v>
      </c>
      <c r="H13" s="55">
        <v>410</v>
      </c>
      <c r="I13" s="55">
        <v>410</v>
      </c>
      <c r="J13" s="55">
        <v>412</v>
      </c>
      <c r="K13" s="55">
        <v>385</v>
      </c>
      <c r="L13" s="55">
        <v>387.5</v>
      </c>
      <c r="M13" s="55">
        <v>363.7</v>
      </c>
      <c r="N13" s="55">
        <v>388.7</v>
      </c>
      <c r="O13" s="55">
        <v>383.3</v>
      </c>
      <c r="P13" s="55">
        <v>408.1</v>
      </c>
      <c r="Q13" s="55">
        <v>425.6</v>
      </c>
      <c r="R13" s="55">
        <v>479.6</v>
      </c>
      <c r="S13" s="55">
        <v>530.79999999999995</v>
      </c>
      <c r="T13" s="55">
        <v>620</v>
      </c>
      <c r="U13" s="55">
        <v>642.9</v>
      </c>
      <c r="V13" s="55">
        <v>649.1</v>
      </c>
      <c r="W13" s="55">
        <v>707.6</v>
      </c>
      <c r="X13" s="55">
        <v>668</v>
      </c>
      <c r="Y13" s="55">
        <v>571.06200000000001</v>
      </c>
      <c r="Z13" s="55">
        <v>591.22500000000002</v>
      </c>
      <c r="AA13" s="55">
        <v>535.6</v>
      </c>
      <c r="AB13" s="55">
        <v>499</v>
      </c>
      <c r="AC13" s="55">
        <v>618.12800000000004</v>
      </c>
      <c r="AD13" s="55">
        <v>621.15199999999993</v>
      </c>
      <c r="AE13" s="55">
        <v>622.99900000000002</v>
      </c>
      <c r="AF13" s="55">
        <v>643.24199999999996</v>
      </c>
      <c r="AG13" s="55">
        <v>626.73</v>
      </c>
      <c r="AH13" s="55">
        <v>621.21600000000001</v>
      </c>
      <c r="AI13" s="55">
        <v>639.49</v>
      </c>
      <c r="AJ13" s="55">
        <v>646.846</v>
      </c>
      <c r="AK13" s="55">
        <v>683.38900000000001</v>
      </c>
      <c r="AL13" s="55">
        <v>701.77499999999998</v>
      </c>
      <c r="AM13" s="55">
        <v>776.06000000000006</v>
      </c>
      <c r="AN13" s="55">
        <v>756.96500000000003</v>
      </c>
      <c r="AO13" s="55">
        <v>820</v>
      </c>
      <c r="AP13" s="55">
        <v>785.34299999999996</v>
      </c>
      <c r="AQ13" s="55">
        <v>840.46500000000003</v>
      </c>
      <c r="AR13" s="55">
        <v>863.84500000000003</v>
      </c>
      <c r="AS13" s="55">
        <v>972.91399999999999</v>
      </c>
      <c r="AT13" s="55">
        <v>940.577</v>
      </c>
      <c r="AU13" s="55">
        <v>872.48300000000006</v>
      </c>
      <c r="AV13" s="55">
        <v>958.19500000000005</v>
      </c>
      <c r="AW13" s="55">
        <v>1042.8150000000001</v>
      </c>
      <c r="AX13" s="55">
        <v>1009</v>
      </c>
      <c r="AY13" s="55">
        <v>1140</v>
      </c>
      <c r="AZ13" s="55">
        <v>1296</v>
      </c>
      <c r="BA13" s="55">
        <v>704</v>
      </c>
      <c r="BB13" s="55">
        <v>641</v>
      </c>
      <c r="BC13" s="55">
        <v>354</v>
      </c>
    </row>
    <row r="14" spans="1:66" x14ac:dyDescent="0.25">
      <c r="A14" s="3" t="s">
        <v>100</v>
      </c>
      <c r="B14" s="3" t="s">
        <v>59</v>
      </c>
      <c r="C14" s="1" t="s">
        <v>243</v>
      </c>
      <c r="D14" s="1" t="s">
        <v>307</v>
      </c>
      <c r="E14" s="55">
        <v>322</v>
      </c>
      <c r="F14" s="55">
        <v>331</v>
      </c>
      <c r="G14" s="55">
        <v>373</v>
      </c>
      <c r="H14" s="55">
        <v>350</v>
      </c>
      <c r="I14" s="55">
        <v>397</v>
      </c>
      <c r="J14" s="55">
        <v>407</v>
      </c>
      <c r="K14" s="55">
        <v>312</v>
      </c>
      <c r="L14" s="55">
        <v>371.4</v>
      </c>
      <c r="M14" s="55">
        <v>489</v>
      </c>
      <c r="N14" s="55">
        <v>439.1</v>
      </c>
      <c r="O14" s="55">
        <v>378.8</v>
      </c>
      <c r="P14" s="55">
        <v>308.7</v>
      </c>
      <c r="Q14" s="55">
        <v>314.39999999999998</v>
      </c>
      <c r="R14" s="55">
        <v>326.3</v>
      </c>
      <c r="S14" s="55">
        <v>353.7</v>
      </c>
      <c r="T14" s="55">
        <v>411.1</v>
      </c>
      <c r="U14" s="55">
        <v>621.1</v>
      </c>
      <c r="V14" s="55">
        <v>621</v>
      </c>
      <c r="W14" s="55">
        <v>640.79999999999995</v>
      </c>
      <c r="X14" s="55">
        <v>666</v>
      </c>
      <c r="Y14" s="55">
        <v>601</v>
      </c>
      <c r="Z14" s="55">
        <v>612</v>
      </c>
      <c r="AA14" s="55">
        <v>589.55700000000002</v>
      </c>
      <c r="AB14" s="55">
        <v>607.14099999999996</v>
      </c>
      <c r="AC14" s="55">
        <v>607.16300000000001</v>
      </c>
      <c r="AD14" s="55">
        <v>718.43499999999995</v>
      </c>
      <c r="AE14" s="55">
        <v>778</v>
      </c>
      <c r="AF14" s="55">
        <v>699.59399999999994</v>
      </c>
      <c r="AG14" s="55">
        <v>664.66</v>
      </c>
      <c r="AH14" s="55">
        <v>706.73400000000004</v>
      </c>
      <c r="AI14" s="55">
        <v>817.48400000000004</v>
      </c>
      <c r="AJ14" s="55">
        <v>766.98799999999994</v>
      </c>
      <c r="AK14" s="55">
        <v>875</v>
      </c>
      <c r="AL14" s="55">
        <v>924.92500000000018</v>
      </c>
      <c r="AM14" s="55">
        <v>1073.2373105149022</v>
      </c>
      <c r="AN14" s="55">
        <v>953.93000000000006</v>
      </c>
      <c r="AO14" s="55">
        <v>919.43500000000006</v>
      </c>
      <c r="AP14" s="55">
        <v>818.02900000000011</v>
      </c>
      <c r="AQ14" s="55">
        <v>797.01299999999992</v>
      </c>
      <c r="AR14" s="55">
        <v>886.50700000000006</v>
      </c>
      <c r="AS14" s="55">
        <v>881.27800000000013</v>
      </c>
      <c r="AT14" s="55">
        <v>921.22</v>
      </c>
      <c r="AU14" s="55">
        <v>1011.38</v>
      </c>
      <c r="AV14" s="55">
        <v>1032.884</v>
      </c>
      <c r="AW14" s="55">
        <v>1094.7269999999999</v>
      </c>
      <c r="AX14" s="55">
        <v>1070.9090000000001</v>
      </c>
      <c r="AY14" s="55">
        <v>1554</v>
      </c>
      <c r="AZ14" s="55">
        <v>1411</v>
      </c>
      <c r="BA14" s="55">
        <v>1432</v>
      </c>
      <c r="BB14" s="55">
        <v>1468</v>
      </c>
      <c r="BC14" s="55">
        <v>1418</v>
      </c>
    </row>
    <row r="15" spans="1:66" x14ac:dyDescent="0.25">
      <c r="A15" s="3" t="s">
        <v>74</v>
      </c>
      <c r="B15" s="3" t="s">
        <v>59</v>
      </c>
      <c r="C15" s="1" t="s">
        <v>243</v>
      </c>
      <c r="D15" s="1" t="s">
        <v>308</v>
      </c>
      <c r="E15" s="55">
        <v>273</v>
      </c>
      <c r="F15" s="55">
        <v>292</v>
      </c>
      <c r="G15" s="55">
        <v>379</v>
      </c>
      <c r="H15" s="55">
        <v>384</v>
      </c>
      <c r="I15" s="55">
        <v>342</v>
      </c>
      <c r="J15" s="55">
        <v>375</v>
      </c>
      <c r="K15" s="55">
        <v>285</v>
      </c>
      <c r="L15" s="55">
        <v>232.3</v>
      </c>
      <c r="M15" s="55">
        <v>248.8</v>
      </c>
      <c r="N15" s="55">
        <v>305.5</v>
      </c>
      <c r="O15" s="55">
        <v>323.60000000000002</v>
      </c>
      <c r="P15" s="55">
        <v>344.7</v>
      </c>
      <c r="Q15" s="55">
        <v>373.9</v>
      </c>
      <c r="R15" s="55">
        <v>397.3</v>
      </c>
      <c r="S15" s="55">
        <v>424.2</v>
      </c>
      <c r="T15" s="55">
        <v>458.9</v>
      </c>
      <c r="U15" s="55">
        <v>492.5</v>
      </c>
      <c r="V15" s="55">
        <v>496.7</v>
      </c>
      <c r="W15" s="55">
        <v>588.1</v>
      </c>
      <c r="X15" s="55">
        <v>554</v>
      </c>
      <c r="Y15" s="55">
        <v>482.49680000000001</v>
      </c>
      <c r="Z15" s="55">
        <v>595</v>
      </c>
      <c r="AA15" s="55">
        <v>637.1</v>
      </c>
      <c r="AB15" s="55">
        <v>668.8</v>
      </c>
      <c r="AC15" s="55">
        <v>557.79999999999995</v>
      </c>
      <c r="AD15" s="55">
        <v>573.5</v>
      </c>
      <c r="AE15" s="55">
        <v>591.85199999999998</v>
      </c>
      <c r="AF15" s="55">
        <v>567.1</v>
      </c>
      <c r="AG15" s="55">
        <v>661.9</v>
      </c>
      <c r="AH15" s="55">
        <v>640.9</v>
      </c>
      <c r="AI15" s="55">
        <v>621.5</v>
      </c>
      <c r="AJ15" s="55">
        <v>556.5</v>
      </c>
      <c r="AK15" s="55">
        <v>547.6</v>
      </c>
      <c r="AL15" s="55">
        <v>562.69999999999993</v>
      </c>
      <c r="AM15" s="55">
        <v>596.59999999999991</v>
      </c>
      <c r="AN15" s="55">
        <v>581.73774876510515</v>
      </c>
      <c r="AO15" s="55">
        <v>568</v>
      </c>
      <c r="AP15" s="55">
        <v>529.63</v>
      </c>
      <c r="AQ15" s="55">
        <v>538</v>
      </c>
      <c r="AR15" s="55">
        <v>520.6</v>
      </c>
      <c r="AS15" s="55">
        <v>513.29999999999995</v>
      </c>
      <c r="AT15" s="55">
        <v>498.5</v>
      </c>
      <c r="AU15" s="55">
        <v>492.18399999999997</v>
      </c>
      <c r="AV15" s="55">
        <v>490</v>
      </c>
      <c r="AW15" s="55">
        <v>520.20000000000005</v>
      </c>
      <c r="AX15" s="55">
        <v>526.08500000000004</v>
      </c>
      <c r="AY15" s="55">
        <v>527</v>
      </c>
      <c r="AZ15" s="55">
        <v>568</v>
      </c>
      <c r="BA15" s="55">
        <v>537.29999999999995</v>
      </c>
      <c r="BB15" s="55">
        <v>534.79999999999995</v>
      </c>
      <c r="BC15" s="55">
        <v>302.7</v>
      </c>
    </row>
    <row r="16" spans="1:66" x14ac:dyDescent="0.25">
      <c r="A16" s="3" t="s">
        <v>61</v>
      </c>
      <c r="B16" s="3" t="s">
        <v>59</v>
      </c>
      <c r="C16" s="1" t="s">
        <v>243</v>
      </c>
      <c r="D16" s="1" t="s">
        <v>309</v>
      </c>
      <c r="E16" s="55">
        <v>231</v>
      </c>
      <c r="F16" s="55">
        <v>253</v>
      </c>
      <c r="G16" s="55">
        <v>281</v>
      </c>
      <c r="H16" s="55">
        <v>332</v>
      </c>
      <c r="I16" s="55">
        <v>358</v>
      </c>
      <c r="J16" s="55">
        <v>345</v>
      </c>
      <c r="K16" s="55">
        <v>308</v>
      </c>
      <c r="L16" s="55">
        <v>325</v>
      </c>
      <c r="M16" s="55">
        <v>362.9</v>
      </c>
      <c r="N16" s="55">
        <v>391.5</v>
      </c>
      <c r="O16" s="55">
        <v>395</v>
      </c>
      <c r="P16" s="55">
        <v>417.3</v>
      </c>
      <c r="Q16" s="55">
        <v>409.6</v>
      </c>
      <c r="R16" s="55">
        <v>426.6</v>
      </c>
      <c r="S16" s="55">
        <v>452.6</v>
      </c>
      <c r="T16" s="55">
        <v>536.79999999999995</v>
      </c>
      <c r="U16" s="55">
        <v>583.29999999999995</v>
      </c>
      <c r="V16" s="55">
        <v>793.3</v>
      </c>
      <c r="W16" s="55">
        <v>1021.9</v>
      </c>
      <c r="X16" s="55">
        <v>1118</v>
      </c>
      <c r="Y16" s="55">
        <v>992</v>
      </c>
      <c r="Z16" s="55">
        <v>963.91099999999994</v>
      </c>
      <c r="AA16" s="55">
        <v>1090.8679999999999</v>
      </c>
      <c r="AB16" s="55">
        <v>1083.7470000000001</v>
      </c>
      <c r="AC16" s="55">
        <v>1173.8050000000001</v>
      </c>
      <c r="AD16" s="55">
        <v>1029.933</v>
      </c>
      <c r="AE16" s="55">
        <v>1226.779</v>
      </c>
      <c r="AF16" s="55">
        <v>1197.421</v>
      </c>
      <c r="AG16" s="55">
        <v>1120.079</v>
      </c>
      <c r="AH16" s="55">
        <v>1121.4449999999999</v>
      </c>
      <c r="AI16" s="55">
        <v>1062.3140000000001</v>
      </c>
      <c r="AJ16" s="55">
        <v>1072.761</v>
      </c>
      <c r="AK16" s="55">
        <v>1187.731</v>
      </c>
      <c r="AL16" s="55">
        <v>1388.6089999999999</v>
      </c>
      <c r="AM16" s="55">
        <v>1336.8820000000001</v>
      </c>
      <c r="AN16" s="55">
        <v>1217.3319999999999</v>
      </c>
      <c r="AO16" s="55">
        <v>1253.9379999999999</v>
      </c>
      <c r="AP16" s="55">
        <v>1297.0650000000001</v>
      </c>
      <c r="AQ16" s="55">
        <v>1551.9559999999999</v>
      </c>
      <c r="AR16" s="55">
        <v>1526.7950000000001</v>
      </c>
      <c r="AS16" s="55">
        <v>1674.7289999999998</v>
      </c>
      <c r="AT16" s="55">
        <v>1795.9650000000001</v>
      </c>
      <c r="AU16" s="55">
        <v>2064.0340000000001</v>
      </c>
      <c r="AV16" s="55">
        <v>1957.4611199999999</v>
      </c>
      <c r="AW16" s="55">
        <v>1958.30660777</v>
      </c>
      <c r="AX16" s="55">
        <v>2109.9160000000002</v>
      </c>
      <c r="AY16" s="55">
        <v>8042.5609999999997</v>
      </c>
      <c r="AZ16" s="55">
        <v>5141</v>
      </c>
      <c r="BA16" s="55">
        <v>4307</v>
      </c>
      <c r="BB16" s="55">
        <v>3883</v>
      </c>
      <c r="BC16" s="55">
        <v>3138</v>
      </c>
    </row>
    <row r="17" spans="1:70" x14ac:dyDescent="0.25">
      <c r="A17" s="3" t="s">
        <v>53</v>
      </c>
      <c r="B17" s="3" t="s">
        <v>59</v>
      </c>
      <c r="C17" s="1" t="s">
        <v>243</v>
      </c>
      <c r="D17" s="1" t="s">
        <v>310</v>
      </c>
      <c r="E17" s="55">
        <v>0</v>
      </c>
      <c r="F17" s="55">
        <v>0</v>
      </c>
      <c r="G17" s="55">
        <v>0</v>
      </c>
      <c r="H17" s="55">
        <v>0</v>
      </c>
      <c r="I17" s="55">
        <v>0</v>
      </c>
      <c r="J17" s="55">
        <v>0</v>
      </c>
      <c r="K17" s="55">
        <v>0</v>
      </c>
      <c r="L17" s="55">
        <v>0</v>
      </c>
      <c r="M17" s="55">
        <v>0</v>
      </c>
      <c r="N17" s="55">
        <v>0</v>
      </c>
      <c r="O17" s="55">
        <v>0</v>
      </c>
      <c r="P17" s="55">
        <v>0</v>
      </c>
      <c r="Q17" s="55">
        <v>0</v>
      </c>
      <c r="R17" s="55">
        <v>0</v>
      </c>
      <c r="S17" s="55">
        <v>0</v>
      </c>
      <c r="T17" s="55">
        <v>0</v>
      </c>
      <c r="U17" s="55">
        <v>0</v>
      </c>
      <c r="V17" s="55">
        <v>0</v>
      </c>
      <c r="W17" s="55">
        <v>0</v>
      </c>
      <c r="X17" s="55">
        <v>0</v>
      </c>
      <c r="Y17" s="55">
        <v>0</v>
      </c>
      <c r="Z17" s="55">
        <v>0</v>
      </c>
      <c r="AA17" s="55">
        <v>0</v>
      </c>
      <c r="AB17" s="55">
        <v>0</v>
      </c>
      <c r="AC17" s="55">
        <v>0</v>
      </c>
      <c r="AD17" s="55">
        <v>0</v>
      </c>
      <c r="AE17" s="55">
        <v>266</v>
      </c>
      <c r="AF17" s="55">
        <v>737</v>
      </c>
      <c r="AG17" s="55">
        <v>1028.4279999999999</v>
      </c>
      <c r="AH17" s="55">
        <v>1240</v>
      </c>
      <c r="AI17" s="55">
        <v>1299.873</v>
      </c>
      <c r="AJ17" s="55">
        <v>996.26</v>
      </c>
      <c r="AK17" s="55">
        <v>995</v>
      </c>
      <c r="AL17" s="55">
        <v>1096</v>
      </c>
      <c r="AM17" s="55">
        <v>887</v>
      </c>
      <c r="AN17" s="55">
        <v>760.32600000000002</v>
      </c>
      <c r="AO17" s="55">
        <v>481</v>
      </c>
      <c r="AP17" s="55">
        <v>684</v>
      </c>
      <c r="AQ17" s="55">
        <v>1032</v>
      </c>
      <c r="AR17" s="55">
        <v>919</v>
      </c>
      <c r="AS17" s="55">
        <v>582.25</v>
      </c>
      <c r="AT17" s="55">
        <v>723.46900000000005</v>
      </c>
      <c r="AU17" s="55">
        <v>723.11099999999999</v>
      </c>
      <c r="AV17" s="55">
        <v>599.76499999999999</v>
      </c>
      <c r="AW17" s="55">
        <v>532.78800000000001</v>
      </c>
      <c r="AX17" s="55">
        <v>589.81900000000007</v>
      </c>
      <c r="AY17" s="55">
        <v>830</v>
      </c>
      <c r="AZ17" s="55">
        <v>634</v>
      </c>
      <c r="BA17" s="55">
        <v>463</v>
      </c>
      <c r="BB17" s="55">
        <v>461</v>
      </c>
      <c r="BC17" s="55">
        <v>498</v>
      </c>
    </row>
    <row r="18" spans="1:70" x14ac:dyDescent="0.25">
      <c r="A18" s="3" t="s">
        <v>81</v>
      </c>
      <c r="B18" s="3" t="s">
        <v>59</v>
      </c>
      <c r="C18" s="1" t="s">
        <v>243</v>
      </c>
      <c r="D18" s="1" t="s">
        <v>311</v>
      </c>
      <c r="E18" s="55">
        <v>114</v>
      </c>
      <c r="F18" s="55">
        <v>113</v>
      </c>
      <c r="G18" s="55">
        <v>115</v>
      </c>
      <c r="H18" s="55">
        <v>123</v>
      </c>
      <c r="I18" s="55">
        <v>136</v>
      </c>
      <c r="J18" s="55">
        <v>159</v>
      </c>
      <c r="K18" s="55">
        <v>139</v>
      </c>
      <c r="L18" s="55">
        <v>161</v>
      </c>
      <c r="M18" s="55">
        <v>197</v>
      </c>
      <c r="N18" s="55">
        <v>214</v>
      </c>
      <c r="O18" s="55">
        <v>185.2</v>
      </c>
      <c r="P18" s="55">
        <v>223</v>
      </c>
      <c r="Q18" s="55">
        <v>197.4</v>
      </c>
      <c r="R18" s="55">
        <v>218</v>
      </c>
      <c r="S18" s="55">
        <v>218.2</v>
      </c>
      <c r="T18" s="55">
        <v>224.2</v>
      </c>
      <c r="U18" s="55">
        <v>249.5</v>
      </c>
      <c r="V18" s="55">
        <v>252.9</v>
      </c>
      <c r="W18" s="55">
        <v>276.5</v>
      </c>
      <c r="X18" s="55">
        <v>263</v>
      </c>
      <c r="Y18" s="55">
        <v>263</v>
      </c>
      <c r="Z18" s="55">
        <v>588</v>
      </c>
      <c r="AA18" s="55">
        <v>587</v>
      </c>
      <c r="AB18" s="55">
        <v>644</v>
      </c>
      <c r="AC18" s="55">
        <v>645</v>
      </c>
      <c r="AD18" s="55">
        <v>719</v>
      </c>
      <c r="AE18" s="55">
        <v>756</v>
      </c>
      <c r="AF18" s="55">
        <v>817</v>
      </c>
      <c r="AG18" s="55">
        <v>866</v>
      </c>
      <c r="AH18" s="55">
        <v>742</v>
      </c>
      <c r="AI18" s="55">
        <v>769.44600000000003</v>
      </c>
      <c r="AJ18" s="55">
        <v>819.44799999999998</v>
      </c>
      <c r="AK18" s="55">
        <v>886</v>
      </c>
      <c r="AL18" s="55">
        <v>943</v>
      </c>
      <c r="AM18" s="55">
        <v>1034</v>
      </c>
      <c r="AN18" s="55">
        <v>1160</v>
      </c>
      <c r="AO18" s="55">
        <v>1160</v>
      </c>
      <c r="AP18" s="55">
        <v>1163.905</v>
      </c>
      <c r="AQ18" s="55">
        <v>1101</v>
      </c>
      <c r="AR18" s="55">
        <v>1178</v>
      </c>
      <c r="AS18" s="55">
        <v>1222</v>
      </c>
      <c r="AT18" s="55">
        <v>1346</v>
      </c>
      <c r="AU18" s="55">
        <v>1286</v>
      </c>
      <c r="AV18" s="55">
        <v>1370</v>
      </c>
      <c r="AW18" s="55">
        <v>1366</v>
      </c>
      <c r="AX18" s="55">
        <v>1445</v>
      </c>
      <c r="AY18" s="55">
        <v>1588</v>
      </c>
      <c r="AZ18" s="55">
        <v>1684</v>
      </c>
      <c r="BA18" s="55">
        <v>1826</v>
      </c>
      <c r="BB18" s="55">
        <v>1839</v>
      </c>
      <c r="BC18" s="55">
        <v>1864</v>
      </c>
    </row>
    <row r="19" spans="1:70" x14ac:dyDescent="0.25">
      <c r="A19" s="3" t="s">
        <v>237</v>
      </c>
      <c r="B19" s="3" t="s">
        <v>59</v>
      </c>
      <c r="C19" s="1" t="s">
        <v>243</v>
      </c>
      <c r="D19" s="1"/>
      <c r="E19" s="55">
        <v>336.00000000000136</v>
      </c>
      <c r="F19" s="55">
        <v>387.00000000000182</v>
      </c>
      <c r="G19" s="55">
        <v>399.00000000000136</v>
      </c>
      <c r="H19" s="55">
        <v>809</v>
      </c>
      <c r="I19" s="55">
        <v>934.99999999999864</v>
      </c>
      <c r="J19" s="55">
        <v>801.00000000000136</v>
      </c>
      <c r="K19" s="55">
        <v>723.00000000000182</v>
      </c>
      <c r="L19" s="55">
        <v>676.29999999999836</v>
      </c>
      <c r="M19" s="55">
        <v>681.40000000000418</v>
      </c>
      <c r="N19" s="55">
        <v>554.20000000000709</v>
      </c>
      <c r="O19" s="55">
        <v>673.29999999998563</v>
      </c>
      <c r="P19" s="55">
        <v>765.19999999999527</v>
      </c>
      <c r="Q19" s="55">
        <v>754.90000000001692</v>
      </c>
      <c r="R19" s="55">
        <v>818.79999999998108</v>
      </c>
      <c r="S19" s="55">
        <v>1012.5000000000036</v>
      </c>
      <c r="T19" s="55">
        <v>973.60000000001128</v>
      </c>
      <c r="U19" s="55">
        <v>1224.1999999999935</v>
      </c>
      <c r="V19" s="55">
        <v>1055.200000000008</v>
      </c>
      <c r="W19" s="55">
        <v>1058.1999999999971</v>
      </c>
      <c r="X19" s="55">
        <v>1055</v>
      </c>
      <c r="Y19" s="55">
        <v>896.10899999998219</v>
      </c>
      <c r="Z19" s="55">
        <v>883.27400000001398</v>
      </c>
      <c r="AA19" s="55">
        <v>927.49599999997918</v>
      </c>
      <c r="AB19" s="55">
        <v>957.45099999997001</v>
      </c>
      <c r="AC19" s="55">
        <v>868.37198440009161</v>
      </c>
      <c r="AD19" s="55">
        <v>965.42199999997683</v>
      </c>
      <c r="AE19" s="55">
        <v>1025.1440000000548</v>
      </c>
      <c r="AF19" s="55">
        <v>1063.9999999999891</v>
      </c>
      <c r="AG19" s="55">
        <v>1023.0000000000036</v>
      </c>
      <c r="AH19" s="55">
        <v>1036.9999999999964</v>
      </c>
      <c r="AI19" s="55">
        <v>1088.0000000000146</v>
      </c>
      <c r="AJ19" s="55">
        <v>1112.9999999999891</v>
      </c>
      <c r="AK19" s="55">
        <v>1066.2999999999993</v>
      </c>
      <c r="AL19" s="55">
        <v>1152.9999999999891</v>
      </c>
      <c r="AM19" s="55">
        <v>1131.0000000003311</v>
      </c>
      <c r="AN19" s="55">
        <v>1012.0000000000291</v>
      </c>
      <c r="AO19" s="55">
        <v>1322.0000000000327</v>
      </c>
      <c r="AP19" s="55">
        <v>1714.0000000000291</v>
      </c>
      <c r="AQ19" s="55">
        <v>1604.0000000000036</v>
      </c>
      <c r="AR19" s="55">
        <v>1491.0000000000182</v>
      </c>
      <c r="AS19" s="55">
        <v>1600.0000000000182</v>
      </c>
      <c r="AT19" s="55">
        <v>1529.0000000000146</v>
      </c>
      <c r="AU19" s="55">
        <v>1794.9999999999709</v>
      </c>
      <c r="AV19" s="55">
        <v>1782.4709999999905</v>
      </c>
      <c r="AW19" s="55">
        <v>1162.9999999999709</v>
      </c>
      <c r="AX19" s="55">
        <v>1094.0000000000291</v>
      </c>
      <c r="AY19" s="57">
        <v>1230</v>
      </c>
      <c r="AZ19" s="55">
        <v>1437</v>
      </c>
      <c r="BA19" s="55">
        <v>1581</v>
      </c>
      <c r="BB19" s="55">
        <v>1503</v>
      </c>
      <c r="BC19" s="55">
        <v>1074</v>
      </c>
    </row>
    <row r="20" spans="1:70" x14ac:dyDescent="0.2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row>
    <row r="21" spans="1:70" x14ac:dyDescent="0.2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row>
    <row r="22" spans="1:70" s="35" customFormat="1" x14ac:dyDescent="0.25">
      <c r="A22" s="61" t="s">
        <v>89</v>
      </c>
      <c r="B22" s="61"/>
      <c r="C22" s="61"/>
      <c r="D22" s="61"/>
      <c r="E22" s="58">
        <v>0.28739999999999999</v>
      </c>
      <c r="F22" s="58">
        <v>0.30819999999999997</v>
      </c>
      <c r="G22" s="58">
        <v>0.32890000000000003</v>
      </c>
      <c r="H22" s="58">
        <v>0.35549999999999998</v>
      </c>
      <c r="I22" s="58">
        <v>0.38650000000000001</v>
      </c>
      <c r="J22" s="58">
        <v>0.4244</v>
      </c>
      <c r="K22" s="58">
        <v>0.45390000000000003</v>
      </c>
      <c r="L22" s="58">
        <v>0.47370000000000001</v>
      </c>
      <c r="M22" s="58">
        <v>0.49070000000000003</v>
      </c>
      <c r="N22" s="58">
        <v>0.5071</v>
      </c>
      <c r="O22" s="58">
        <v>0.51849999999999996</v>
      </c>
      <c r="P22" s="58">
        <v>0.53010000000000002</v>
      </c>
      <c r="Q22" s="58">
        <v>0.54730000000000001</v>
      </c>
      <c r="R22" s="58">
        <v>0.56940000000000002</v>
      </c>
      <c r="S22" s="58">
        <v>0.59019999999999995</v>
      </c>
      <c r="T22" s="58">
        <v>0.61129999999999995</v>
      </c>
      <c r="U22" s="58">
        <v>0.62660000000000005</v>
      </c>
      <c r="V22" s="58">
        <v>0.64129999999999998</v>
      </c>
      <c r="W22" s="58">
        <v>0.65529999999999999</v>
      </c>
      <c r="X22" s="58">
        <v>0.66920000000000002</v>
      </c>
      <c r="Y22" s="58">
        <v>0.68179999999999996</v>
      </c>
      <c r="Z22" s="58">
        <v>0.69389999999999996</v>
      </c>
      <c r="AA22" s="58">
        <v>0.7026</v>
      </c>
      <c r="AB22" s="58">
        <v>0.71130000000000004</v>
      </c>
      <c r="AC22" s="58">
        <v>0.72609999999999997</v>
      </c>
      <c r="AD22" s="58">
        <v>0.74370000000000003</v>
      </c>
      <c r="AE22" s="58">
        <v>0.75539999999999996</v>
      </c>
      <c r="AF22" s="58">
        <v>0.76990000000000003</v>
      </c>
      <c r="AG22" s="58">
        <v>0.78869999999999996</v>
      </c>
      <c r="AH22" s="58">
        <v>0.81269999999999998</v>
      </c>
      <c r="AI22" s="58">
        <v>0.83909999999999996</v>
      </c>
      <c r="AJ22" s="58">
        <v>0.86219999999999997</v>
      </c>
      <c r="AK22" s="58">
        <v>0.88009999999999999</v>
      </c>
      <c r="AL22" s="58">
        <v>0.8891</v>
      </c>
      <c r="AM22" s="58">
        <v>0.89680000000000004</v>
      </c>
      <c r="AN22" s="58">
        <v>0.91479999999999995</v>
      </c>
      <c r="AO22" s="58">
        <v>0.93140000000000001</v>
      </c>
      <c r="AP22" s="58">
        <v>0.94830000000000003</v>
      </c>
      <c r="AQ22" s="58">
        <v>0.96560000000000001</v>
      </c>
      <c r="AR22" s="58">
        <v>0.97560000000000002</v>
      </c>
      <c r="AS22" s="58">
        <v>0.98340000000000005</v>
      </c>
      <c r="AT22" s="58">
        <v>1</v>
      </c>
      <c r="AU22" s="58">
        <v>1.0222</v>
      </c>
      <c r="AV22" s="58">
        <v>1.0410999999999999</v>
      </c>
      <c r="AW22" s="58">
        <v>1.0547</v>
      </c>
      <c r="AX22" s="58">
        <v>1.091</v>
      </c>
      <c r="AY22" s="58">
        <v>1.1673</v>
      </c>
      <c r="AZ22" s="58">
        <v>1.2206999999999999</v>
      </c>
      <c r="BA22" s="58">
        <v>1.2533000000000001</v>
      </c>
      <c r="BB22" s="58">
        <v>1.2807999999999999</v>
      </c>
      <c r="BC22" s="58">
        <v>1.3073999999999999</v>
      </c>
      <c r="BD22" s="50"/>
      <c r="BE22" s="50"/>
      <c r="BF22" s="50"/>
      <c r="BG22" s="51"/>
      <c r="BO22" s="52"/>
      <c r="BP22" s="52"/>
      <c r="BQ22" s="52"/>
    </row>
    <row r="23" spans="1:70" s="35" customFormat="1" x14ac:dyDescent="0.25">
      <c r="A23" s="61" t="s">
        <v>241</v>
      </c>
      <c r="B23" s="61"/>
      <c r="C23" s="61"/>
      <c r="D23" s="61"/>
      <c r="E23" s="58">
        <v>1786.1</v>
      </c>
      <c r="F23" s="58">
        <v>2024.325</v>
      </c>
      <c r="G23" s="58">
        <v>2273.4499999999998</v>
      </c>
      <c r="H23" s="58">
        <v>2565.5749999999998</v>
      </c>
      <c r="I23" s="58">
        <v>2791.9</v>
      </c>
      <c r="J23" s="58">
        <v>3133.2249999999999</v>
      </c>
      <c r="K23" s="58">
        <v>3313.35</v>
      </c>
      <c r="L23" s="58">
        <v>3536</v>
      </c>
      <c r="M23" s="58">
        <v>3949.1750000000002</v>
      </c>
      <c r="N23" s="58">
        <v>4265.125</v>
      </c>
      <c r="O23" s="58">
        <v>4526.25</v>
      </c>
      <c r="P23" s="58">
        <v>4767.6499999999996</v>
      </c>
      <c r="Q23" s="58">
        <v>5138.55</v>
      </c>
      <c r="R23" s="58">
        <v>5554.6750000000002</v>
      </c>
      <c r="S23" s="58">
        <v>5898.75</v>
      </c>
      <c r="T23" s="58">
        <v>6093.1750000000002</v>
      </c>
      <c r="U23" s="58">
        <v>6416.25</v>
      </c>
      <c r="V23" s="58">
        <v>6775.3249999999998</v>
      </c>
      <c r="W23" s="58">
        <v>7176.85</v>
      </c>
      <c r="X23" s="58">
        <v>7560.4250000000002</v>
      </c>
      <c r="Y23" s="58">
        <v>7951.3249999999998</v>
      </c>
      <c r="Z23" s="58">
        <v>8451.0249999999996</v>
      </c>
      <c r="AA23" s="58">
        <v>8930.7999999999993</v>
      </c>
      <c r="AB23" s="58">
        <v>9479.625</v>
      </c>
      <c r="AC23" s="58">
        <v>10117.075000000001</v>
      </c>
      <c r="AD23" s="58">
        <v>10525.725</v>
      </c>
      <c r="AE23" s="58">
        <v>10828.875</v>
      </c>
      <c r="AF23" s="58">
        <v>11278.75</v>
      </c>
      <c r="AG23" s="58">
        <v>12028.424999999999</v>
      </c>
      <c r="AH23" s="58">
        <v>12839.95</v>
      </c>
      <c r="AI23" s="58">
        <v>13636.75</v>
      </c>
      <c r="AJ23" s="58">
        <v>14305.375</v>
      </c>
      <c r="AK23" s="58">
        <v>14796.575000000001</v>
      </c>
      <c r="AL23" s="58">
        <v>14467.3</v>
      </c>
      <c r="AM23" s="58">
        <v>14884.4</v>
      </c>
      <c r="AN23" s="58">
        <v>15466.525</v>
      </c>
      <c r="AO23" s="58">
        <v>16109.424999999999</v>
      </c>
      <c r="AP23" s="58">
        <v>16665.05</v>
      </c>
      <c r="AQ23" s="58">
        <v>17370.825000000001</v>
      </c>
      <c r="AR23" s="58">
        <v>18086.125</v>
      </c>
      <c r="AS23" s="58">
        <v>18536.125</v>
      </c>
      <c r="AT23" s="58">
        <v>19245.650000000001</v>
      </c>
      <c r="AU23" s="58">
        <v>20301.95</v>
      </c>
      <c r="AV23" s="58">
        <v>21159.15</v>
      </c>
      <c r="AW23" s="58">
        <v>21060.9</v>
      </c>
      <c r="AX23" s="58">
        <v>22936.525000000001</v>
      </c>
      <c r="AY23" s="58">
        <v>25305.65</v>
      </c>
      <c r="AZ23" s="58">
        <v>26982.375</v>
      </c>
      <c r="BA23" s="58">
        <v>28255.4</v>
      </c>
      <c r="BB23" s="58">
        <v>29340.3</v>
      </c>
      <c r="BC23" s="58">
        <v>30552.7</v>
      </c>
      <c r="BD23" s="50"/>
      <c r="BE23" s="50"/>
      <c r="BF23" s="50"/>
      <c r="BG23" s="51"/>
      <c r="BO23" s="52"/>
      <c r="BP23" s="52"/>
      <c r="BQ23" s="52"/>
    </row>
    <row r="24" spans="1:70" s="75" customFormat="1" x14ac:dyDescent="0.25">
      <c r="A24" s="75" t="s">
        <v>328</v>
      </c>
      <c r="E24" s="76">
        <v>175.6</v>
      </c>
      <c r="F24" s="76">
        <v>197.1</v>
      </c>
      <c r="G24" s="76">
        <v>218.7</v>
      </c>
      <c r="H24" s="76">
        <v>240</v>
      </c>
      <c r="I24" s="76">
        <v>276.3</v>
      </c>
      <c r="J24" s="76">
        <v>307.89999999999998</v>
      </c>
      <c r="K24" s="76">
        <v>326</v>
      </c>
      <c r="L24" s="76">
        <v>353.3</v>
      </c>
      <c r="M24" s="76">
        <v>379.4</v>
      </c>
      <c r="N24" s="76">
        <v>415.8</v>
      </c>
      <c r="O24" s="76">
        <v>438.5</v>
      </c>
      <c r="P24" s="76">
        <v>444.2</v>
      </c>
      <c r="Q24" s="76">
        <v>464.4</v>
      </c>
      <c r="R24" s="76">
        <v>488.8</v>
      </c>
      <c r="S24" s="76">
        <v>500.6</v>
      </c>
      <c r="T24" s="76">
        <v>533.29999999999995</v>
      </c>
      <c r="U24" s="76">
        <v>533.79999999999995</v>
      </c>
      <c r="V24" s="76">
        <v>539.79999999999995</v>
      </c>
      <c r="W24" s="76">
        <v>541.29999999999995</v>
      </c>
      <c r="X24" s="76">
        <v>544.79999999999995</v>
      </c>
      <c r="Y24" s="76">
        <v>532.70000000000005</v>
      </c>
      <c r="Z24" s="76">
        <v>547</v>
      </c>
      <c r="AA24" s="76">
        <v>552</v>
      </c>
      <c r="AB24" s="76">
        <v>572.1</v>
      </c>
      <c r="AC24" s="76">
        <v>614.6</v>
      </c>
      <c r="AD24" s="76">
        <v>649</v>
      </c>
      <c r="AE24" s="76">
        <v>734</v>
      </c>
      <c r="AF24" s="76">
        <v>824.3</v>
      </c>
      <c r="AG24" s="76">
        <v>895.1</v>
      </c>
      <c r="AH24" s="76">
        <v>968.5</v>
      </c>
      <c r="AI24" s="76">
        <v>1016.6</v>
      </c>
      <c r="AJ24" s="76">
        <v>1041.5999999999999</v>
      </c>
      <c r="AK24" s="76">
        <v>1134.9000000000001</v>
      </c>
      <c r="AL24" s="76">
        <v>1237.5</v>
      </c>
      <c r="AM24" s="76">
        <v>1347.2</v>
      </c>
      <c r="AN24" s="76">
        <v>1347.1</v>
      </c>
      <c r="AO24" s="76">
        <v>1275.7</v>
      </c>
      <c r="AP24" s="76">
        <v>1202.4000000000001</v>
      </c>
      <c r="AQ24" s="76">
        <v>1178.9000000000001</v>
      </c>
      <c r="AR24" s="76">
        <v>1172.0999999999999</v>
      </c>
      <c r="AS24" s="76">
        <v>1185.3</v>
      </c>
      <c r="AT24" s="76">
        <v>1200.3</v>
      </c>
      <c r="AU24" s="76">
        <v>1261.5</v>
      </c>
      <c r="AV24" s="76">
        <v>1338</v>
      </c>
      <c r="AW24" s="76">
        <v>1627.9</v>
      </c>
      <c r="AX24" s="76">
        <v>1636.4</v>
      </c>
      <c r="AY24" s="76">
        <v>1664.6</v>
      </c>
      <c r="AZ24" s="76">
        <v>1718.1</v>
      </c>
      <c r="BA24" s="76">
        <v>1810.2</v>
      </c>
      <c r="BB24" s="151">
        <v>1830.9</v>
      </c>
      <c r="BC24" s="151">
        <v>1691.1</v>
      </c>
    </row>
    <row r="25" spans="1:70" x14ac:dyDescent="0.25">
      <c r="E25" s="53"/>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row>
    <row r="26" spans="1:70" x14ac:dyDescent="0.25">
      <c r="E26" s="53"/>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row>
    <row r="27" spans="1:70" s="67" customFormat="1" x14ac:dyDescent="0.25">
      <c r="A27" s="67" t="str">
        <f>A2</f>
        <v>Defense</v>
      </c>
      <c r="B27" s="67" t="str">
        <f>B2</f>
        <v>Total</v>
      </c>
      <c r="C27" s="67" t="s">
        <v>90</v>
      </c>
      <c r="D27" s="67">
        <f>D2</f>
        <v>0</v>
      </c>
      <c r="E27" s="68">
        <f>E2/E$22</f>
        <v>38500.347947112037</v>
      </c>
      <c r="F27" s="68">
        <f t="shared" ref="F27:BC32" si="0">F2/F$22</f>
        <v>40486.696950032449</v>
      </c>
      <c r="G27" s="68">
        <f t="shared" si="0"/>
        <v>40309.212526603827</v>
      </c>
      <c r="H27" s="68">
        <f t="shared" si="0"/>
        <v>40225.035161744025</v>
      </c>
      <c r="I27" s="68">
        <f t="shared" si="0"/>
        <v>39922.380336351875</v>
      </c>
      <c r="J27" s="68">
        <f t="shared" si="0"/>
        <v>44820.923656927429</v>
      </c>
      <c r="K27" s="68">
        <f t="shared" si="0"/>
        <v>50447.67569949328</v>
      </c>
      <c r="L27" s="68">
        <f t="shared" si="0"/>
        <v>54144.606290901414</v>
      </c>
      <c r="M27" s="68">
        <f t="shared" si="0"/>
        <v>62151.620134501725</v>
      </c>
      <c r="N27" s="68">
        <f t="shared" si="0"/>
        <v>68456.517452179061</v>
      </c>
      <c r="O27" s="68">
        <f t="shared" si="0"/>
        <v>72601.542912246878</v>
      </c>
      <c r="P27" s="68">
        <f t="shared" si="0"/>
        <v>75142.991888322955</v>
      </c>
      <c r="Q27" s="68">
        <f t="shared" si="0"/>
        <v>74861.501918509035</v>
      </c>
      <c r="R27" s="68">
        <f t="shared" si="0"/>
        <v>73023.006673691605</v>
      </c>
      <c r="S27" s="68">
        <f t="shared" si="0"/>
        <v>69431.209759403602</v>
      </c>
      <c r="T27" s="68">
        <f t="shared" si="0"/>
        <v>66047.767053819727</v>
      </c>
      <c r="U27" s="68">
        <f t="shared" si="0"/>
        <v>65801.62783274817</v>
      </c>
      <c r="V27" s="68">
        <f t="shared" si="0"/>
        <v>65669.109621082171</v>
      </c>
      <c r="W27" s="68">
        <f t="shared" si="0"/>
        <v>58445.139630703496</v>
      </c>
      <c r="X27" s="68">
        <f t="shared" si="0"/>
        <v>56534.66826060968</v>
      </c>
      <c r="Y27" s="68">
        <f t="shared" si="0"/>
        <v>56416.758580228816</v>
      </c>
      <c r="Z27" s="68">
        <f t="shared" si="0"/>
        <v>57713.209396166596</v>
      </c>
      <c r="AA27" s="68">
        <f t="shared" si="0"/>
        <v>57744.65556504413</v>
      </c>
      <c r="AB27" s="68">
        <f t="shared" si="0"/>
        <v>59166.788977927732</v>
      </c>
      <c r="AC27" s="68">
        <f t="shared" si="0"/>
        <v>59441.780746453667</v>
      </c>
      <c r="AD27" s="68">
        <f t="shared" si="0"/>
        <v>62124.090359015732</v>
      </c>
      <c r="AE27" s="68">
        <f t="shared" si="0"/>
        <v>71129.813343923743</v>
      </c>
      <c r="AF27" s="68">
        <f t="shared" si="0"/>
        <v>82747.825691648264</v>
      </c>
      <c r="AG27" s="68">
        <f t="shared" si="0"/>
        <v>89189.382528210976</v>
      </c>
      <c r="AH27" s="68">
        <f t="shared" si="0"/>
        <v>91843.378860588171</v>
      </c>
      <c r="AI27" s="68">
        <f t="shared" si="0"/>
        <v>93835.402216660703</v>
      </c>
      <c r="AJ27" s="68">
        <f t="shared" si="0"/>
        <v>95868.360009278593</v>
      </c>
      <c r="AK27" s="68">
        <f t="shared" si="0"/>
        <v>96726.987842290662</v>
      </c>
      <c r="AL27" s="68">
        <f t="shared" si="0"/>
        <v>95949.565853109889</v>
      </c>
      <c r="AM27" s="68">
        <f t="shared" si="0"/>
        <v>96739.226137377351</v>
      </c>
      <c r="AN27" s="68">
        <f t="shared" si="0"/>
        <v>90940.872321818984</v>
      </c>
      <c r="AO27" s="68">
        <f t="shared" si="0"/>
        <v>84515.031135924422</v>
      </c>
      <c r="AP27" s="68">
        <f t="shared" si="0"/>
        <v>73570.051671411988</v>
      </c>
      <c r="AQ27" s="68">
        <f t="shared" si="0"/>
        <v>74015.142916321478</v>
      </c>
      <c r="AR27" s="68">
        <f t="shared" si="0"/>
        <v>74539.65252152519</v>
      </c>
      <c r="AS27" s="68">
        <f t="shared" si="0"/>
        <v>80443.994305470827</v>
      </c>
      <c r="AT27" s="68">
        <f t="shared" si="0"/>
        <v>57530</v>
      </c>
      <c r="AU27" s="68">
        <f t="shared" si="0"/>
        <v>67416.220896106446</v>
      </c>
      <c r="AV27" s="68">
        <f t="shared" si="0"/>
        <v>69161.289021227552</v>
      </c>
      <c r="AW27" s="68">
        <f t="shared" si="0"/>
        <v>77628.019341992986</v>
      </c>
      <c r="AX27" s="68">
        <f t="shared" si="0"/>
        <v>71841.598533455544</v>
      </c>
      <c r="AY27" s="68">
        <f t="shared" si="0"/>
        <v>76189.635911933525</v>
      </c>
      <c r="AZ27" s="68">
        <f t="shared" si="0"/>
        <v>78646.333251413133</v>
      </c>
      <c r="BA27" s="68">
        <f t="shared" si="0"/>
        <v>79601.563073486002</v>
      </c>
      <c r="BB27" s="68">
        <f t="shared" si="0"/>
        <v>80854.510715774275</v>
      </c>
      <c r="BC27" s="68">
        <f>BC2/BC$22</f>
        <v>71951.37065932386</v>
      </c>
      <c r="BD27" s="69"/>
      <c r="BE27" s="69"/>
      <c r="BF27" s="69"/>
      <c r="BG27" s="69"/>
      <c r="BH27" s="69"/>
      <c r="BI27" s="69"/>
      <c r="BJ27" s="69"/>
      <c r="BK27" s="69"/>
      <c r="BL27" s="69"/>
      <c r="BM27" s="69"/>
      <c r="BN27" s="69"/>
      <c r="BO27" s="69"/>
      <c r="BP27" s="69"/>
      <c r="BQ27" s="69"/>
      <c r="BR27" s="69"/>
    </row>
    <row r="28" spans="1:70" s="67" customFormat="1" x14ac:dyDescent="0.25">
      <c r="A28" s="67" t="str">
        <f t="shared" ref="A28:B44" si="1">A3</f>
        <v>Nondefense</v>
      </c>
      <c r="B28" s="67" t="str">
        <f t="shared" si="1"/>
        <v>Total</v>
      </c>
      <c r="C28" s="67" t="s">
        <v>90</v>
      </c>
      <c r="D28" s="67">
        <f t="shared" ref="D28:D44" si="2">D3</f>
        <v>0</v>
      </c>
      <c r="E28" s="68">
        <f t="shared" ref="E28:T44" si="3">E3/E$22</f>
        <v>38239.387613082814</v>
      </c>
      <c r="F28" s="68">
        <f t="shared" si="3"/>
        <v>41508.760545100587</v>
      </c>
      <c r="G28" s="68">
        <f t="shared" si="3"/>
        <v>44108.543630282758</v>
      </c>
      <c r="H28" s="68">
        <f t="shared" si="3"/>
        <v>45431.786216596345</v>
      </c>
      <c r="I28" s="68">
        <f t="shared" si="3"/>
        <v>45573.091849935314</v>
      </c>
      <c r="J28" s="68">
        <f t="shared" si="3"/>
        <v>43131.479736098023</v>
      </c>
      <c r="K28" s="68">
        <f t="shared" si="3"/>
        <v>34897.113901740471</v>
      </c>
      <c r="L28" s="68">
        <f t="shared" si="3"/>
        <v>30384.631623390331</v>
      </c>
      <c r="M28" s="68">
        <f t="shared" si="3"/>
        <v>31607.091909517014</v>
      </c>
      <c r="N28" s="68">
        <f t="shared" si="3"/>
        <v>33563.202524156972</v>
      </c>
      <c r="O28" s="68">
        <f t="shared" si="3"/>
        <v>32742.140790742527</v>
      </c>
      <c r="P28" s="68">
        <f t="shared" si="3"/>
        <v>35487.266553480476</v>
      </c>
      <c r="Q28" s="68">
        <f t="shared" si="3"/>
        <v>36654.120226566782</v>
      </c>
      <c r="R28" s="68">
        <f t="shared" si="3"/>
        <v>39874.604847207585</v>
      </c>
      <c r="S28" s="68">
        <f t="shared" si="3"/>
        <v>43150.288037953236</v>
      </c>
      <c r="T28" s="68">
        <f t="shared" si="3"/>
        <v>46411.745460494036</v>
      </c>
      <c r="U28" s="68">
        <f t="shared" si="0"/>
        <v>49009.575486753907</v>
      </c>
      <c r="V28" s="68">
        <f t="shared" si="0"/>
        <v>48050.054576641196</v>
      </c>
      <c r="W28" s="68">
        <f t="shared" si="0"/>
        <v>50014.954982450792</v>
      </c>
      <c r="X28" s="68">
        <f t="shared" si="0"/>
        <v>49484.459055588763</v>
      </c>
      <c r="Y28" s="68">
        <f t="shared" si="0"/>
        <v>48059.548254620124</v>
      </c>
      <c r="Z28" s="68">
        <f t="shared" si="0"/>
        <v>48834.640438103503</v>
      </c>
      <c r="AA28" s="68">
        <f t="shared" si="0"/>
        <v>50251.921434671218</v>
      </c>
      <c r="AB28" s="68">
        <f t="shared" si="0"/>
        <v>53544.1491008331</v>
      </c>
      <c r="AC28" s="68">
        <f t="shared" si="0"/>
        <v>55926.693489051198</v>
      </c>
      <c r="AD28" s="68">
        <f t="shared" si="0"/>
        <v>60955.238335085312</v>
      </c>
      <c r="AE28" s="68">
        <f t="shared" si="0"/>
        <v>65353.827469835691</v>
      </c>
      <c r="AF28" s="68">
        <f t="shared" si="0"/>
        <v>70675.294335897808</v>
      </c>
      <c r="AG28" s="68">
        <f t="shared" si="0"/>
        <v>70974.776517391321</v>
      </c>
      <c r="AH28" s="68">
        <f t="shared" si="0"/>
        <v>69726.631935729733</v>
      </c>
      <c r="AI28" s="68">
        <f t="shared" si="0"/>
        <v>68345.581203524125</v>
      </c>
      <c r="AJ28" s="68">
        <f t="shared" si="0"/>
        <v>68749.229183931457</v>
      </c>
      <c r="AK28" s="68">
        <f t="shared" si="0"/>
        <v>67399.637541188509</v>
      </c>
      <c r="AL28" s="68">
        <f t="shared" si="0"/>
        <v>67817.534585535934</v>
      </c>
      <c r="AM28" s="68">
        <f t="shared" si="0"/>
        <v>70070.807400215184</v>
      </c>
      <c r="AN28" s="68">
        <f t="shared" si="0"/>
        <v>66873.149070708358</v>
      </c>
      <c r="AO28" s="68">
        <f t="shared" si="0"/>
        <v>68504.180803092153</v>
      </c>
      <c r="AP28" s="68">
        <f t="shared" si="0"/>
        <v>65080.982145945418</v>
      </c>
      <c r="AQ28" s="68">
        <f t="shared" si="0"/>
        <v>67415.339685169849</v>
      </c>
      <c r="AR28" s="68">
        <f t="shared" si="0"/>
        <v>67247.979895448982</v>
      </c>
      <c r="AS28" s="68">
        <f t="shared" si="0"/>
        <v>71342.353627211676</v>
      </c>
      <c r="AT28" s="68">
        <f t="shared" si="0"/>
        <v>69805.667000000001</v>
      </c>
      <c r="AU28" s="68">
        <f t="shared" si="0"/>
        <v>73808.839658579527</v>
      </c>
      <c r="AV28" s="68">
        <f t="shared" si="0"/>
        <v>74894.734721928748</v>
      </c>
      <c r="AW28" s="68">
        <f t="shared" si="0"/>
        <v>83461.220184668637</v>
      </c>
      <c r="AX28" s="68">
        <f t="shared" si="0"/>
        <v>78227.660861594879</v>
      </c>
      <c r="AY28" s="68">
        <f t="shared" si="0"/>
        <v>82981.301293583456</v>
      </c>
      <c r="AZ28" s="68">
        <f t="shared" si="0"/>
        <v>80252.31424592447</v>
      </c>
      <c r="BA28" s="68">
        <f t="shared" si="0"/>
        <v>75274.315806271436</v>
      </c>
      <c r="BB28" s="68">
        <f t="shared" si="0"/>
        <v>72953.142993933274</v>
      </c>
      <c r="BC28" s="68">
        <f t="shared" si="0"/>
        <v>46789.582377237275</v>
      </c>
      <c r="BD28" s="69"/>
      <c r="BE28" s="69"/>
      <c r="BF28" s="69"/>
      <c r="BG28" s="69"/>
      <c r="BH28" s="69"/>
      <c r="BI28" s="69"/>
      <c r="BJ28" s="69"/>
      <c r="BK28" s="69"/>
      <c r="BL28" s="69"/>
      <c r="BM28" s="69"/>
      <c r="BN28" s="69"/>
      <c r="BO28" s="69"/>
      <c r="BP28" s="69"/>
      <c r="BQ28" s="69"/>
      <c r="BR28" s="69"/>
    </row>
    <row r="29" spans="1:70" s="67" customFormat="1" x14ac:dyDescent="0.25">
      <c r="A29" s="67" t="str">
        <f t="shared" si="1"/>
        <v>ARRA Defense</v>
      </c>
      <c r="B29" s="67" t="str">
        <f t="shared" si="1"/>
        <v>Total</v>
      </c>
      <c r="C29" s="67" t="s">
        <v>90</v>
      </c>
      <c r="D29" s="67">
        <f t="shared" si="2"/>
        <v>0</v>
      </c>
      <c r="E29" s="68">
        <f t="shared" si="3"/>
        <v>0</v>
      </c>
      <c r="F29" s="68">
        <f t="shared" si="0"/>
        <v>0</v>
      </c>
      <c r="G29" s="68">
        <f t="shared" si="0"/>
        <v>0</v>
      </c>
      <c r="H29" s="68">
        <f t="shared" si="0"/>
        <v>0</v>
      </c>
      <c r="I29" s="68">
        <f t="shared" si="0"/>
        <v>0</v>
      </c>
      <c r="J29" s="68">
        <f t="shared" si="0"/>
        <v>0</v>
      </c>
      <c r="K29" s="68">
        <f t="shared" si="0"/>
        <v>0</v>
      </c>
      <c r="L29" s="68">
        <f t="shared" si="0"/>
        <v>0</v>
      </c>
      <c r="M29" s="68">
        <f t="shared" si="0"/>
        <v>0</v>
      </c>
      <c r="N29" s="68">
        <f t="shared" si="0"/>
        <v>0</v>
      </c>
      <c r="O29" s="68">
        <f t="shared" si="0"/>
        <v>0</v>
      </c>
      <c r="P29" s="68">
        <f t="shared" si="0"/>
        <v>0</v>
      </c>
      <c r="Q29" s="68">
        <f t="shared" si="0"/>
        <v>0</v>
      </c>
      <c r="R29" s="68">
        <f t="shared" si="0"/>
        <v>0</v>
      </c>
      <c r="S29" s="68">
        <f t="shared" si="0"/>
        <v>0</v>
      </c>
      <c r="T29" s="68">
        <f t="shared" si="0"/>
        <v>0</v>
      </c>
      <c r="U29" s="68">
        <f t="shared" si="0"/>
        <v>0</v>
      </c>
      <c r="V29" s="68">
        <f t="shared" si="0"/>
        <v>0</v>
      </c>
      <c r="W29" s="68">
        <f t="shared" si="0"/>
        <v>0</v>
      </c>
      <c r="X29" s="68">
        <f t="shared" si="0"/>
        <v>0</v>
      </c>
      <c r="Y29" s="68">
        <f t="shared" si="0"/>
        <v>0</v>
      </c>
      <c r="Z29" s="68">
        <f t="shared" si="0"/>
        <v>0</v>
      </c>
      <c r="AA29" s="68">
        <f t="shared" si="0"/>
        <v>0</v>
      </c>
      <c r="AB29" s="68">
        <f t="shared" si="0"/>
        <v>0</v>
      </c>
      <c r="AC29" s="68">
        <f t="shared" si="0"/>
        <v>0</v>
      </c>
      <c r="AD29" s="68">
        <f t="shared" si="0"/>
        <v>0</v>
      </c>
      <c r="AE29" s="68">
        <f t="shared" si="0"/>
        <v>0</v>
      </c>
      <c r="AF29" s="68">
        <f t="shared" si="0"/>
        <v>0</v>
      </c>
      <c r="AG29" s="68">
        <f t="shared" si="0"/>
        <v>0</v>
      </c>
      <c r="AH29" s="68">
        <f t="shared" si="0"/>
        <v>0</v>
      </c>
      <c r="AI29" s="68">
        <f t="shared" si="0"/>
        <v>0</v>
      </c>
      <c r="AJ29" s="68">
        <f t="shared" si="0"/>
        <v>0</v>
      </c>
      <c r="AK29" s="68">
        <f t="shared" si="0"/>
        <v>0</v>
      </c>
      <c r="AL29" s="68">
        <f t="shared" si="0"/>
        <v>337.41986278258912</v>
      </c>
      <c r="AM29" s="68">
        <f t="shared" si="0"/>
        <v>0</v>
      </c>
      <c r="AN29" s="68">
        <f t="shared" si="0"/>
        <v>0</v>
      </c>
      <c r="AO29" s="68">
        <f t="shared" si="0"/>
        <v>0</v>
      </c>
      <c r="AP29" s="68">
        <f t="shared" si="0"/>
        <v>0</v>
      </c>
      <c r="AQ29" s="68">
        <f t="shared" si="0"/>
        <v>0</v>
      </c>
      <c r="AR29" s="68">
        <f t="shared" si="0"/>
        <v>0</v>
      </c>
      <c r="AS29" s="68">
        <f t="shared" si="0"/>
        <v>0</v>
      </c>
      <c r="AT29" s="68">
        <f t="shared" si="0"/>
        <v>0</v>
      </c>
      <c r="AU29" s="68">
        <f t="shared" si="0"/>
        <v>0</v>
      </c>
      <c r="AV29" s="68">
        <f t="shared" si="0"/>
        <v>0</v>
      </c>
      <c r="AW29" s="68">
        <f t="shared" si="0"/>
        <v>0</v>
      </c>
      <c r="AX29" s="68">
        <f t="shared" si="0"/>
        <v>0</v>
      </c>
      <c r="AY29" s="68">
        <f t="shared" si="0"/>
        <v>0</v>
      </c>
      <c r="AZ29" s="68">
        <f t="shared" si="0"/>
        <v>0</v>
      </c>
      <c r="BA29" s="68">
        <f t="shared" si="0"/>
        <v>0</v>
      </c>
      <c r="BB29" s="68">
        <f t="shared" si="0"/>
        <v>0</v>
      </c>
      <c r="BC29" s="68">
        <f t="shared" si="0"/>
        <v>0</v>
      </c>
      <c r="BD29" s="69"/>
      <c r="BE29" s="69"/>
      <c r="BF29" s="69"/>
      <c r="BG29" s="69"/>
      <c r="BH29" s="69"/>
      <c r="BI29" s="69"/>
      <c r="BJ29" s="69"/>
      <c r="BK29" s="69"/>
      <c r="BL29" s="69"/>
      <c r="BM29" s="69"/>
      <c r="BN29" s="69"/>
      <c r="BO29" s="69"/>
      <c r="BP29" s="69"/>
      <c r="BQ29" s="69"/>
      <c r="BR29" s="69"/>
    </row>
    <row r="30" spans="1:70" s="67" customFormat="1" x14ac:dyDescent="0.25">
      <c r="A30" s="67" t="str">
        <f t="shared" si="1"/>
        <v>ARRA NonDefense</v>
      </c>
      <c r="B30" s="67" t="str">
        <f t="shared" si="1"/>
        <v>Total</v>
      </c>
      <c r="C30" s="67" t="s">
        <v>90</v>
      </c>
      <c r="D30" s="67">
        <f t="shared" si="2"/>
        <v>0</v>
      </c>
      <c r="E30" s="68">
        <f t="shared" si="3"/>
        <v>0</v>
      </c>
      <c r="F30" s="68">
        <f t="shared" si="0"/>
        <v>0</v>
      </c>
      <c r="G30" s="68">
        <f t="shared" si="0"/>
        <v>0</v>
      </c>
      <c r="H30" s="68">
        <f t="shared" si="0"/>
        <v>0</v>
      </c>
      <c r="I30" s="68">
        <f t="shared" si="0"/>
        <v>0</v>
      </c>
      <c r="J30" s="68">
        <f t="shared" si="0"/>
        <v>0</v>
      </c>
      <c r="K30" s="68">
        <f t="shared" si="0"/>
        <v>0</v>
      </c>
      <c r="L30" s="68">
        <f t="shared" si="0"/>
        <v>0</v>
      </c>
      <c r="M30" s="68">
        <f t="shared" si="0"/>
        <v>0</v>
      </c>
      <c r="N30" s="68">
        <f t="shared" si="0"/>
        <v>0</v>
      </c>
      <c r="O30" s="68">
        <f t="shared" si="0"/>
        <v>0</v>
      </c>
      <c r="P30" s="68">
        <f t="shared" si="0"/>
        <v>0</v>
      </c>
      <c r="Q30" s="68">
        <f t="shared" si="0"/>
        <v>0</v>
      </c>
      <c r="R30" s="68">
        <f t="shared" si="0"/>
        <v>0</v>
      </c>
      <c r="S30" s="68">
        <f t="shared" si="0"/>
        <v>0</v>
      </c>
      <c r="T30" s="68">
        <f t="shared" si="0"/>
        <v>0</v>
      </c>
      <c r="U30" s="68">
        <f t="shared" si="0"/>
        <v>0</v>
      </c>
      <c r="V30" s="68">
        <f t="shared" si="0"/>
        <v>0</v>
      </c>
      <c r="W30" s="68">
        <f t="shared" si="0"/>
        <v>0</v>
      </c>
      <c r="X30" s="68">
        <f t="shared" si="0"/>
        <v>0</v>
      </c>
      <c r="Y30" s="68">
        <f t="shared" si="0"/>
        <v>0</v>
      </c>
      <c r="Z30" s="68">
        <f t="shared" si="0"/>
        <v>0</v>
      </c>
      <c r="AA30" s="68">
        <f t="shared" si="0"/>
        <v>0</v>
      </c>
      <c r="AB30" s="68">
        <f t="shared" si="0"/>
        <v>0</v>
      </c>
      <c r="AC30" s="68">
        <f t="shared" si="0"/>
        <v>0</v>
      </c>
      <c r="AD30" s="68">
        <f t="shared" si="0"/>
        <v>0</v>
      </c>
      <c r="AE30" s="68">
        <f t="shared" si="0"/>
        <v>0</v>
      </c>
      <c r="AF30" s="68">
        <f t="shared" si="0"/>
        <v>0</v>
      </c>
      <c r="AG30" s="68">
        <f t="shared" si="0"/>
        <v>0</v>
      </c>
      <c r="AH30" s="68">
        <f t="shared" si="0"/>
        <v>0</v>
      </c>
      <c r="AI30" s="68">
        <f t="shared" si="0"/>
        <v>0</v>
      </c>
      <c r="AJ30" s="68">
        <f t="shared" si="0"/>
        <v>0</v>
      </c>
      <c r="AK30" s="68">
        <f t="shared" si="0"/>
        <v>0</v>
      </c>
      <c r="AL30" s="68">
        <f t="shared" si="0"/>
        <v>20738.667191542005</v>
      </c>
      <c r="AM30" s="68">
        <f t="shared" si="0"/>
        <v>0</v>
      </c>
      <c r="AN30" s="68">
        <f t="shared" si="0"/>
        <v>0</v>
      </c>
      <c r="AO30" s="68">
        <f t="shared" si="0"/>
        <v>0</v>
      </c>
      <c r="AP30" s="68">
        <f t="shared" si="0"/>
        <v>0</v>
      </c>
      <c r="AQ30" s="68">
        <f t="shared" si="0"/>
        <v>0</v>
      </c>
      <c r="AR30" s="68">
        <f t="shared" si="0"/>
        <v>0</v>
      </c>
      <c r="AS30" s="68">
        <f t="shared" si="0"/>
        <v>0</v>
      </c>
      <c r="AT30" s="68">
        <f t="shared" si="0"/>
        <v>0</v>
      </c>
      <c r="AU30" s="68">
        <f t="shared" si="0"/>
        <v>0</v>
      </c>
      <c r="AV30" s="68">
        <f t="shared" si="0"/>
        <v>0</v>
      </c>
      <c r="AW30" s="68">
        <f t="shared" si="0"/>
        <v>0</v>
      </c>
      <c r="AX30" s="68">
        <f t="shared" si="0"/>
        <v>0</v>
      </c>
      <c r="AY30" s="68">
        <f t="shared" si="0"/>
        <v>0</v>
      </c>
      <c r="AZ30" s="68">
        <f t="shared" si="0"/>
        <v>0</v>
      </c>
      <c r="BA30" s="68">
        <f t="shared" si="0"/>
        <v>0</v>
      </c>
      <c r="BB30" s="68">
        <f t="shared" si="0"/>
        <v>0</v>
      </c>
      <c r="BC30" s="68">
        <f t="shared" si="0"/>
        <v>0</v>
      </c>
      <c r="BD30" s="69"/>
      <c r="BE30" s="69"/>
      <c r="BF30" s="69"/>
      <c r="BG30" s="69"/>
      <c r="BH30" s="69"/>
      <c r="BI30" s="69"/>
      <c r="BJ30" s="69"/>
      <c r="BK30" s="69"/>
      <c r="BL30" s="69"/>
      <c r="BM30" s="69"/>
      <c r="BN30" s="69"/>
      <c r="BO30" s="69"/>
      <c r="BP30" s="69"/>
      <c r="BQ30" s="69"/>
      <c r="BR30" s="69"/>
    </row>
    <row r="31" spans="1:70" s="67" customFormat="1" x14ac:dyDescent="0.25">
      <c r="A31" s="67" t="str">
        <f t="shared" si="1"/>
        <v>DOD</v>
      </c>
      <c r="B31" s="67" t="str">
        <f t="shared" si="1"/>
        <v>Agency</v>
      </c>
      <c r="C31" s="67" t="s">
        <v>90</v>
      </c>
      <c r="D31" s="67" t="str">
        <f t="shared" si="2"/>
        <v>Department of Defense</v>
      </c>
      <c r="E31" s="68">
        <f t="shared" si="3"/>
        <v>35027.835768963116</v>
      </c>
      <c r="F31" s="68">
        <f t="shared" si="0"/>
        <v>37242.050616482804</v>
      </c>
      <c r="G31" s="68">
        <f t="shared" si="0"/>
        <v>36314.989358467617</v>
      </c>
      <c r="H31" s="68">
        <f t="shared" si="0"/>
        <v>36450.070323488049</v>
      </c>
      <c r="I31" s="68">
        <f t="shared" si="0"/>
        <v>36276.84346701164</v>
      </c>
      <c r="J31" s="68">
        <f t="shared" si="0"/>
        <v>40911.87558906692</v>
      </c>
      <c r="K31" s="68">
        <f t="shared" si="0"/>
        <v>45930.821766909008</v>
      </c>
      <c r="L31" s="68">
        <f t="shared" si="0"/>
        <v>49974.66751108296</v>
      </c>
      <c r="M31" s="68">
        <f t="shared" si="0"/>
        <v>56928.877114326468</v>
      </c>
      <c r="N31" s="68">
        <f t="shared" si="0"/>
        <v>63060.540327351606</v>
      </c>
      <c r="O31" s="68">
        <f t="shared" si="0"/>
        <v>67502.603664416587</v>
      </c>
      <c r="P31" s="68">
        <f t="shared" si="0"/>
        <v>70054.140728164493</v>
      </c>
      <c r="Q31" s="68">
        <f t="shared" si="0"/>
        <v>69661.976977891463</v>
      </c>
      <c r="R31" s="68">
        <f t="shared" si="0"/>
        <v>67752.370916754473</v>
      </c>
      <c r="S31" s="68">
        <f t="shared" si="0"/>
        <v>64163.1650288038</v>
      </c>
      <c r="T31" s="68">
        <f t="shared" si="0"/>
        <v>60867.822672991992</v>
      </c>
      <c r="U31" s="68">
        <f t="shared" si="0"/>
        <v>60292.052345994249</v>
      </c>
      <c r="V31" s="68">
        <f t="shared" si="0"/>
        <v>60577.420863870269</v>
      </c>
      <c r="W31" s="68">
        <f t="shared" si="0"/>
        <v>54188.310697390509</v>
      </c>
      <c r="X31" s="68">
        <f t="shared" si="0"/>
        <v>52822.773460848774</v>
      </c>
      <c r="Y31" s="68">
        <f t="shared" si="0"/>
        <v>52482.64740393078</v>
      </c>
      <c r="Z31" s="68">
        <f t="shared" si="0"/>
        <v>53664.793197867133</v>
      </c>
      <c r="AA31" s="68">
        <f t="shared" si="0"/>
        <v>53471.391972672929</v>
      </c>
      <c r="AB31" s="68">
        <f t="shared" si="0"/>
        <v>54671.727822297202</v>
      </c>
      <c r="AC31" s="68">
        <f t="shared" si="0"/>
        <v>55033.053298443745</v>
      </c>
      <c r="AD31" s="68">
        <f t="shared" si="0"/>
        <v>57469.409708215673</v>
      </c>
      <c r="AE31" s="68">
        <f t="shared" si="0"/>
        <v>66027.010855176064</v>
      </c>
      <c r="AF31" s="68">
        <f t="shared" si="0"/>
        <v>77017.211326146251</v>
      </c>
      <c r="AG31" s="68">
        <f t="shared" si="0"/>
        <v>83616.515785469775</v>
      </c>
      <c r="AH31" s="68">
        <f t="shared" si="0"/>
        <v>86463.779992617201</v>
      </c>
      <c r="AI31" s="68">
        <f t="shared" si="0"/>
        <v>88534.48456679775</v>
      </c>
      <c r="AJ31" s="68">
        <f t="shared" si="0"/>
        <v>91636.16330317792</v>
      </c>
      <c r="AK31" s="68">
        <f t="shared" si="0"/>
        <v>92224.090444267698</v>
      </c>
      <c r="AL31" s="68">
        <f t="shared" si="0"/>
        <v>91647.462602631887</v>
      </c>
      <c r="AM31" s="68">
        <f t="shared" si="0"/>
        <v>92441.723907225707</v>
      </c>
      <c r="AN31" s="68">
        <f t="shared" si="0"/>
        <v>86479.787931788393</v>
      </c>
      <c r="AO31" s="68">
        <f t="shared" si="0"/>
        <v>79944.492162336275</v>
      </c>
      <c r="AP31" s="68">
        <f t="shared" si="0"/>
        <v>69113.385004745331</v>
      </c>
      <c r="AQ31" s="68">
        <f t="shared" si="0"/>
        <v>68873.797638773831</v>
      </c>
      <c r="AR31" s="68">
        <f t="shared" si="0"/>
        <v>68187.318573185708</v>
      </c>
      <c r="AS31" s="68">
        <f t="shared" si="0"/>
        <v>74030.082367297131</v>
      </c>
      <c r="AT31" s="68">
        <f t="shared" si="0"/>
        <v>50374.088000000003</v>
      </c>
      <c r="AU31" s="68">
        <f t="shared" si="0"/>
        <v>60424.986304050093</v>
      </c>
      <c r="AV31" s="68">
        <f t="shared" si="0"/>
        <v>62131.106521947942</v>
      </c>
      <c r="AW31" s="68">
        <f t="shared" si="0"/>
        <v>70262.087797477958</v>
      </c>
      <c r="AX31" s="68">
        <f t="shared" si="0"/>
        <v>66081.350137488538</v>
      </c>
      <c r="AY31" s="68">
        <f t="shared" si="0"/>
        <v>68360.896084982436</v>
      </c>
      <c r="AZ31" s="68">
        <f t="shared" si="0"/>
        <v>73362.479724748104</v>
      </c>
      <c r="BA31" s="68">
        <f t="shared" si="0"/>
        <v>74258.069895475943</v>
      </c>
      <c r="BB31" s="68">
        <f t="shared" si="0"/>
        <v>74891.651074461333</v>
      </c>
      <c r="BC31" s="68">
        <f t="shared" si="0"/>
        <v>67854.690224873804</v>
      </c>
      <c r="BD31" s="69"/>
      <c r="BE31" s="69"/>
      <c r="BF31" s="69"/>
      <c r="BG31" s="69"/>
      <c r="BH31" s="69"/>
      <c r="BI31" s="69"/>
      <c r="BJ31" s="69"/>
      <c r="BK31" s="69"/>
      <c r="BL31" s="69"/>
      <c r="BM31" s="69"/>
      <c r="BN31" s="69"/>
      <c r="BO31" s="69"/>
      <c r="BP31" s="69"/>
      <c r="BQ31" s="69"/>
      <c r="BR31" s="69"/>
    </row>
    <row r="32" spans="1:70" s="67" customFormat="1" x14ac:dyDescent="0.25">
      <c r="A32" s="67" t="str">
        <f t="shared" si="1"/>
        <v>NASA</v>
      </c>
      <c r="B32" s="67" t="str">
        <f t="shared" si="1"/>
        <v>Agency</v>
      </c>
      <c r="C32" s="67" t="s">
        <v>90</v>
      </c>
      <c r="D32" s="67" t="str">
        <f t="shared" si="2"/>
        <v>National Aeronautics and Space Administration</v>
      </c>
      <c r="E32" s="68">
        <f t="shared" si="3"/>
        <v>12279.053583855255</v>
      </c>
      <c r="F32" s="68">
        <f t="shared" si="0"/>
        <v>12313.432835820897</v>
      </c>
      <c r="G32" s="68">
        <f t="shared" si="0"/>
        <v>12277.287929461841</v>
      </c>
      <c r="H32" s="68">
        <f t="shared" si="0"/>
        <v>12824.191279887484</v>
      </c>
      <c r="I32" s="68">
        <f t="shared" si="0"/>
        <v>13565.329883570505</v>
      </c>
      <c r="J32" s="68">
        <f t="shared" si="0"/>
        <v>13013.666352497643</v>
      </c>
      <c r="K32" s="68">
        <f t="shared" si="0"/>
        <v>10110.156422119409</v>
      </c>
      <c r="L32" s="68">
        <f t="shared" si="0"/>
        <v>5773.6964323411439</v>
      </c>
      <c r="M32" s="68">
        <f t="shared" si="0"/>
        <v>6101.4876706745463</v>
      </c>
      <c r="N32" s="68">
        <f t="shared" si="0"/>
        <v>7023.2695720765132</v>
      </c>
      <c r="O32" s="68">
        <f t="shared" si="0"/>
        <v>7190.9353905496628</v>
      </c>
      <c r="P32" s="68">
        <f t="shared" si="0"/>
        <v>8172.6089417091116</v>
      </c>
      <c r="Q32" s="68">
        <f t="shared" si="0"/>
        <v>8563.3107984651924</v>
      </c>
      <c r="R32" s="68">
        <f t="shared" si="0"/>
        <v>10396.030909729539</v>
      </c>
      <c r="S32" s="68">
        <f t="shared" si="0"/>
        <v>12049.47475432057</v>
      </c>
      <c r="T32" s="68">
        <f t="shared" si="0"/>
        <v>13289.546867331916</v>
      </c>
      <c r="U32" s="68">
        <f t="shared" si="0"/>
        <v>13635.812320459623</v>
      </c>
      <c r="V32" s="68">
        <f t="shared" si="0"/>
        <v>13745.205052237641</v>
      </c>
      <c r="W32" s="68">
        <f t="shared" si="0"/>
        <v>14352.968106210896</v>
      </c>
      <c r="X32" s="68">
        <f t="shared" si="0"/>
        <v>14134.787806335924</v>
      </c>
      <c r="Y32" s="68">
        <f t="shared" si="0"/>
        <v>13834.527720739219</v>
      </c>
      <c r="Z32" s="68">
        <f t="shared" ref="F32:BC37" si="4">Z7/Z$22</f>
        <v>13477.367055771725</v>
      </c>
      <c r="AA32" s="68">
        <f t="shared" si="4"/>
        <v>13878.311984059208</v>
      </c>
      <c r="AB32" s="68">
        <f t="shared" si="4"/>
        <v>13661.185153943485</v>
      </c>
      <c r="AC32" s="68">
        <f t="shared" si="4"/>
        <v>13075.937416333838</v>
      </c>
      <c r="AD32" s="68">
        <f t="shared" si="4"/>
        <v>13294.901169826542</v>
      </c>
      <c r="AE32" s="68">
        <f t="shared" si="4"/>
        <v>13534.903362456977</v>
      </c>
      <c r="AF32" s="68">
        <f t="shared" si="4"/>
        <v>13873.655020132483</v>
      </c>
      <c r="AG32" s="68">
        <f t="shared" si="4"/>
        <v>13697.774819322936</v>
      </c>
      <c r="AH32" s="68">
        <f t="shared" si="4"/>
        <v>13065.337910668142</v>
      </c>
      <c r="AI32" s="68">
        <f t="shared" si="4"/>
        <v>13460.255035156717</v>
      </c>
      <c r="AJ32" s="68">
        <f t="shared" si="4"/>
        <v>13432.954070981212</v>
      </c>
      <c r="AK32" s="68">
        <f t="shared" si="4"/>
        <v>12706.687876377686</v>
      </c>
      <c r="AL32" s="68">
        <f t="shared" si="4"/>
        <v>9884.1525137779772</v>
      </c>
      <c r="AM32" s="68">
        <f t="shared" si="4"/>
        <v>10327.832292595896</v>
      </c>
      <c r="AN32" s="68">
        <f t="shared" si="4"/>
        <v>9946.4363795365116</v>
      </c>
      <c r="AO32" s="68">
        <f t="shared" si="4"/>
        <v>12148.378784625294</v>
      </c>
      <c r="AP32" s="68">
        <f t="shared" si="4"/>
        <v>11598.439312453864</v>
      </c>
      <c r="AQ32" s="68">
        <f t="shared" si="4"/>
        <v>12172.224523612262</v>
      </c>
      <c r="AR32" s="68">
        <f t="shared" si="4"/>
        <v>11698.441984419844</v>
      </c>
      <c r="AS32" s="68">
        <f t="shared" si="4"/>
        <v>13496.949359365464</v>
      </c>
      <c r="AT32" s="68">
        <f t="shared" si="4"/>
        <v>10703.7</v>
      </c>
      <c r="AU32" s="68">
        <f t="shared" si="4"/>
        <v>10844.648796712974</v>
      </c>
      <c r="AV32" s="68">
        <f t="shared" si="4"/>
        <v>10275.669964460667</v>
      </c>
      <c r="AW32" s="68">
        <f t="shared" si="4"/>
        <v>14033.374419266142</v>
      </c>
      <c r="AX32" s="68">
        <f t="shared" si="4"/>
        <v>11171.402383134739</v>
      </c>
      <c r="AY32" s="68">
        <f t="shared" si="4"/>
        <v>10690.482309603358</v>
      </c>
      <c r="AZ32" s="68">
        <f t="shared" si="4"/>
        <v>9577.2917178667994</v>
      </c>
      <c r="BA32" s="68">
        <f t="shared" si="4"/>
        <v>8760.0734062076117</v>
      </c>
      <c r="BB32" s="68">
        <f t="shared" si="4"/>
        <v>8539.1942535915059</v>
      </c>
      <c r="BC32" s="68">
        <f t="shared" si="4"/>
        <v>5496.4050787823162</v>
      </c>
      <c r="BD32" s="69"/>
      <c r="BE32" s="69"/>
      <c r="BF32" s="69"/>
      <c r="BG32" s="69"/>
      <c r="BH32" s="69"/>
      <c r="BI32" s="69"/>
      <c r="BJ32" s="69"/>
      <c r="BK32" s="69"/>
      <c r="BL32" s="69"/>
      <c r="BM32" s="69"/>
      <c r="BN32" s="69"/>
      <c r="BO32" s="69"/>
      <c r="BP32" s="69"/>
      <c r="BQ32" s="69"/>
      <c r="BR32" s="69"/>
    </row>
    <row r="33" spans="1:70" s="67" customFormat="1" x14ac:dyDescent="0.25">
      <c r="A33" s="67" t="str">
        <f t="shared" si="1"/>
        <v>DOE</v>
      </c>
      <c r="B33" s="67" t="str">
        <f t="shared" si="1"/>
        <v>Agency</v>
      </c>
      <c r="C33" s="67" t="s">
        <v>90</v>
      </c>
      <c r="D33" s="67" t="str">
        <f t="shared" si="2"/>
        <v>Department of Energy</v>
      </c>
      <c r="E33" s="68">
        <f t="shared" si="3"/>
        <v>10678.496868475992</v>
      </c>
      <c r="F33" s="68">
        <f t="shared" si="4"/>
        <v>13478.260869565218</v>
      </c>
      <c r="G33" s="68">
        <f t="shared" si="4"/>
        <v>15363.332319854058</v>
      </c>
      <c r="H33" s="68">
        <f t="shared" si="4"/>
        <v>15308.016877637132</v>
      </c>
      <c r="I33" s="68">
        <f t="shared" si="4"/>
        <v>14926.261319534282</v>
      </c>
      <c r="J33" s="68">
        <f t="shared" si="4"/>
        <v>14505.183788878416</v>
      </c>
      <c r="K33" s="68">
        <f t="shared" si="4"/>
        <v>11910.112359550561</v>
      </c>
      <c r="L33" s="68">
        <f t="shared" si="4"/>
        <v>10903.525438040953</v>
      </c>
      <c r="M33" s="68">
        <f t="shared" si="4"/>
        <v>11487.059303036478</v>
      </c>
      <c r="N33" s="68">
        <f t="shared" si="4"/>
        <v>11789.587852494577</v>
      </c>
      <c r="O33" s="68">
        <f t="shared" si="4"/>
        <v>10685.053037608488</v>
      </c>
      <c r="P33" s="68">
        <f t="shared" si="4"/>
        <v>10228.824750047161</v>
      </c>
      <c r="Q33" s="68">
        <f t="shared" si="4"/>
        <v>10636.579572446555</v>
      </c>
      <c r="R33" s="68">
        <f t="shared" si="4"/>
        <v>10985.423252546541</v>
      </c>
      <c r="S33" s="68">
        <f t="shared" si="4"/>
        <v>11839.884784818705</v>
      </c>
      <c r="T33" s="68">
        <f t="shared" si="4"/>
        <v>12005.071159823328</v>
      </c>
      <c r="U33" s="68">
        <f t="shared" si="4"/>
        <v>12980.210660708584</v>
      </c>
      <c r="V33" s="68">
        <f t="shared" si="4"/>
        <v>11607.671916419773</v>
      </c>
      <c r="W33" s="68">
        <f t="shared" si="4"/>
        <v>10332.9772623226</v>
      </c>
      <c r="X33" s="68">
        <f t="shared" si="4"/>
        <v>9587.5672444710108</v>
      </c>
      <c r="Y33" s="68">
        <f t="shared" si="4"/>
        <v>9200.9401584042225</v>
      </c>
      <c r="Z33" s="68">
        <f t="shared" si="4"/>
        <v>8960.0835855310561</v>
      </c>
      <c r="AA33" s="68">
        <f t="shared" si="4"/>
        <v>9039.2371192712799</v>
      </c>
      <c r="AB33" s="68">
        <f t="shared" si="4"/>
        <v>9793.586391114859</v>
      </c>
      <c r="AC33" s="68">
        <f t="shared" si="4"/>
        <v>9580.1597576091463</v>
      </c>
      <c r="AD33" s="68">
        <f t="shared" si="4"/>
        <v>10397.693962619336</v>
      </c>
      <c r="AE33" s="68">
        <f t="shared" si="4"/>
        <v>10694.207042626424</v>
      </c>
      <c r="AF33" s="68">
        <f t="shared" si="4"/>
        <v>10980.119496038446</v>
      </c>
      <c r="AG33" s="68">
        <f t="shared" si="4"/>
        <v>11046.861924686193</v>
      </c>
      <c r="AH33" s="68">
        <f t="shared" si="4"/>
        <v>10606.367663344408</v>
      </c>
      <c r="AI33" s="68">
        <f t="shared" si="4"/>
        <v>10230.123942319151</v>
      </c>
      <c r="AJ33" s="68">
        <f t="shared" si="4"/>
        <v>10478.89236836001</v>
      </c>
      <c r="AK33" s="68">
        <f t="shared" si="4"/>
        <v>11099.875014202931</v>
      </c>
      <c r="AL33" s="68">
        <f t="shared" si="4"/>
        <v>11585.873355078169</v>
      </c>
      <c r="AM33" s="68">
        <f t="shared" si="4"/>
        <v>12082.961641391614</v>
      </c>
      <c r="AN33" s="68">
        <f t="shared" si="4"/>
        <v>11667.031045037167</v>
      </c>
      <c r="AO33" s="68">
        <f t="shared" si="4"/>
        <v>11607.25789134636</v>
      </c>
      <c r="AP33" s="68">
        <f t="shared" si="4"/>
        <v>11288.339133185702</v>
      </c>
      <c r="AQ33" s="68">
        <f t="shared" si="4"/>
        <v>12420.996271748134</v>
      </c>
      <c r="AR33" s="68">
        <f t="shared" si="4"/>
        <v>14744.370643706437</v>
      </c>
      <c r="AS33" s="68">
        <f t="shared" si="4"/>
        <v>15260.345739271912</v>
      </c>
      <c r="AT33" s="68">
        <f t="shared" si="4"/>
        <v>15319.462000000001</v>
      </c>
      <c r="AU33" s="68">
        <f t="shared" si="4"/>
        <v>17062.143416161223</v>
      </c>
      <c r="AV33" s="68">
        <f t="shared" si="4"/>
        <v>17549.707040630103</v>
      </c>
      <c r="AW33" s="68">
        <f t="shared" si="4"/>
        <v>18144.720773679717</v>
      </c>
      <c r="AX33" s="68">
        <f t="shared" si="4"/>
        <v>16277.726856095325</v>
      </c>
      <c r="AY33" s="68">
        <f t="shared" si="4"/>
        <v>19328.364602073161</v>
      </c>
      <c r="AZ33" s="68">
        <f t="shared" si="4"/>
        <v>17031.211599901697</v>
      </c>
      <c r="BA33" s="68">
        <f t="shared" si="4"/>
        <v>16518.790393361523</v>
      </c>
      <c r="BB33" s="68">
        <f t="shared" si="4"/>
        <v>16156.165033747176</v>
      </c>
      <c r="BC33" s="68">
        <f t="shared" si="4"/>
        <v>10705.981337004743</v>
      </c>
      <c r="BD33" s="69"/>
      <c r="BE33" s="69"/>
      <c r="BF33" s="69"/>
      <c r="BG33" s="69"/>
      <c r="BH33" s="69"/>
      <c r="BI33" s="69"/>
      <c r="BJ33" s="69"/>
      <c r="BK33" s="69"/>
      <c r="BL33" s="69"/>
      <c r="BM33" s="69"/>
      <c r="BN33" s="69"/>
      <c r="BO33" s="69"/>
      <c r="BP33" s="69"/>
      <c r="BQ33" s="69"/>
      <c r="BR33" s="69"/>
    </row>
    <row r="34" spans="1:70" s="67" customFormat="1" x14ac:dyDescent="0.25">
      <c r="A34" s="67" t="str">
        <f t="shared" si="1"/>
        <v>HHS</v>
      </c>
      <c r="B34" s="67" t="str">
        <f t="shared" si="1"/>
        <v>Agency</v>
      </c>
      <c r="C34" s="67" t="s">
        <v>90</v>
      </c>
      <c r="D34" s="67" t="str">
        <f t="shared" si="2"/>
        <v>Health and Human Services</v>
      </c>
      <c r="E34" s="68">
        <f t="shared" si="3"/>
        <v>9053.5838552540026</v>
      </c>
      <c r="F34" s="68">
        <f t="shared" si="4"/>
        <v>9325.1135626216746</v>
      </c>
      <c r="G34" s="68">
        <f t="shared" si="4"/>
        <v>10331.407722712071</v>
      </c>
      <c r="H34" s="68">
        <f t="shared" si="4"/>
        <v>9929.6765119549927</v>
      </c>
      <c r="I34" s="68">
        <f t="shared" si="4"/>
        <v>9847.3479948253553</v>
      </c>
      <c r="J34" s="68">
        <f t="shared" si="4"/>
        <v>9453.3459000942512</v>
      </c>
      <c r="K34" s="68">
        <f t="shared" si="4"/>
        <v>8678.1229345670854</v>
      </c>
      <c r="L34" s="68">
        <f t="shared" si="4"/>
        <v>9227.3590880303982</v>
      </c>
      <c r="M34" s="68">
        <f t="shared" si="4"/>
        <v>9933.9718769105366</v>
      </c>
      <c r="N34" s="68">
        <f t="shared" si="4"/>
        <v>10849.930980082823</v>
      </c>
      <c r="O34" s="68">
        <f t="shared" si="4"/>
        <v>10902.217936354871</v>
      </c>
      <c r="P34" s="68">
        <f t="shared" si="4"/>
        <v>12580.26787398604</v>
      </c>
      <c r="Q34" s="68">
        <f t="shared" si="4"/>
        <v>13189.110177233693</v>
      </c>
      <c r="R34" s="68">
        <f t="shared" si="4"/>
        <v>13986.125746399719</v>
      </c>
      <c r="S34" s="68">
        <f t="shared" si="4"/>
        <v>14457.641477465268</v>
      </c>
      <c r="T34" s="68">
        <f t="shared" si="4"/>
        <v>15649.108457385899</v>
      </c>
      <c r="U34" s="68">
        <f t="shared" si="4"/>
        <v>16245.930418129588</v>
      </c>
      <c r="V34" s="68">
        <f t="shared" si="4"/>
        <v>16329.954779354437</v>
      </c>
      <c r="W34" s="68">
        <f t="shared" si="4"/>
        <v>17279.871814436137</v>
      </c>
      <c r="X34" s="68">
        <f t="shared" si="4"/>
        <v>17210.101613867304</v>
      </c>
      <c r="Y34" s="68">
        <f t="shared" si="4"/>
        <v>17648.870636550309</v>
      </c>
      <c r="Z34" s="68">
        <f t="shared" si="4"/>
        <v>18607.868568958063</v>
      </c>
      <c r="AA34" s="68">
        <f t="shared" si="4"/>
        <v>19701.110162254485</v>
      </c>
      <c r="AB34" s="68">
        <f t="shared" si="4"/>
        <v>22247.996625896245</v>
      </c>
      <c r="AC34" s="68">
        <f t="shared" si="4"/>
        <v>25040.628012670433</v>
      </c>
      <c r="AD34" s="68">
        <f t="shared" si="4"/>
        <v>28297.700685760385</v>
      </c>
      <c r="AE34" s="68">
        <f t="shared" si="4"/>
        <v>31792.427852793226</v>
      </c>
      <c r="AF34" s="68">
        <f t="shared" si="4"/>
        <v>35973.191323548512</v>
      </c>
      <c r="AG34" s="68">
        <f t="shared" si="4"/>
        <v>36161.581082794473</v>
      </c>
      <c r="AH34" s="68">
        <f t="shared" si="4"/>
        <v>35893.596653131543</v>
      </c>
      <c r="AI34" s="68">
        <f t="shared" si="4"/>
        <v>34532.256818450049</v>
      </c>
      <c r="AJ34" s="68">
        <f t="shared" si="4"/>
        <v>34355.159774513333</v>
      </c>
      <c r="AK34" s="68">
        <f t="shared" si="4"/>
        <v>33234.740370412452</v>
      </c>
      <c r="AL34" s="68">
        <f t="shared" si="4"/>
        <v>34932.417050950397</v>
      </c>
      <c r="AM34" s="68">
        <f t="shared" si="4"/>
        <v>35412.28925066904</v>
      </c>
      <c r="AN34" s="68">
        <f t="shared" si="4"/>
        <v>34087.232181897685</v>
      </c>
      <c r="AO34" s="68">
        <f t="shared" si="4"/>
        <v>33685.925488511915</v>
      </c>
      <c r="AP34" s="68">
        <f t="shared" si="4"/>
        <v>31427.046682484441</v>
      </c>
      <c r="AQ34" s="68">
        <f t="shared" si="4"/>
        <v>31761.492336371168</v>
      </c>
      <c r="AR34" s="68">
        <f t="shared" si="4"/>
        <v>30931.73245797458</v>
      </c>
      <c r="AS34" s="68">
        <f t="shared" si="4"/>
        <v>32600.634082774046</v>
      </c>
      <c r="AT34" s="68">
        <f t="shared" si="4"/>
        <v>33965</v>
      </c>
      <c r="AU34" s="68">
        <f t="shared" si="4"/>
        <v>36047.284189982391</v>
      </c>
      <c r="AV34" s="68">
        <f t="shared" si="4"/>
        <v>36940.762846028236</v>
      </c>
      <c r="AW34" s="68">
        <f t="shared" si="4"/>
        <v>42149.426377168864</v>
      </c>
      <c r="AX34" s="68">
        <f t="shared" si="4"/>
        <v>38703.02474793767</v>
      </c>
      <c r="AY34" s="68">
        <f t="shared" si="4"/>
        <v>38698.706416516747</v>
      </c>
      <c r="AZ34" s="68">
        <f t="shared" si="4"/>
        <v>39643.64708773655</v>
      </c>
      <c r="BA34" s="68">
        <f t="shared" si="4"/>
        <v>38278.943588925235</v>
      </c>
      <c r="BB34" s="68">
        <f t="shared" si="4"/>
        <v>38067.613991255464</v>
      </c>
      <c r="BC34" s="68">
        <f t="shared" si="4"/>
        <v>23762.42924889093</v>
      </c>
      <c r="BD34" s="69"/>
      <c r="BE34" s="69"/>
      <c r="BF34" s="69"/>
      <c r="BG34" s="69"/>
      <c r="BH34" s="69"/>
      <c r="BI34" s="69"/>
      <c r="BJ34" s="69"/>
      <c r="BK34" s="69"/>
      <c r="BL34" s="69"/>
      <c r="BM34" s="69"/>
      <c r="BN34" s="69"/>
      <c r="BO34" s="69"/>
      <c r="BP34" s="69"/>
      <c r="BQ34" s="69"/>
      <c r="BR34" s="69"/>
    </row>
    <row r="35" spans="1:70" s="67" customFormat="1" x14ac:dyDescent="0.25">
      <c r="A35" s="67" t="str">
        <f t="shared" si="1"/>
        <v>NIH</v>
      </c>
      <c r="B35" s="67" t="str">
        <f t="shared" si="1"/>
        <v>Agency</v>
      </c>
      <c r="C35" s="67" t="s">
        <v>90</v>
      </c>
      <c r="D35" s="67" t="str">
        <f t="shared" si="2"/>
        <v>National Insitutes of Health</v>
      </c>
      <c r="E35" s="68">
        <f t="shared" si="3"/>
        <v>7874.3910925539321</v>
      </c>
      <c r="F35" s="68">
        <f t="shared" si="4"/>
        <v>8056.7813108371211</v>
      </c>
      <c r="G35" s="68">
        <f t="shared" si="4"/>
        <v>8633.6272423228929</v>
      </c>
      <c r="H35" s="68">
        <f t="shared" si="4"/>
        <v>9063.2911392405076</v>
      </c>
      <c r="I35" s="68">
        <f t="shared" si="4"/>
        <v>8914.3596377749036</v>
      </c>
      <c r="J35" s="68">
        <f t="shared" si="4"/>
        <v>8410.9330819981151</v>
      </c>
      <c r="K35" s="68">
        <f t="shared" si="4"/>
        <v>8142.9830359109937</v>
      </c>
      <c r="L35" s="68">
        <f t="shared" si="4"/>
        <v>8556.4703398775582</v>
      </c>
      <c r="M35" s="68">
        <f t="shared" si="4"/>
        <v>9419.6046464234751</v>
      </c>
      <c r="N35" s="68">
        <f t="shared" si="4"/>
        <v>10382.961940445672</v>
      </c>
      <c r="O35" s="68">
        <f t="shared" si="4"/>
        <v>10438.379942140791</v>
      </c>
      <c r="P35" s="68">
        <f t="shared" si="4"/>
        <v>12078.664402942841</v>
      </c>
      <c r="Q35" s="68">
        <f t="shared" si="4"/>
        <v>12640.416590535355</v>
      </c>
      <c r="R35" s="68">
        <f t="shared" si="4"/>
        <v>13260.449596066033</v>
      </c>
      <c r="S35" s="68">
        <f t="shared" si="4"/>
        <v>13736.360555743819</v>
      </c>
      <c r="T35" s="68">
        <f t="shared" si="4"/>
        <v>14685.751676754458</v>
      </c>
      <c r="U35" s="68">
        <f t="shared" si="4"/>
        <v>15359.559527609317</v>
      </c>
      <c r="V35" s="68">
        <f t="shared" si="4"/>
        <v>15423.046935911429</v>
      </c>
      <c r="W35" s="68">
        <f t="shared" si="4"/>
        <v>15982.755989623074</v>
      </c>
      <c r="X35" s="68">
        <f t="shared" si="4"/>
        <v>16081.888822474597</v>
      </c>
      <c r="Y35" s="68">
        <f t="shared" si="4"/>
        <v>16756.40803754767</v>
      </c>
      <c r="Z35" s="68">
        <f t="shared" si="4"/>
        <v>17606.678195705434</v>
      </c>
      <c r="AA35" s="68">
        <f t="shared" si="4"/>
        <v>18658.593794477656</v>
      </c>
      <c r="AB35" s="68">
        <f t="shared" si="4"/>
        <v>21081.753128075354</v>
      </c>
      <c r="AC35" s="68">
        <f t="shared" si="4"/>
        <v>23735.535028784023</v>
      </c>
      <c r="AD35" s="68">
        <f t="shared" si="4"/>
        <v>26633.076509345166</v>
      </c>
      <c r="AE35" s="68">
        <f t="shared" si="4"/>
        <v>30068.700026476046</v>
      </c>
      <c r="AF35" s="68">
        <f t="shared" si="4"/>
        <v>34287.258085465641</v>
      </c>
      <c r="AG35" s="68">
        <f t="shared" si="4"/>
        <v>34547.53264866236</v>
      </c>
      <c r="AH35" s="68">
        <f t="shared" si="4"/>
        <v>34298.840900701369</v>
      </c>
      <c r="AI35" s="68">
        <f t="shared" si="4"/>
        <v>33067.592296938899</v>
      </c>
      <c r="AJ35" s="68">
        <f t="shared" si="4"/>
        <v>32881.023843174895</v>
      </c>
      <c r="AK35" s="68">
        <f t="shared" si="4"/>
        <v>32418.923985910693</v>
      </c>
      <c r="AL35" s="68">
        <f t="shared" si="4"/>
        <v>33463.515914970194</v>
      </c>
      <c r="AM35" s="68">
        <f t="shared" si="4"/>
        <v>33662.735280999099</v>
      </c>
      <c r="AN35" s="68">
        <f t="shared" si="4"/>
        <v>32609.31351114998</v>
      </c>
      <c r="AO35" s="68">
        <f t="shared" si="4"/>
        <v>32220.389735881468</v>
      </c>
      <c r="AP35" s="68">
        <f t="shared" si="4"/>
        <v>29886.394989982069</v>
      </c>
      <c r="AQ35" s="68">
        <f t="shared" si="4"/>
        <v>30292.975352112677</v>
      </c>
      <c r="AR35" s="68">
        <f t="shared" si="4"/>
        <v>29469.04283107831</v>
      </c>
      <c r="AS35" s="68">
        <f t="shared" si="4"/>
        <v>31177.001786658529</v>
      </c>
      <c r="AT35" s="68">
        <f t="shared" si="4"/>
        <v>32542</v>
      </c>
      <c r="AU35" s="68">
        <f t="shared" si="4"/>
        <v>34610.187731363731</v>
      </c>
      <c r="AV35" s="68">
        <f t="shared" si="4"/>
        <v>35629.649600422628</v>
      </c>
      <c r="AW35" s="68">
        <f t="shared" si="4"/>
        <v>40880.819190291077</v>
      </c>
      <c r="AX35" s="68">
        <f t="shared" si="4"/>
        <v>37373.96883593034</v>
      </c>
      <c r="AY35" s="68">
        <f t="shared" si="4"/>
        <v>37452.240212456098</v>
      </c>
      <c r="AZ35" s="68">
        <f t="shared" si="4"/>
        <v>38306.709265175719</v>
      </c>
      <c r="BA35" s="68">
        <f t="shared" si="4"/>
        <v>36709.486954440275</v>
      </c>
      <c r="BB35" s="68">
        <f t="shared" si="4"/>
        <v>35626.171143035601</v>
      </c>
      <c r="BC35" s="68">
        <f t="shared" si="4"/>
        <v>21059.354443934528</v>
      </c>
      <c r="BD35" s="69"/>
      <c r="BE35" s="69"/>
      <c r="BF35" s="69"/>
      <c r="BG35" s="69"/>
      <c r="BH35" s="69"/>
      <c r="BI35" s="69"/>
      <c r="BJ35" s="69"/>
      <c r="BK35" s="69"/>
      <c r="BL35" s="69"/>
      <c r="BM35" s="69"/>
      <c r="BN35" s="69"/>
      <c r="BO35" s="69"/>
      <c r="BP35" s="69"/>
      <c r="BQ35" s="69"/>
      <c r="BR35" s="69"/>
    </row>
    <row r="36" spans="1:70" s="67" customFormat="1" x14ac:dyDescent="0.25">
      <c r="A36" s="67" t="str">
        <f t="shared" si="1"/>
        <v>NSF</v>
      </c>
      <c r="B36" s="67" t="str">
        <f t="shared" si="1"/>
        <v>Agency</v>
      </c>
      <c r="C36" s="67" t="s">
        <v>90</v>
      </c>
      <c r="D36" s="67" t="str">
        <f t="shared" si="2"/>
        <v>National Science Foundation</v>
      </c>
      <c r="E36" s="68">
        <f t="shared" si="3"/>
        <v>2327.7661795407098</v>
      </c>
      <c r="F36" s="68">
        <f t="shared" si="4"/>
        <v>2349.1239454899419</v>
      </c>
      <c r="G36" s="68">
        <f t="shared" si="4"/>
        <v>2398.9054423837028</v>
      </c>
      <c r="H36" s="68">
        <f t="shared" si="4"/>
        <v>2357.2433192686358</v>
      </c>
      <c r="I36" s="68">
        <f t="shared" si="4"/>
        <v>2359.6377749029753</v>
      </c>
      <c r="J36" s="68">
        <f t="shared" si="4"/>
        <v>2254.9481621112159</v>
      </c>
      <c r="K36" s="68">
        <f t="shared" si="4"/>
        <v>2145.8471028860981</v>
      </c>
      <c r="L36" s="68">
        <f t="shared" si="4"/>
        <v>2235.5921469284358</v>
      </c>
      <c r="M36" s="68">
        <f t="shared" si="4"/>
        <v>2543.3054819645404</v>
      </c>
      <c r="N36" s="68">
        <f t="shared" si="4"/>
        <v>2798.6590416091503</v>
      </c>
      <c r="O36" s="68">
        <f t="shared" si="4"/>
        <v>2700.0964320154294</v>
      </c>
      <c r="P36" s="68">
        <f t="shared" si="4"/>
        <v>2880.5885681946802</v>
      </c>
      <c r="Q36" s="68">
        <f t="shared" si="4"/>
        <v>2899.8720993970396</v>
      </c>
      <c r="R36" s="68">
        <f t="shared" si="4"/>
        <v>3094.134176325957</v>
      </c>
      <c r="S36" s="68">
        <f t="shared" si="4"/>
        <v>2929.1765503219249</v>
      </c>
      <c r="T36" s="68">
        <f t="shared" si="4"/>
        <v>3097.3335514477349</v>
      </c>
      <c r="U36" s="68">
        <f t="shared" si="4"/>
        <v>3146.6645387807212</v>
      </c>
      <c r="V36" s="68">
        <f t="shared" si="4"/>
        <v>3139.7162014657729</v>
      </c>
      <c r="W36" s="68">
        <f t="shared" si="4"/>
        <v>3422.4019533038299</v>
      </c>
      <c r="X36" s="68">
        <f t="shared" si="4"/>
        <v>3580.3945008965929</v>
      </c>
      <c r="Y36" s="68">
        <f t="shared" si="4"/>
        <v>3507.0710802988592</v>
      </c>
      <c r="Z36" s="68">
        <f t="shared" si="4"/>
        <v>3493.8910505836579</v>
      </c>
      <c r="AA36" s="68">
        <f t="shared" si="4"/>
        <v>3559.3253629376604</v>
      </c>
      <c r="AB36" s="68">
        <f t="shared" si="4"/>
        <v>3753.3702452166535</v>
      </c>
      <c r="AC36" s="68">
        <f t="shared" si="4"/>
        <v>4036.7497589863656</v>
      </c>
      <c r="AD36" s="68">
        <f t="shared" si="4"/>
        <v>4464.7529243014287</v>
      </c>
      <c r="AE36" s="68">
        <f t="shared" si="4"/>
        <v>4667.0562228141825</v>
      </c>
      <c r="AF36" s="68">
        <f t="shared" si="4"/>
        <v>5099.7572531597725</v>
      </c>
      <c r="AG36" s="68">
        <f t="shared" si="4"/>
        <v>5227.7218705040086</v>
      </c>
      <c r="AH36" s="68">
        <f t="shared" si="4"/>
        <v>5047.8179576320372</v>
      </c>
      <c r="AI36" s="68">
        <f t="shared" si="4"/>
        <v>4985.0536187768612</v>
      </c>
      <c r="AJ36" s="68">
        <f t="shared" si="4"/>
        <v>5149.5820514965235</v>
      </c>
      <c r="AK36" s="68">
        <f t="shared" si="4"/>
        <v>5120.2704238154756</v>
      </c>
      <c r="AL36" s="68">
        <f t="shared" si="4"/>
        <v>5361.769204813857</v>
      </c>
      <c r="AM36" s="68">
        <f t="shared" si="4"/>
        <v>6012.4662867949646</v>
      </c>
      <c r="AN36" s="68">
        <f t="shared" si="4"/>
        <v>6005.9750996052571</v>
      </c>
      <c r="AO36" s="68">
        <f t="shared" si="4"/>
        <v>6125.5636675971646</v>
      </c>
      <c r="AP36" s="68">
        <f t="shared" si="4"/>
        <v>5619.2976906042386</v>
      </c>
      <c r="AQ36" s="68">
        <f t="shared" si="4"/>
        <v>6006.8247721623866</v>
      </c>
      <c r="AR36" s="68">
        <f t="shared" si="4"/>
        <v>6139.5448954489548</v>
      </c>
      <c r="AS36" s="68">
        <f t="shared" si="4"/>
        <v>6123.9373601789712</v>
      </c>
      <c r="AT36" s="68">
        <f t="shared" si="4"/>
        <v>5946.4799999999987</v>
      </c>
      <c r="AU36" s="68">
        <f t="shared" si="4"/>
        <v>6219.9471727646251</v>
      </c>
      <c r="AV36" s="68">
        <f t="shared" si="4"/>
        <v>6385.8130823167812</v>
      </c>
      <c r="AW36" s="68">
        <f t="shared" si="4"/>
        <v>6386.5234862994221</v>
      </c>
      <c r="AX36" s="68">
        <f t="shared" si="4"/>
        <v>6888.2493125572873</v>
      </c>
      <c r="AY36" s="68">
        <f t="shared" si="4"/>
        <v>6104.6860275850249</v>
      </c>
      <c r="AZ36" s="68">
        <f t="shared" si="4"/>
        <v>6543.7863520930623</v>
      </c>
      <c r="BA36" s="68">
        <f t="shared" si="4"/>
        <v>5786.3241043644775</v>
      </c>
      <c r="BB36" s="68">
        <f t="shared" si="4"/>
        <v>5482.5109306683325</v>
      </c>
      <c r="BC36" s="68">
        <f t="shared" si="4"/>
        <v>2399.4186935903322</v>
      </c>
      <c r="BD36" s="69"/>
      <c r="BE36" s="69"/>
      <c r="BF36" s="69"/>
      <c r="BG36" s="69"/>
      <c r="BH36" s="69"/>
      <c r="BI36" s="69"/>
      <c r="BJ36" s="69"/>
      <c r="BK36" s="69"/>
      <c r="BL36" s="69"/>
      <c r="BM36" s="69"/>
      <c r="BN36" s="69"/>
      <c r="BO36" s="69"/>
      <c r="BP36" s="69"/>
      <c r="BQ36" s="69"/>
      <c r="BR36" s="69"/>
    </row>
    <row r="37" spans="1:70" s="67" customFormat="1" x14ac:dyDescent="0.25">
      <c r="A37" s="67" t="str">
        <f>A12</f>
        <v>USDA</v>
      </c>
      <c r="B37" s="67" t="str">
        <f>B12</f>
        <v>Agency</v>
      </c>
      <c r="C37" s="67" t="s">
        <v>90</v>
      </c>
      <c r="D37" s="67" t="str">
        <f t="shared" si="2"/>
        <v>U.S. Department of Agriculture</v>
      </c>
      <c r="E37" s="68">
        <f t="shared" si="3"/>
        <v>1802.3660403618651</v>
      </c>
      <c r="F37" s="68">
        <f t="shared" si="4"/>
        <v>1761.8429591174563</v>
      </c>
      <c r="G37" s="68">
        <f t="shared" si="4"/>
        <v>1924.5971419884461</v>
      </c>
      <c r="H37" s="68">
        <f t="shared" si="4"/>
        <v>2014.0646976090015</v>
      </c>
      <c r="I37" s="68">
        <f t="shared" si="4"/>
        <v>1849.9353169469598</v>
      </c>
      <c r="J37" s="68">
        <f t="shared" si="4"/>
        <v>1925.0706880301602</v>
      </c>
      <c r="K37" s="68">
        <f t="shared" si="4"/>
        <v>1828.5966071821986</v>
      </c>
      <c r="L37" s="68">
        <f t="shared" si="4"/>
        <v>1868.2710576314123</v>
      </c>
      <c r="M37" s="68">
        <f t="shared" si="4"/>
        <v>1989.60668432851</v>
      </c>
      <c r="N37" s="68">
        <f t="shared" si="4"/>
        <v>1975.9416288700454</v>
      </c>
      <c r="O37" s="68">
        <f t="shared" si="4"/>
        <v>1851.3018322082933</v>
      </c>
      <c r="P37" s="68">
        <f t="shared" si="4"/>
        <v>2059.9886813808716</v>
      </c>
      <c r="Q37" s="68">
        <f t="shared" si="4"/>
        <v>2041.1109080942808</v>
      </c>
      <c r="R37" s="68">
        <f t="shared" si="4"/>
        <v>2000.3512469265893</v>
      </c>
      <c r="S37" s="68">
        <f t="shared" si="4"/>
        <v>2072.6872246696034</v>
      </c>
      <c r="T37" s="68">
        <f t="shared" si="4"/>
        <v>2275.6420742679534</v>
      </c>
      <c r="U37" s="68">
        <f t="shared" si="4"/>
        <v>2424.5132460900095</v>
      </c>
      <c r="V37" s="68">
        <f t="shared" si="4"/>
        <v>2287.3849992203341</v>
      </c>
      <c r="W37" s="68">
        <f t="shared" si="4"/>
        <v>2332.2142530138867</v>
      </c>
      <c r="X37" s="68">
        <f t="shared" si="4"/>
        <v>2222.0561864913329</v>
      </c>
      <c r="Y37" s="68">
        <f t="shared" si="4"/>
        <v>2181.8480492813142</v>
      </c>
      <c r="Z37" s="68">
        <f t="shared" si="4"/>
        <v>2242.9528750540426</v>
      </c>
      <c r="AA37" s="68">
        <f t="shared" si="4"/>
        <v>2221.7862226017651</v>
      </c>
      <c r="AB37" s="68">
        <f t="shared" si="4"/>
        <v>2312.6669478419794</v>
      </c>
      <c r="AC37" s="68">
        <f t="shared" si="4"/>
        <v>2445.4000826332463</v>
      </c>
      <c r="AD37" s="68">
        <f t="shared" si="4"/>
        <v>2932.6811886513374</v>
      </c>
      <c r="AE37" s="68">
        <f t="shared" ref="F37:BC42" si="5">AE12/AE$22</f>
        <v>2795.8697378872121</v>
      </c>
      <c r="AF37" s="68">
        <f t="shared" si="5"/>
        <v>3042.6912586050139</v>
      </c>
      <c r="AG37" s="68">
        <f t="shared" si="5"/>
        <v>2817.9168251553192</v>
      </c>
      <c r="AH37" s="68">
        <f t="shared" si="5"/>
        <v>2975.8287190845331</v>
      </c>
      <c r="AI37" s="68">
        <f t="shared" si="5"/>
        <v>2905.7454415445122</v>
      </c>
      <c r="AJ37" s="68">
        <f t="shared" si="5"/>
        <v>2638.5989329621898</v>
      </c>
      <c r="AK37" s="68">
        <f t="shared" si="5"/>
        <v>2649.6988978525169</v>
      </c>
      <c r="AL37" s="68">
        <f t="shared" si="5"/>
        <v>2740.9740186705658</v>
      </c>
      <c r="AM37" s="68">
        <f t="shared" si="5"/>
        <v>2911.4629794826046</v>
      </c>
      <c r="AN37" s="68">
        <f t="shared" si="5"/>
        <v>2585.264538696983</v>
      </c>
      <c r="AO37" s="68">
        <f t="shared" si="5"/>
        <v>2502.6841314150743</v>
      </c>
      <c r="AP37" s="68">
        <f t="shared" si="5"/>
        <v>2231.3613835284191</v>
      </c>
      <c r="AQ37" s="68">
        <f t="shared" si="5"/>
        <v>2464.788732394366</v>
      </c>
      <c r="AR37" s="68">
        <f t="shared" si="5"/>
        <v>2515.7574825748256</v>
      </c>
      <c r="AS37" s="68">
        <f t="shared" si="5"/>
        <v>2702.2300183038437</v>
      </c>
      <c r="AT37" s="68">
        <f t="shared" si="5"/>
        <v>2584.357</v>
      </c>
      <c r="AU37" s="68">
        <f t="shared" si="5"/>
        <v>2560.9049109763255</v>
      </c>
      <c r="AV37" s="68">
        <f t="shared" si="5"/>
        <v>2905.5393333973689</v>
      </c>
      <c r="AW37" s="68">
        <f t="shared" si="5"/>
        <v>2833.4663885465061</v>
      </c>
      <c r="AX37" s="68">
        <f t="shared" si="5"/>
        <v>3757.1035747021083</v>
      </c>
      <c r="AY37" s="68">
        <f t="shared" si="5"/>
        <v>3213.3984408463975</v>
      </c>
      <c r="AZ37" s="68">
        <f t="shared" si="5"/>
        <v>2769.7222904890641</v>
      </c>
      <c r="BA37" s="68">
        <f t="shared" si="5"/>
        <v>2616.2929865155988</v>
      </c>
      <c r="BB37" s="68">
        <f t="shared" si="5"/>
        <v>2605.4028732042475</v>
      </c>
      <c r="BC37" s="68">
        <f t="shared" si="5"/>
        <v>1906.8379990821479</v>
      </c>
      <c r="BD37" s="69"/>
      <c r="BE37" s="69"/>
      <c r="BF37" s="69"/>
      <c r="BG37" s="69"/>
      <c r="BH37" s="69"/>
      <c r="BI37" s="69"/>
      <c r="BJ37" s="69"/>
      <c r="BK37" s="69"/>
      <c r="BL37" s="69"/>
      <c r="BM37" s="69"/>
      <c r="BN37" s="69"/>
      <c r="BO37" s="69"/>
      <c r="BP37" s="69"/>
      <c r="BQ37" s="69"/>
      <c r="BR37" s="69"/>
    </row>
    <row r="38" spans="1:70" s="67" customFormat="1" x14ac:dyDescent="0.25">
      <c r="A38" s="67" t="str">
        <f t="shared" si="1"/>
        <v>Interior</v>
      </c>
      <c r="B38" s="67" t="str">
        <f t="shared" si="1"/>
        <v>Agency</v>
      </c>
      <c r="C38" s="67" t="s">
        <v>90</v>
      </c>
      <c r="D38" s="67" t="str">
        <f t="shared" si="2"/>
        <v>Department of the Interior</v>
      </c>
      <c r="E38" s="68">
        <f t="shared" si="3"/>
        <v>1130.8281141266527</v>
      </c>
      <c r="F38" s="68">
        <f t="shared" si="5"/>
        <v>1060.9993510707334</v>
      </c>
      <c r="G38" s="68">
        <f t="shared" si="5"/>
        <v>1103.6789297658861</v>
      </c>
      <c r="H38" s="68">
        <f t="shared" si="5"/>
        <v>1153.3052039381155</v>
      </c>
      <c r="I38" s="68">
        <f t="shared" si="5"/>
        <v>1060.8020698576972</v>
      </c>
      <c r="J38" s="68">
        <f t="shared" si="5"/>
        <v>970.78228086710646</v>
      </c>
      <c r="K38" s="68">
        <f t="shared" si="5"/>
        <v>848.2044503194536</v>
      </c>
      <c r="L38" s="68">
        <f t="shared" si="5"/>
        <v>818.02828794595735</v>
      </c>
      <c r="M38" s="68">
        <f t="shared" si="5"/>
        <v>741.18606072956993</v>
      </c>
      <c r="N38" s="68">
        <f t="shared" si="5"/>
        <v>766.51548018142375</v>
      </c>
      <c r="O38" s="68">
        <f t="shared" si="5"/>
        <v>739.24783027965293</v>
      </c>
      <c r="P38" s="68">
        <f t="shared" si="5"/>
        <v>769.85474438785138</v>
      </c>
      <c r="Q38" s="68">
        <f t="shared" si="5"/>
        <v>777.63566599671117</v>
      </c>
      <c r="R38" s="68">
        <f t="shared" si="5"/>
        <v>842.29012996136282</v>
      </c>
      <c r="S38" s="68">
        <f t="shared" si="5"/>
        <v>899.35615045747204</v>
      </c>
      <c r="T38" s="68">
        <f t="shared" si="5"/>
        <v>1014.2319646654671</v>
      </c>
      <c r="U38" s="68">
        <f t="shared" si="5"/>
        <v>1026.0134056814554</v>
      </c>
      <c r="V38" s="68">
        <f t="shared" si="5"/>
        <v>1012.1627943240294</v>
      </c>
      <c r="W38" s="68">
        <f t="shared" si="5"/>
        <v>1079.8107736914392</v>
      </c>
      <c r="X38" s="68">
        <f t="shared" si="5"/>
        <v>998.20681410639565</v>
      </c>
      <c r="Y38" s="68">
        <f t="shared" si="5"/>
        <v>837.57993546494583</v>
      </c>
      <c r="Z38" s="68">
        <f t="shared" si="5"/>
        <v>852.03199308257683</v>
      </c>
      <c r="AA38" s="68">
        <f t="shared" si="5"/>
        <v>762.31141474523201</v>
      </c>
      <c r="AB38" s="68">
        <f t="shared" si="5"/>
        <v>701.53240545480105</v>
      </c>
      <c r="AC38" s="68">
        <f t="shared" si="5"/>
        <v>851.29871918468541</v>
      </c>
      <c r="AD38" s="68">
        <f t="shared" si="5"/>
        <v>835.21850208417356</v>
      </c>
      <c r="AE38" s="68">
        <f t="shared" si="5"/>
        <v>824.72729679639929</v>
      </c>
      <c r="AF38" s="68">
        <f t="shared" si="5"/>
        <v>835.48772567865944</v>
      </c>
      <c r="AG38" s="68">
        <f t="shared" si="5"/>
        <v>794.63674400912896</v>
      </c>
      <c r="AH38" s="68">
        <f t="shared" si="5"/>
        <v>764.38538205980069</v>
      </c>
      <c r="AI38" s="68">
        <f t="shared" si="5"/>
        <v>762.11416994398769</v>
      </c>
      <c r="AJ38" s="68">
        <f t="shared" si="5"/>
        <v>750.22732544653218</v>
      </c>
      <c r="AK38" s="68">
        <f t="shared" si="5"/>
        <v>776.49017157141236</v>
      </c>
      <c r="AL38" s="68">
        <f t="shared" si="5"/>
        <v>789.30941401417158</v>
      </c>
      <c r="AM38" s="68">
        <f t="shared" si="5"/>
        <v>865.36574487065127</v>
      </c>
      <c r="AN38" s="68">
        <f t="shared" si="5"/>
        <v>827.46501967643212</v>
      </c>
      <c r="AO38" s="68">
        <f t="shared" si="5"/>
        <v>880.3951041442989</v>
      </c>
      <c r="AP38" s="68">
        <f t="shared" si="5"/>
        <v>828.15881050300527</v>
      </c>
      <c r="AQ38" s="68">
        <f t="shared" si="5"/>
        <v>870.40700082850049</v>
      </c>
      <c r="AR38" s="68">
        <f t="shared" si="5"/>
        <v>885.44997949979495</v>
      </c>
      <c r="AS38" s="68">
        <f t="shared" si="5"/>
        <v>989.33699410209476</v>
      </c>
      <c r="AT38" s="68">
        <f t="shared" si="5"/>
        <v>940.577</v>
      </c>
      <c r="AU38" s="68">
        <f t="shared" si="5"/>
        <v>853.53453335942095</v>
      </c>
      <c r="AV38" s="68">
        <f t="shared" si="5"/>
        <v>920.36788012678915</v>
      </c>
      <c r="AW38" s="68">
        <f t="shared" si="5"/>
        <v>988.73139281312228</v>
      </c>
      <c r="AX38" s="68">
        <f t="shared" si="5"/>
        <v>924.83959670027502</v>
      </c>
      <c r="AY38" s="68">
        <f t="shared" si="5"/>
        <v>976.61269596504758</v>
      </c>
      <c r="AZ38" s="68">
        <f t="shared" si="5"/>
        <v>1061.6859179159499</v>
      </c>
      <c r="BA38" s="68">
        <f t="shared" si="5"/>
        <v>561.71706694326974</v>
      </c>
      <c r="BB38" s="68">
        <f t="shared" si="5"/>
        <v>500.46845721424114</v>
      </c>
      <c r="BC38" s="68">
        <f t="shared" si="5"/>
        <v>270.76640660853604</v>
      </c>
      <c r="BD38" s="69"/>
      <c r="BE38" s="69"/>
      <c r="BF38" s="69"/>
      <c r="BG38" s="69"/>
      <c r="BH38" s="69"/>
      <c r="BI38" s="69"/>
      <c r="BJ38" s="69"/>
      <c r="BK38" s="69"/>
      <c r="BL38" s="69"/>
      <c r="BM38" s="69"/>
      <c r="BN38" s="69"/>
      <c r="BO38" s="69"/>
      <c r="BP38" s="69"/>
      <c r="BQ38" s="69"/>
      <c r="BR38" s="69"/>
    </row>
    <row r="39" spans="1:70" s="67" customFormat="1" x14ac:dyDescent="0.25">
      <c r="A39" s="67" t="str">
        <f t="shared" si="1"/>
        <v>DOT</v>
      </c>
      <c r="B39" s="67" t="str">
        <f t="shared" si="1"/>
        <v>Agency</v>
      </c>
      <c r="C39" s="67" t="s">
        <v>90</v>
      </c>
      <c r="D39" s="67" t="str">
        <f t="shared" si="2"/>
        <v>Department of Transportation</v>
      </c>
      <c r="E39" s="68">
        <f t="shared" si="3"/>
        <v>1120.3897007654837</v>
      </c>
      <c r="F39" s="68">
        <f t="shared" si="5"/>
        <v>1073.9779364049321</v>
      </c>
      <c r="G39" s="68">
        <f t="shared" si="5"/>
        <v>1134.0833079963513</v>
      </c>
      <c r="H39" s="68">
        <f t="shared" si="5"/>
        <v>984.52883263009846</v>
      </c>
      <c r="I39" s="68">
        <f t="shared" si="5"/>
        <v>1027.1668822768434</v>
      </c>
      <c r="J39" s="68">
        <f t="shared" si="5"/>
        <v>959.00094250706877</v>
      </c>
      <c r="K39" s="68">
        <f t="shared" si="5"/>
        <v>687.3760740251156</v>
      </c>
      <c r="L39" s="68">
        <f t="shared" si="5"/>
        <v>784.04053198226723</v>
      </c>
      <c r="M39" s="68">
        <f t="shared" si="5"/>
        <v>996.53556144283675</v>
      </c>
      <c r="N39" s="68">
        <f t="shared" si="5"/>
        <v>865.90416091500697</v>
      </c>
      <c r="O39" s="68">
        <f t="shared" si="5"/>
        <v>730.56894889103194</v>
      </c>
      <c r="P39" s="68">
        <f t="shared" si="5"/>
        <v>582.34295415959252</v>
      </c>
      <c r="Q39" s="68">
        <f t="shared" si="5"/>
        <v>574.45642243741997</v>
      </c>
      <c r="R39" s="68">
        <f t="shared" si="5"/>
        <v>573.05936073059365</v>
      </c>
      <c r="S39" s="68">
        <f t="shared" si="5"/>
        <v>599.28837682141648</v>
      </c>
      <c r="T39" s="68">
        <f t="shared" si="5"/>
        <v>672.50122689350576</v>
      </c>
      <c r="U39" s="68">
        <f t="shared" si="5"/>
        <v>991.22247047558244</v>
      </c>
      <c r="V39" s="68">
        <f t="shared" si="5"/>
        <v>968.3455481054109</v>
      </c>
      <c r="W39" s="68">
        <f t="shared" si="5"/>
        <v>977.8727300473065</v>
      </c>
      <c r="X39" s="68">
        <f t="shared" si="5"/>
        <v>995.21817095038853</v>
      </c>
      <c r="Y39" s="68">
        <f t="shared" si="5"/>
        <v>881.4901730712819</v>
      </c>
      <c r="Z39" s="68">
        <f t="shared" si="5"/>
        <v>881.97146562905323</v>
      </c>
      <c r="AA39" s="68">
        <f t="shared" si="5"/>
        <v>839.10760034158841</v>
      </c>
      <c r="AB39" s="68">
        <f t="shared" si="5"/>
        <v>853.56530296639949</v>
      </c>
      <c r="AC39" s="68">
        <f t="shared" si="5"/>
        <v>836.19749345820139</v>
      </c>
      <c r="AD39" s="68">
        <f t="shared" si="5"/>
        <v>966.02796826677411</v>
      </c>
      <c r="AE39" s="68">
        <f t="shared" si="5"/>
        <v>1029.9179242785281</v>
      </c>
      <c r="AF39" s="68">
        <f t="shared" si="5"/>
        <v>908.68164696713848</v>
      </c>
      <c r="AG39" s="68">
        <f t="shared" si="5"/>
        <v>842.72854063649038</v>
      </c>
      <c r="AH39" s="68">
        <f t="shared" si="5"/>
        <v>869.61240310077528</v>
      </c>
      <c r="AI39" s="68">
        <f t="shared" si="5"/>
        <v>974.23906566559424</v>
      </c>
      <c r="AJ39" s="68">
        <f t="shared" si="5"/>
        <v>889.57086522848522</v>
      </c>
      <c r="AK39" s="68">
        <f t="shared" si="5"/>
        <v>994.20520395409608</v>
      </c>
      <c r="AL39" s="68">
        <f t="shared" si="5"/>
        <v>1040.2935552806211</v>
      </c>
      <c r="AM39" s="68">
        <f t="shared" si="5"/>
        <v>1196.7409796107295</v>
      </c>
      <c r="AN39" s="68">
        <f t="shared" si="5"/>
        <v>1042.7743769129866</v>
      </c>
      <c r="AO39" s="68">
        <f t="shared" si="5"/>
        <v>987.15374704745545</v>
      </c>
      <c r="AP39" s="68">
        <f t="shared" si="5"/>
        <v>862.62680586312354</v>
      </c>
      <c r="AQ39" s="68">
        <f t="shared" si="5"/>
        <v>825.40700082850037</v>
      </c>
      <c r="AR39" s="68">
        <f t="shared" si="5"/>
        <v>908.67876178761787</v>
      </c>
      <c r="AS39" s="68">
        <f t="shared" si="5"/>
        <v>896.15415904006522</v>
      </c>
      <c r="AT39" s="68">
        <f t="shared" si="5"/>
        <v>921.22</v>
      </c>
      <c r="AU39" s="68">
        <f t="shared" si="5"/>
        <v>989.41498728233228</v>
      </c>
      <c r="AV39" s="68">
        <f t="shared" si="5"/>
        <v>992.10834694073583</v>
      </c>
      <c r="AW39" s="68">
        <f t="shared" si="5"/>
        <v>1037.9510761353938</v>
      </c>
      <c r="AX39" s="68">
        <f t="shared" si="5"/>
        <v>981.58478460128333</v>
      </c>
      <c r="AY39" s="68">
        <f t="shared" si="5"/>
        <v>1331.2773066049858</v>
      </c>
      <c r="AZ39" s="68">
        <f t="shared" si="5"/>
        <v>1155.8941590890474</v>
      </c>
      <c r="BA39" s="68">
        <f t="shared" si="5"/>
        <v>1142.5835793505146</v>
      </c>
      <c r="BB39" s="68">
        <f t="shared" si="5"/>
        <v>1146.1586508432231</v>
      </c>
      <c r="BC39" s="68">
        <f t="shared" si="5"/>
        <v>1084.595380143797</v>
      </c>
      <c r="BD39" s="69"/>
      <c r="BE39" s="69"/>
      <c r="BF39" s="69"/>
      <c r="BG39" s="69"/>
      <c r="BH39" s="69"/>
      <c r="BI39" s="69"/>
      <c r="BJ39" s="69"/>
      <c r="BK39" s="69"/>
      <c r="BL39" s="69"/>
      <c r="BM39" s="69"/>
      <c r="BN39" s="69"/>
      <c r="BO39" s="69"/>
      <c r="BP39" s="69"/>
      <c r="BQ39" s="69"/>
      <c r="BR39" s="69"/>
    </row>
    <row r="40" spans="1:70" s="67" customFormat="1" x14ac:dyDescent="0.25">
      <c r="A40" s="67" t="str">
        <f t="shared" si="1"/>
        <v>EPA</v>
      </c>
      <c r="B40" s="67" t="str">
        <f t="shared" si="1"/>
        <v>Agency</v>
      </c>
      <c r="C40" s="67" t="s">
        <v>90</v>
      </c>
      <c r="D40" s="67" t="str">
        <f t="shared" si="2"/>
        <v>Environmental Protection Agency</v>
      </c>
      <c r="E40" s="68">
        <f t="shared" si="3"/>
        <v>949.89561586638831</v>
      </c>
      <c r="F40" s="68">
        <f t="shared" si="5"/>
        <v>947.43672939649582</v>
      </c>
      <c r="G40" s="68">
        <f t="shared" si="5"/>
        <v>1152.3259349346306</v>
      </c>
      <c r="H40" s="68">
        <f t="shared" si="5"/>
        <v>1080.168776371308</v>
      </c>
      <c r="I40" s="68">
        <f t="shared" si="5"/>
        <v>884.86416558861572</v>
      </c>
      <c r="J40" s="68">
        <f t="shared" si="5"/>
        <v>883.60037700282749</v>
      </c>
      <c r="K40" s="68">
        <f t="shared" si="5"/>
        <v>627.89160608063446</v>
      </c>
      <c r="L40" s="68">
        <f t="shared" si="5"/>
        <v>490.39476461895714</v>
      </c>
      <c r="M40" s="68">
        <f t="shared" si="5"/>
        <v>507.03077236600774</v>
      </c>
      <c r="N40" s="68">
        <f t="shared" si="5"/>
        <v>602.44527706566748</v>
      </c>
      <c r="O40" s="68">
        <f t="shared" si="5"/>
        <v>624.10800385728066</v>
      </c>
      <c r="P40" s="68">
        <f t="shared" si="5"/>
        <v>650.25466893039049</v>
      </c>
      <c r="Q40" s="68">
        <f t="shared" si="5"/>
        <v>683.17193495340757</v>
      </c>
      <c r="R40" s="68">
        <f t="shared" si="5"/>
        <v>697.75201966982786</v>
      </c>
      <c r="S40" s="68">
        <f t="shared" si="5"/>
        <v>718.7394103693664</v>
      </c>
      <c r="T40" s="68">
        <f t="shared" si="5"/>
        <v>750.69523965319809</v>
      </c>
      <c r="U40" s="68">
        <f t="shared" si="5"/>
        <v>785.98787105011161</v>
      </c>
      <c r="V40" s="68">
        <f t="shared" si="5"/>
        <v>774.52050522376419</v>
      </c>
      <c r="W40" s="68">
        <f t="shared" si="5"/>
        <v>897.45154890889671</v>
      </c>
      <c r="X40" s="68">
        <f t="shared" si="5"/>
        <v>827.85415421398682</v>
      </c>
      <c r="Y40" s="68">
        <f t="shared" si="5"/>
        <v>707.68084482252868</v>
      </c>
      <c r="Z40" s="68">
        <f t="shared" si="5"/>
        <v>857.47225825046837</v>
      </c>
      <c r="AA40" s="68">
        <f t="shared" si="5"/>
        <v>906.77483632223175</v>
      </c>
      <c r="AB40" s="68">
        <f t="shared" si="5"/>
        <v>940.25024602839858</v>
      </c>
      <c r="AC40" s="68">
        <f t="shared" si="5"/>
        <v>768.21374466326949</v>
      </c>
      <c r="AD40" s="68">
        <f t="shared" si="5"/>
        <v>771.14427860696514</v>
      </c>
      <c r="AE40" s="68">
        <f t="shared" si="5"/>
        <v>783.49483717235898</v>
      </c>
      <c r="AF40" s="68">
        <f t="shared" si="5"/>
        <v>736.58916742434087</v>
      </c>
      <c r="AG40" s="68">
        <f t="shared" si="5"/>
        <v>839.22911119563844</v>
      </c>
      <c r="AH40" s="68">
        <f t="shared" si="5"/>
        <v>788.60588162913746</v>
      </c>
      <c r="AI40" s="68">
        <f t="shared" si="5"/>
        <v>740.67453223692053</v>
      </c>
      <c r="AJ40" s="68">
        <f t="shared" si="5"/>
        <v>645.44189283228957</v>
      </c>
      <c r="AK40" s="68">
        <f t="shared" si="5"/>
        <v>622.20202249744352</v>
      </c>
      <c r="AL40" s="68">
        <f t="shared" si="5"/>
        <v>632.88718929254298</v>
      </c>
      <c r="AM40" s="68">
        <f t="shared" si="5"/>
        <v>665.25423728813541</v>
      </c>
      <c r="AN40" s="68">
        <f t="shared" si="5"/>
        <v>635.9179588599751</v>
      </c>
      <c r="AO40" s="68">
        <f t="shared" si="5"/>
        <v>609.8346575048314</v>
      </c>
      <c r="AP40" s="68">
        <f t="shared" si="5"/>
        <v>558.5046926078245</v>
      </c>
      <c r="AQ40" s="68">
        <f t="shared" si="5"/>
        <v>557.16652858326427</v>
      </c>
      <c r="AR40" s="68">
        <f t="shared" si="5"/>
        <v>533.62033620336206</v>
      </c>
      <c r="AS40" s="68">
        <f t="shared" si="5"/>
        <v>521.96461256863938</v>
      </c>
      <c r="AT40" s="68">
        <f t="shared" si="5"/>
        <v>498.5</v>
      </c>
      <c r="AU40" s="68">
        <f t="shared" si="5"/>
        <v>481.49481510467615</v>
      </c>
      <c r="AV40" s="68">
        <f t="shared" si="5"/>
        <v>470.65603688406497</v>
      </c>
      <c r="AW40" s="68">
        <f t="shared" si="5"/>
        <v>493.22082108656497</v>
      </c>
      <c r="AX40" s="68">
        <f t="shared" si="5"/>
        <v>482.20439963336395</v>
      </c>
      <c r="AY40" s="68">
        <f t="shared" si="5"/>
        <v>451.46920243296495</v>
      </c>
      <c r="AZ40" s="68">
        <f t="shared" si="5"/>
        <v>465.30679118538546</v>
      </c>
      <c r="BA40" s="68">
        <f t="shared" si="5"/>
        <v>428.70821032474259</v>
      </c>
      <c r="BB40" s="68">
        <f t="shared" si="5"/>
        <v>417.55153029356649</v>
      </c>
      <c r="BC40" s="68">
        <f t="shared" si="5"/>
        <v>231.5282239559431</v>
      </c>
      <c r="BD40" s="69"/>
      <c r="BE40" s="69"/>
      <c r="BF40" s="69"/>
      <c r="BG40" s="69"/>
      <c r="BH40" s="69"/>
      <c r="BI40" s="69"/>
      <c r="BJ40" s="69"/>
      <c r="BK40" s="69"/>
      <c r="BL40" s="69"/>
      <c r="BM40" s="69"/>
      <c r="BN40" s="69"/>
      <c r="BO40" s="69"/>
      <c r="BP40" s="69"/>
      <c r="BQ40" s="69"/>
      <c r="BR40" s="69"/>
    </row>
    <row r="41" spans="1:70" s="67" customFormat="1" x14ac:dyDescent="0.25">
      <c r="A41" s="67" t="str">
        <f t="shared" si="1"/>
        <v>Commerce</v>
      </c>
      <c r="B41" s="67" t="str">
        <f t="shared" si="1"/>
        <v>Agency</v>
      </c>
      <c r="C41" s="67" t="s">
        <v>90</v>
      </c>
      <c r="D41" s="67" t="str">
        <f t="shared" si="2"/>
        <v>Department of Commerce</v>
      </c>
      <c r="E41" s="68">
        <f t="shared" si="3"/>
        <v>803.7578288100209</v>
      </c>
      <c r="F41" s="68">
        <f t="shared" si="5"/>
        <v>820.89552238805982</v>
      </c>
      <c r="G41" s="68">
        <f t="shared" si="5"/>
        <v>854.36302827607165</v>
      </c>
      <c r="H41" s="68">
        <f t="shared" si="5"/>
        <v>933.89592123769341</v>
      </c>
      <c r="I41" s="68">
        <f t="shared" si="5"/>
        <v>926.26131953428194</v>
      </c>
      <c r="J41" s="68">
        <f t="shared" si="5"/>
        <v>812.91234684260132</v>
      </c>
      <c r="K41" s="68">
        <f t="shared" si="5"/>
        <v>678.56356025556283</v>
      </c>
      <c r="L41" s="68">
        <f t="shared" si="5"/>
        <v>686.088241503061</v>
      </c>
      <c r="M41" s="68">
        <f t="shared" si="5"/>
        <v>739.55573670266961</v>
      </c>
      <c r="N41" s="68">
        <f t="shared" si="5"/>
        <v>772.03707355551171</v>
      </c>
      <c r="O41" s="68">
        <f t="shared" si="5"/>
        <v>761.81292189006751</v>
      </c>
      <c r="P41" s="68">
        <f t="shared" si="5"/>
        <v>787.20996038483304</v>
      </c>
      <c r="Q41" s="68">
        <f t="shared" si="5"/>
        <v>748.40124246300024</v>
      </c>
      <c r="R41" s="68">
        <f t="shared" si="5"/>
        <v>749.20969441517389</v>
      </c>
      <c r="S41" s="68">
        <f t="shared" si="5"/>
        <v>766.85869196882425</v>
      </c>
      <c r="T41" s="68">
        <f t="shared" si="5"/>
        <v>878.1285784393915</v>
      </c>
      <c r="U41" s="68">
        <f t="shared" si="5"/>
        <v>930.89690392594946</v>
      </c>
      <c r="V41" s="68">
        <f t="shared" si="5"/>
        <v>1237.0185560580071</v>
      </c>
      <c r="W41" s="68">
        <f t="shared" si="5"/>
        <v>1559.4384251487868</v>
      </c>
      <c r="X41" s="68">
        <f t="shared" si="5"/>
        <v>1670.6515242080095</v>
      </c>
      <c r="Y41" s="68">
        <f t="shared" si="5"/>
        <v>1454.9721325902026</v>
      </c>
      <c r="Z41" s="68">
        <f t="shared" si="5"/>
        <v>1389.1209107940626</v>
      </c>
      <c r="AA41" s="68">
        <f t="shared" si="5"/>
        <v>1552.6159977227439</v>
      </c>
      <c r="AB41" s="68">
        <f t="shared" si="5"/>
        <v>1523.6145086461408</v>
      </c>
      <c r="AC41" s="68">
        <f t="shared" si="5"/>
        <v>1616.5886241564524</v>
      </c>
      <c r="AD41" s="68">
        <f t="shared" si="5"/>
        <v>1384.8769665187574</v>
      </c>
      <c r="AE41" s="68">
        <f t="shared" si="5"/>
        <v>1624.0124437384168</v>
      </c>
      <c r="AF41" s="68">
        <f t="shared" si="5"/>
        <v>1555.2941940511755</v>
      </c>
      <c r="AG41" s="68">
        <f t="shared" si="5"/>
        <v>1420.1584886522126</v>
      </c>
      <c r="AH41" s="68">
        <f t="shared" si="5"/>
        <v>1379.9003322259136</v>
      </c>
      <c r="AI41" s="68">
        <f t="shared" si="5"/>
        <v>1266.0159694911215</v>
      </c>
      <c r="AJ41" s="68">
        <f t="shared" si="5"/>
        <v>1244.2136395267919</v>
      </c>
      <c r="AK41" s="68">
        <f t="shared" si="5"/>
        <v>1349.5409612544029</v>
      </c>
      <c r="AL41" s="68">
        <f t="shared" si="5"/>
        <v>1561.8141941288943</v>
      </c>
      <c r="AM41" s="68">
        <f t="shared" si="5"/>
        <v>1490.7247992863515</v>
      </c>
      <c r="AN41" s="68">
        <f t="shared" si="5"/>
        <v>1330.7083515522518</v>
      </c>
      <c r="AO41" s="68">
        <f t="shared" si="5"/>
        <v>1346.2937513420657</v>
      </c>
      <c r="AP41" s="68">
        <f t="shared" si="5"/>
        <v>1367.7791838025942</v>
      </c>
      <c r="AQ41" s="68">
        <f t="shared" si="5"/>
        <v>1607.2452361226178</v>
      </c>
      <c r="AR41" s="68">
        <f t="shared" si="5"/>
        <v>1564.980524805248</v>
      </c>
      <c r="AS41" s="68">
        <f t="shared" si="5"/>
        <v>1702.9987797437459</v>
      </c>
      <c r="AT41" s="68">
        <f t="shared" si="5"/>
        <v>1795.9650000000001</v>
      </c>
      <c r="AU41" s="68">
        <f t="shared" si="5"/>
        <v>2019.2075914693798</v>
      </c>
      <c r="AV41" s="68">
        <f t="shared" si="5"/>
        <v>1880.1854961098838</v>
      </c>
      <c r="AW41" s="68">
        <f t="shared" si="5"/>
        <v>1856.7427778230776</v>
      </c>
      <c r="AX41" s="68">
        <f t="shared" si="5"/>
        <v>1933.9285059578372</v>
      </c>
      <c r="AY41" s="68">
        <f t="shared" si="5"/>
        <v>6889.8834918187267</v>
      </c>
      <c r="AZ41" s="68">
        <f t="shared" si="5"/>
        <v>4211.517981486033</v>
      </c>
      <c r="BA41" s="68">
        <f t="shared" si="5"/>
        <v>3436.5275672225321</v>
      </c>
      <c r="BB41" s="68">
        <f t="shared" si="5"/>
        <v>3031.6989381636477</v>
      </c>
      <c r="BC41" s="68">
        <f t="shared" si="5"/>
        <v>2400.1835704451587</v>
      </c>
      <c r="BD41" s="69"/>
      <c r="BE41" s="69"/>
      <c r="BF41" s="69"/>
      <c r="BG41" s="69"/>
      <c r="BH41" s="69"/>
      <c r="BI41" s="69"/>
      <c r="BJ41" s="69"/>
      <c r="BK41" s="69"/>
      <c r="BL41" s="69"/>
      <c r="BM41" s="69"/>
      <c r="BN41" s="69"/>
      <c r="BO41" s="69"/>
      <c r="BP41" s="69"/>
      <c r="BQ41" s="69"/>
      <c r="BR41" s="69"/>
    </row>
    <row r="42" spans="1:70" s="67" customFormat="1" x14ac:dyDescent="0.25">
      <c r="A42" s="67" t="str">
        <f t="shared" si="1"/>
        <v>DHS</v>
      </c>
      <c r="B42" s="67" t="str">
        <f t="shared" si="1"/>
        <v>Agency</v>
      </c>
      <c r="C42" s="67" t="s">
        <v>90</v>
      </c>
      <c r="D42" s="67" t="str">
        <f t="shared" si="2"/>
        <v>Department of Homeland Security</v>
      </c>
      <c r="E42" s="68">
        <f t="shared" si="3"/>
        <v>0</v>
      </c>
      <c r="F42" s="68">
        <f t="shared" si="5"/>
        <v>0</v>
      </c>
      <c r="G42" s="68">
        <f t="shared" si="5"/>
        <v>0</v>
      </c>
      <c r="H42" s="68">
        <f t="shared" si="5"/>
        <v>0</v>
      </c>
      <c r="I42" s="68">
        <f t="shared" si="5"/>
        <v>0</v>
      </c>
      <c r="J42" s="68">
        <f t="shared" si="5"/>
        <v>0</v>
      </c>
      <c r="K42" s="68">
        <f t="shared" si="5"/>
        <v>0</v>
      </c>
      <c r="L42" s="68">
        <f t="shared" si="5"/>
        <v>0</v>
      </c>
      <c r="M42" s="68">
        <f t="shared" si="5"/>
        <v>0</v>
      </c>
      <c r="N42" s="68">
        <f t="shared" si="5"/>
        <v>0</v>
      </c>
      <c r="O42" s="68">
        <f t="shared" si="5"/>
        <v>0</v>
      </c>
      <c r="P42" s="68">
        <f t="shared" si="5"/>
        <v>0</v>
      </c>
      <c r="Q42" s="68">
        <f t="shared" si="5"/>
        <v>0</v>
      </c>
      <c r="R42" s="68">
        <f t="shared" si="5"/>
        <v>0</v>
      </c>
      <c r="S42" s="68">
        <f t="shared" si="5"/>
        <v>0</v>
      </c>
      <c r="T42" s="68">
        <f t="shared" si="5"/>
        <v>0</v>
      </c>
      <c r="U42" s="68">
        <f t="shared" si="5"/>
        <v>0</v>
      </c>
      <c r="V42" s="68">
        <f t="shared" si="5"/>
        <v>0</v>
      </c>
      <c r="W42" s="68">
        <f t="shared" si="5"/>
        <v>0</v>
      </c>
      <c r="X42" s="68">
        <f t="shared" si="5"/>
        <v>0</v>
      </c>
      <c r="Y42" s="68">
        <f t="shared" si="5"/>
        <v>0</v>
      </c>
      <c r="Z42" s="68">
        <f t="shared" si="5"/>
        <v>0</v>
      </c>
      <c r="AA42" s="68">
        <f t="shared" si="5"/>
        <v>0</v>
      </c>
      <c r="AB42" s="68">
        <f t="shared" si="5"/>
        <v>0</v>
      </c>
      <c r="AC42" s="68">
        <f t="shared" si="5"/>
        <v>0</v>
      </c>
      <c r="AD42" s="68">
        <f t="shared" si="5"/>
        <v>0</v>
      </c>
      <c r="AE42" s="68">
        <f t="shared" si="5"/>
        <v>352.13132115435531</v>
      </c>
      <c r="AF42" s="68">
        <f t="shared" si="5"/>
        <v>957.2671775555267</v>
      </c>
      <c r="AG42" s="68">
        <f t="shared" si="5"/>
        <v>1303.9533409407886</v>
      </c>
      <c r="AH42" s="68">
        <f t="shared" si="5"/>
        <v>1525.7782699643165</v>
      </c>
      <c r="AI42" s="68">
        <f t="shared" si="5"/>
        <v>1549.1276367536648</v>
      </c>
      <c r="AJ42" s="68">
        <f t="shared" ref="F42:BC44" si="6">AJ17/AJ$22</f>
        <v>1155.4859661331477</v>
      </c>
      <c r="AK42" s="68">
        <f t="shared" si="6"/>
        <v>1130.553346210658</v>
      </c>
      <c r="AL42" s="68">
        <f t="shared" si="6"/>
        <v>1232.7072320323923</v>
      </c>
      <c r="AM42" s="68">
        <f t="shared" si="6"/>
        <v>989.07225691347003</v>
      </c>
      <c r="AN42" s="68">
        <f t="shared" si="6"/>
        <v>831.1390467861828</v>
      </c>
      <c r="AO42" s="68">
        <f t="shared" si="6"/>
        <v>516.42688426025336</v>
      </c>
      <c r="AP42" s="68">
        <f t="shared" si="6"/>
        <v>721.29073078139822</v>
      </c>
      <c r="AQ42" s="68">
        <f t="shared" si="6"/>
        <v>1068.7655343827671</v>
      </c>
      <c r="AR42" s="68">
        <f t="shared" si="6"/>
        <v>941.98441984419844</v>
      </c>
      <c r="AS42" s="68">
        <f t="shared" si="6"/>
        <v>592.07850315232861</v>
      </c>
      <c r="AT42" s="68">
        <f t="shared" si="6"/>
        <v>723.46900000000005</v>
      </c>
      <c r="AU42" s="68">
        <f t="shared" si="6"/>
        <v>707.40657405595778</v>
      </c>
      <c r="AV42" s="68">
        <f t="shared" si="6"/>
        <v>576.08779175871678</v>
      </c>
      <c r="AW42" s="68">
        <f t="shared" si="6"/>
        <v>505.15596852185456</v>
      </c>
      <c r="AX42" s="68">
        <f t="shared" si="6"/>
        <v>540.62236480293313</v>
      </c>
      <c r="AY42" s="68">
        <f t="shared" si="6"/>
        <v>711.04257688683288</v>
      </c>
      <c r="AZ42" s="68">
        <f t="shared" si="6"/>
        <v>519.3741295977718</v>
      </c>
      <c r="BA42" s="68">
        <f t="shared" si="6"/>
        <v>369.4247187425197</v>
      </c>
      <c r="BB42" s="68">
        <f t="shared" si="6"/>
        <v>359.93129294191129</v>
      </c>
      <c r="BC42" s="68">
        <f t="shared" si="6"/>
        <v>380.90867370353374</v>
      </c>
      <c r="BD42" s="69"/>
      <c r="BE42" s="69"/>
      <c r="BF42" s="69"/>
      <c r="BG42" s="69"/>
      <c r="BH42" s="69"/>
      <c r="BI42" s="69"/>
      <c r="BJ42" s="69"/>
      <c r="BK42" s="69"/>
      <c r="BL42" s="69"/>
      <c r="BM42" s="69"/>
      <c r="BN42" s="69"/>
      <c r="BO42" s="69"/>
      <c r="BP42" s="69"/>
      <c r="BQ42" s="69"/>
      <c r="BR42" s="69"/>
    </row>
    <row r="43" spans="1:70" s="67" customFormat="1" x14ac:dyDescent="0.25">
      <c r="A43" s="67" t="str">
        <f t="shared" si="1"/>
        <v>VA</v>
      </c>
      <c r="B43" s="67" t="str">
        <f t="shared" si="1"/>
        <v>Agency</v>
      </c>
      <c r="C43" s="67" t="s">
        <v>90</v>
      </c>
      <c r="D43" s="67" t="str">
        <f t="shared" si="2"/>
        <v>Veteran's Affairs</v>
      </c>
      <c r="E43" s="68">
        <f t="shared" si="3"/>
        <v>396.65970772442591</v>
      </c>
      <c r="F43" s="68">
        <f t="shared" si="6"/>
        <v>366.64503569110968</v>
      </c>
      <c r="G43" s="68">
        <f t="shared" si="6"/>
        <v>349.6503496503496</v>
      </c>
      <c r="H43" s="68">
        <f t="shared" si="6"/>
        <v>345.99156118143463</v>
      </c>
      <c r="I43" s="68">
        <f t="shared" si="6"/>
        <v>351.87580853816297</v>
      </c>
      <c r="J43" s="68">
        <f t="shared" si="6"/>
        <v>374.64655984919887</v>
      </c>
      <c r="K43" s="68">
        <f t="shared" si="6"/>
        <v>306.23485349195857</v>
      </c>
      <c r="L43" s="68">
        <f t="shared" si="6"/>
        <v>339.87755963690097</v>
      </c>
      <c r="M43" s="68">
        <f t="shared" si="6"/>
        <v>401.4672916242103</v>
      </c>
      <c r="N43" s="68">
        <f t="shared" si="6"/>
        <v>422.00749359100769</v>
      </c>
      <c r="O43" s="68">
        <f t="shared" si="6"/>
        <v>357.18418514946961</v>
      </c>
      <c r="P43" s="68">
        <f t="shared" si="6"/>
        <v>420.67534427466512</v>
      </c>
      <c r="Q43" s="68">
        <f t="shared" si="6"/>
        <v>360.67970034715876</v>
      </c>
      <c r="R43" s="68">
        <f t="shared" si="6"/>
        <v>382.85914998243766</v>
      </c>
      <c r="S43" s="68">
        <f t="shared" si="6"/>
        <v>369.70518468315828</v>
      </c>
      <c r="T43" s="68">
        <f t="shared" si="6"/>
        <v>366.75936528709309</v>
      </c>
      <c r="U43" s="68">
        <f t="shared" si="6"/>
        <v>398.18065751675709</v>
      </c>
      <c r="V43" s="68">
        <f t="shared" si="6"/>
        <v>394.35521596756593</v>
      </c>
      <c r="W43" s="68">
        <f t="shared" si="6"/>
        <v>421.94414771860215</v>
      </c>
      <c r="X43" s="68">
        <f t="shared" si="6"/>
        <v>393.00657501494322</v>
      </c>
      <c r="Y43" s="68">
        <f t="shared" si="6"/>
        <v>385.74361982986215</v>
      </c>
      <c r="Z43" s="68">
        <f t="shared" si="6"/>
        <v>847.38434932987468</v>
      </c>
      <c r="AA43" s="68">
        <f t="shared" si="6"/>
        <v>835.46826074580133</v>
      </c>
      <c r="AB43" s="68">
        <f t="shared" si="6"/>
        <v>905.38450724026427</v>
      </c>
      <c r="AC43" s="68">
        <f t="shared" si="6"/>
        <v>888.30739567552678</v>
      </c>
      <c r="AD43" s="68">
        <f t="shared" si="6"/>
        <v>966.78768320559357</v>
      </c>
      <c r="AE43" s="68">
        <f t="shared" si="6"/>
        <v>1000.7942811755362</v>
      </c>
      <c r="AF43" s="68">
        <f t="shared" si="6"/>
        <v>1061.1767762047018</v>
      </c>
      <c r="AG43" s="68">
        <f t="shared" si="6"/>
        <v>1098.0093825282111</v>
      </c>
      <c r="AH43" s="68">
        <f t="shared" si="6"/>
        <v>913.00602928509909</v>
      </c>
      <c r="AI43" s="68">
        <f t="shared" si="6"/>
        <v>916.9896317483018</v>
      </c>
      <c r="AJ43" s="68">
        <f t="shared" si="6"/>
        <v>950.41521688703324</v>
      </c>
      <c r="AK43" s="68">
        <f t="shared" si="6"/>
        <v>1006.7037836609476</v>
      </c>
      <c r="AL43" s="68">
        <f t="shared" si="6"/>
        <v>1060.6231020132718</v>
      </c>
      <c r="AM43" s="68">
        <f t="shared" si="6"/>
        <v>1152.9884032114182</v>
      </c>
      <c r="AN43" s="68">
        <f t="shared" si="6"/>
        <v>1268.0367293397464</v>
      </c>
      <c r="AO43" s="68">
        <f t="shared" si="6"/>
        <v>1245.4369765943741</v>
      </c>
      <c r="AP43" s="68">
        <f t="shared" si="6"/>
        <v>1227.3594853949171</v>
      </c>
      <c r="AQ43" s="68">
        <f t="shared" si="6"/>
        <v>1140.2236951118475</v>
      </c>
      <c r="AR43" s="68">
        <f t="shared" si="6"/>
        <v>1207.4620746207461</v>
      </c>
      <c r="AS43" s="68">
        <f t="shared" si="6"/>
        <v>1242.6276184665446</v>
      </c>
      <c r="AT43" s="68">
        <f t="shared" si="6"/>
        <v>1346</v>
      </c>
      <c r="AU43" s="68">
        <f t="shared" si="6"/>
        <v>1258.0708276266876</v>
      </c>
      <c r="AV43" s="68">
        <f t="shared" si="6"/>
        <v>1315.9158582268756</v>
      </c>
      <c r="AW43" s="68">
        <f t="shared" si="6"/>
        <v>1295.1550203849436</v>
      </c>
      <c r="AX43" s="68">
        <f t="shared" si="6"/>
        <v>1324.4729605866178</v>
      </c>
      <c r="AY43" s="68">
        <f t="shared" si="6"/>
        <v>1360.4043519232416</v>
      </c>
      <c r="AZ43" s="68">
        <f t="shared" si="6"/>
        <v>1379.536331613009</v>
      </c>
      <c r="BA43" s="68">
        <f t="shared" si="6"/>
        <v>1456.9536423841059</v>
      </c>
      <c r="BB43" s="68">
        <f t="shared" si="6"/>
        <v>1435.8213616489695</v>
      </c>
      <c r="BC43" s="68">
        <f t="shared" si="6"/>
        <v>1425.7304573963593</v>
      </c>
      <c r="BD43" s="69"/>
      <c r="BE43" s="69"/>
      <c r="BF43" s="69"/>
      <c r="BG43" s="69"/>
      <c r="BH43" s="69"/>
      <c r="BI43" s="69"/>
      <c r="BJ43" s="69"/>
      <c r="BK43" s="69"/>
      <c r="BL43" s="69"/>
      <c r="BM43" s="69"/>
      <c r="BN43" s="69"/>
      <c r="BO43" s="69"/>
      <c r="BP43" s="69"/>
      <c r="BQ43" s="69"/>
      <c r="BR43" s="69"/>
    </row>
    <row r="44" spans="1:70" s="67" customFormat="1" x14ac:dyDescent="0.25">
      <c r="A44" s="67" t="str">
        <f t="shared" si="1"/>
        <v>All Other</v>
      </c>
      <c r="B44" s="67" t="str">
        <f t="shared" si="1"/>
        <v>Agency</v>
      </c>
      <c r="C44" s="67" t="s">
        <v>90</v>
      </c>
      <c r="D44" s="67">
        <f t="shared" si="2"/>
        <v>0</v>
      </c>
      <c r="E44" s="68">
        <f t="shared" si="3"/>
        <v>1169.1022964509443</v>
      </c>
      <c r="F44" s="68">
        <f t="shared" si="6"/>
        <v>1255.678131083718</v>
      </c>
      <c r="G44" s="68">
        <f t="shared" si="6"/>
        <v>1213.1346913955649</v>
      </c>
      <c r="H44" s="68">
        <f t="shared" si="6"/>
        <v>2275.6680731364277</v>
      </c>
      <c r="I44" s="68">
        <f t="shared" si="6"/>
        <v>2419.1461836998669</v>
      </c>
      <c r="J44" s="68">
        <f t="shared" si="6"/>
        <v>1887.3704052780429</v>
      </c>
      <c r="K44" s="68">
        <f t="shared" si="6"/>
        <v>1592.8618638466662</v>
      </c>
      <c r="L44" s="68">
        <f t="shared" si="6"/>
        <v>1427.6968545492894</v>
      </c>
      <c r="M44" s="68">
        <f t="shared" si="6"/>
        <v>1388.6284899123784</v>
      </c>
      <c r="N44" s="68">
        <f t="shared" si="6"/>
        <v>1092.8810885427079</v>
      </c>
      <c r="O44" s="68">
        <f t="shared" si="6"/>
        <v>1298.5535197685356</v>
      </c>
      <c r="P44" s="68">
        <f t="shared" si="6"/>
        <v>1443.5012261837298</v>
      </c>
      <c r="Q44" s="68">
        <f t="shared" si="6"/>
        <v>1379.3166453499305</v>
      </c>
      <c r="R44" s="68">
        <f t="shared" si="6"/>
        <v>1438.004917456939</v>
      </c>
      <c r="S44" s="68">
        <f t="shared" si="6"/>
        <v>1715.520162656733</v>
      </c>
      <c r="T44" s="68">
        <f t="shared" si="6"/>
        <v>1592.6713561263068</v>
      </c>
      <c r="U44" s="68">
        <f t="shared" si="6"/>
        <v>1953.7184806894245</v>
      </c>
      <c r="V44" s="68">
        <f t="shared" si="6"/>
        <v>1645.4077654763887</v>
      </c>
      <c r="W44" s="68">
        <f t="shared" si="6"/>
        <v>1614.8329009613874</v>
      </c>
      <c r="X44" s="68">
        <f t="shared" si="6"/>
        <v>1576.5092647937836</v>
      </c>
      <c r="Y44" s="68">
        <f t="shared" si="6"/>
        <v>1314.328248753274</v>
      </c>
      <c r="Z44" s="68">
        <f t="shared" si="6"/>
        <v>1272.9125234183803</v>
      </c>
      <c r="AA44" s="68">
        <f t="shared" si="6"/>
        <v>1320.0910902362357</v>
      </c>
      <c r="AB44" s="68">
        <f t="shared" si="6"/>
        <v>1346.0579221143962</v>
      </c>
      <c r="AC44" s="68">
        <f t="shared" si="6"/>
        <v>1195.939931689976</v>
      </c>
      <c r="AD44" s="68">
        <f t="shared" si="6"/>
        <v>1298.1336560440725</v>
      </c>
      <c r="AE44" s="68">
        <f t="shared" si="6"/>
        <v>1357.0876356897734</v>
      </c>
      <c r="AF44" s="68">
        <f t="shared" si="6"/>
        <v>1381.9976620340162</v>
      </c>
      <c r="AG44" s="68">
        <f t="shared" si="6"/>
        <v>1297.0711297071177</v>
      </c>
      <c r="AH44" s="68">
        <f t="shared" si="6"/>
        <v>1275.9936015749925</v>
      </c>
      <c r="AI44" s="68">
        <f t="shared" si="6"/>
        <v>1296.6273388154148</v>
      </c>
      <c r="AJ44" s="68">
        <f t="shared" si="6"/>
        <v>1290.8837856645664</v>
      </c>
      <c r="AK44" s="68">
        <f t="shared" si="6"/>
        <v>1211.5668674014307</v>
      </c>
      <c r="AL44" s="68">
        <f t="shared" si="6"/>
        <v>1296.817005961072</v>
      </c>
      <c r="AM44" s="68">
        <f t="shared" si="6"/>
        <v>1261.1507582519303</v>
      </c>
      <c r="AN44" s="68">
        <f t="shared" si="6"/>
        <v>1106.2527328378105</v>
      </c>
      <c r="AO44" s="68">
        <f t="shared" si="6"/>
        <v>1419.3686922912098</v>
      </c>
      <c r="AP44" s="68">
        <f t="shared" si="6"/>
        <v>1807.4449014025404</v>
      </c>
      <c r="AQ44" s="68">
        <f t="shared" si="6"/>
        <v>1661.1433305716691</v>
      </c>
      <c r="AR44" s="68">
        <f t="shared" si="6"/>
        <v>1528.2902829028476</v>
      </c>
      <c r="AS44" s="68">
        <f t="shared" si="6"/>
        <v>1627.0083384177528</v>
      </c>
      <c r="AT44" s="68">
        <f t="shared" si="6"/>
        <v>1529.0000000000146</v>
      </c>
      <c r="AU44" s="68">
        <f t="shared" si="6"/>
        <v>1756.016435139866</v>
      </c>
      <c r="AV44" s="68">
        <f t="shared" si="6"/>
        <v>1712.1035443281055</v>
      </c>
      <c r="AW44" s="68">
        <f t="shared" si="6"/>
        <v>1102.6832274580174</v>
      </c>
      <c r="AX44" s="68">
        <f t="shared" si="6"/>
        <v>1002.7497708524556</v>
      </c>
      <c r="AY44" s="68">
        <f t="shared" si="6"/>
        <v>1053.7136982780776</v>
      </c>
      <c r="AZ44" s="68">
        <f t="shared" si="6"/>
        <v>1177.193413615139</v>
      </c>
      <c r="BA44" s="68">
        <f t="shared" si="6"/>
        <v>1261.4697199393599</v>
      </c>
      <c r="BB44" s="68">
        <f t="shared" si="6"/>
        <v>1173.4853216739539</v>
      </c>
      <c r="BC44" s="68">
        <f t="shared" si="6"/>
        <v>821.47774208352462</v>
      </c>
      <c r="BD44" s="69"/>
      <c r="BE44" s="69"/>
      <c r="BF44" s="69"/>
      <c r="BG44" s="69"/>
      <c r="BH44" s="69"/>
      <c r="BI44" s="69"/>
      <c r="BJ44" s="69"/>
      <c r="BK44" s="69"/>
      <c r="BL44" s="69"/>
      <c r="BM44" s="69"/>
      <c r="BN44" s="69"/>
      <c r="BO44" s="69"/>
      <c r="BP44" s="69"/>
      <c r="BQ44" s="69"/>
      <c r="BR44" s="69"/>
    </row>
    <row r="45" spans="1:70" s="67" customFormat="1" x14ac:dyDescent="0.25">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row>
    <row r="46" spans="1:70" s="67" customFormat="1" x14ac:dyDescent="0.25">
      <c r="A46" s="67" t="str">
        <f>A2</f>
        <v>Defense</v>
      </c>
      <c r="B46" s="67" t="str">
        <f>B2</f>
        <v>Total</v>
      </c>
      <c r="C46" s="67" t="s">
        <v>244</v>
      </c>
      <c r="D46" s="67">
        <f>D27</f>
        <v>0</v>
      </c>
      <c r="E46" s="71">
        <f t="shared" ref="E46:BB51" si="7">E2/E$23/1000</f>
        <v>6.1950618666368066E-3</v>
      </c>
      <c r="F46" s="71">
        <f t="shared" si="7"/>
        <v>6.1640299853037428E-3</v>
      </c>
      <c r="G46" s="71">
        <f t="shared" si="7"/>
        <v>5.8315335723240014E-3</v>
      </c>
      <c r="H46" s="71">
        <f t="shared" si="7"/>
        <v>5.57379924578311E-3</v>
      </c>
      <c r="I46" s="71">
        <f t="shared" si="7"/>
        <v>5.5267022457824418E-3</v>
      </c>
      <c r="J46" s="71">
        <f t="shared" si="7"/>
        <v>6.0710609675334514E-3</v>
      </c>
      <c r="K46" s="71">
        <f t="shared" si="7"/>
        <v>6.9108907902877756E-3</v>
      </c>
      <c r="L46" s="71">
        <f t="shared" si="7"/>
        <v>7.2534785067873298E-3</v>
      </c>
      <c r="M46" s="71">
        <f t="shared" si="7"/>
        <v>7.7225749681895575E-3</v>
      </c>
      <c r="N46" s="71">
        <f t="shared" si="7"/>
        <v>8.139104950030774E-3</v>
      </c>
      <c r="O46" s="71">
        <f t="shared" si="7"/>
        <v>8.3167964650648993E-3</v>
      </c>
      <c r="P46" s="71">
        <f t="shared" si="7"/>
        <v>8.3549127977095641E-3</v>
      </c>
      <c r="Q46" s="71">
        <f t="shared" si="7"/>
        <v>7.9733971645697711E-3</v>
      </c>
      <c r="R46" s="71">
        <f t="shared" si="7"/>
        <v>7.4854604454806083E-3</v>
      </c>
      <c r="S46" s="71">
        <f t="shared" si="7"/>
        <v>6.9469463869463871E-3</v>
      </c>
      <c r="T46" s="71">
        <f t="shared" si="7"/>
        <v>6.6262662733304065E-3</v>
      </c>
      <c r="U46" s="71">
        <f t="shared" si="7"/>
        <v>6.4260744204169109E-3</v>
      </c>
      <c r="V46" s="71">
        <f t="shared" si="7"/>
        <v>6.2157313486806906E-3</v>
      </c>
      <c r="W46" s="71">
        <f t="shared" si="7"/>
        <v>5.3364777026132628E-3</v>
      </c>
      <c r="X46" s="71">
        <f t="shared" si="7"/>
        <v>5.0040837651322513E-3</v>
      </c>
      <c r="Y46" s="71">
        <f t="shared" si="7"/>
        <v>4.8375517287999178E-3</v>
      </c>
      <c r="Z46" s="71">
        <f t="shared" si="7"/>
        <v>4.7387383187246519E-3</v>
      </c>
      <c r="AA46" s="71">
        <f t="shared" si="7"/>
        <v>4.5428623415595471E-3</v>
      </c>
      <c r="AB46" s="71">
        <f t="shared" si="7"/>
        <v>4.4395571554781965E-3</v>
      </c>
      <c r="AC46" s="71">
        <f t="shared" si="7"/>
        <v>4.2661220757975998E-3</v>
      </c>
      <c r="AD46" s="71">
        <f t="shared" si="7"/>
        <v>4.3894065254412402E-3</v>
      </c>
      <c r="AE46" s="71">
        <f t="shared" si="7"/>
        <v>4.9618691692350303E-3</v>
      </c>
      <c r="AF46" s="71">
        <f t="shared" si="7"/>
        <v>5.648458472791754E-3</v>
      </c>
      <c r="AG46" s="71">
        <f t="shared" si="7"/>
        <v>5.8481194337579529E-3</v>
      </c>
      <c r="AH46" s="71">
        <f t="shared" si="7"/>
        <v>5.8131935093205193E-3</v>
      </c>
      <c r="AI46" s="71">
        <f t="shared" si="7"/>
        <v>5.7739040460520275E-3</v>
      </c>
      <c r="AJ46" s="71">
        <f t="shared" si="7"/>
        <v>5.7780869078930125E-3</v>
      </c>
      <c r="AK46" s="71">
        <f t="shared" si="7"/>
        <v>5.7533193999287002E-3</v>
      </c>
      <c r="AL46" s="71">
        <f t="shared" si="7"/>
        <v>5.8966606761455152E-3</v>
      </c>
      <c r="AM46" s="71">
        <f t="shared" si="7"/>
        <v>5.8286352153932991E-3</v>
      </c>
      <c r="AN46" s="71">
        <f t="shared" si="7"/>
        <v>5.3788882764551193E-3</v>
      </c>
      <c r="AO46" s="71">
        <f t="shared" si="7"/>
        <v>4.8864127676810313E-3</v>
      </c>
      <c r="AP46" s="71">
        <f t="shared" si="7"/>
        <v>4.1863948803033896E-3</v>
      </c>
      <c r="AQ46" s="71">
        <f t="shared" si="7"/>
        <v>4.1143136264397357E-3</v>
      </c>
      <c r="AR46" s="71">
        <f t="shared" si="7"/>
        <v>4.0208107043382697E-3</v>
      </c>
      <c r="AS46" s="71">
        <f t="shared" si="7"/>
        <v>4.2678080774703449E-3</v>
      </c>
      <c r="AT46" s="71">
        <f t="shared" si="7"/>
        <v>2.9892469207327367E-3</v>
      </c>
      <c r="AU46" s="71">
        <f t="shared" si="7"/>
        <v>3.3943961540640185E-3</v>
      </c>
      <c r="AV46" s="71">
        <f t="shared" si="7"/>
        <v>3.4029636351176674E-3</v>
      </c>
      <c r="AW46" s="71">
        <f t="shared" si="7"/>
        <v>3.8875011039414265E-3</v>
      </c>
      <c r="AX46" s="71">
        <f t="shared" si="7"/>
        <v>3.4172213968768151E-3</v>
      </c>
      <c r="AY46" s="71">
        <f t="shared" si="7"/>
        <v>3.5144784662713663E-3</v>
      </c>
      <c r="AZ46" s="71">
        <f t="shared" si="7"/>
        <v>3.5580107014301001E-3</v>
      </c>
      <c r="BA46" s="71">
        <f t="shared" si="7"/>
        <v>3.5308167288376734E-3</v>
      </c>
      <c r="BB46" s="71">
        <f t="shared" si="7"/>
        <v>3.5295636828786238E-3</v>
      </c>
      <c r="BC46" s="71">
        <f>BC2/BC$23/1000</f>
        <v>3.0789168224084943E-3</v>
      </c>
      <c r="BD46" s="72"/>
      <c r="BE46" s="72"/>
      <c r="BF46" s="72"/>
      <c r="BG46" s="72"/>
      <c r="BH46" s="72"/>
      <c r="BI46" s="72"/>
      <c r="BJ46" s="72"/>
      <c r="BK46" s="72"/>
      <c r="BL46" s="72"/>
      <c r="BM46" s="72"/>
      <c r="BN46" s="72"/>
      <c r="BO46" s="72"/>
      <c r="BP46" s="72"/>
      <c r="BQ46" s="72"/>
      <c r="BR46" s="72"/>
    </row>
    <row r="47" spans="1:70" s="67" customFormat="1" x14ac:dyDescent="0.25">
      <c r="A47" s="67" t="str">
        <f t="shared" ref="A47:B63" si="8">A3</f>
        <v>Nondefense</v>
      </c>
      <c r="B47" s="67" t="str">
        <f t="shared" si="8"/>
        <v>Total</v>
      </c>
      <c r="C47" s="67" t="s">
        <v>244</v>
      </c>
      <c r="D47" s="67">
        <f t="shared" ref="D47:D63" si="9">D28</f>
        <v>0</v>
      </c>
      <c r="E47" s="71">
        <f t="shared" si="7"/>
        <v>6.1530709366776782E-3</v>
      </c>
      <c r="F47" s="71">
        <f t="shared" si="7"/>
        <v>6.3196374100008643E-3</v>
      </c>
      <c r="G47" s="71">
        <f t="shared" si="7"/>
        <v>6.3811827838747273E-3</v>
      </c>
      <c r="H47" s="71">
        <f t="shared" si="7"/>
        <v>6.2952749383666431E-3</v>
      </c>
      <c r="I47" s="71">
        <f t="shared" si="7"/>
        <v>6.3089652208173641E-3</v>
      </c>
      <c r="J47" s="71">
        <f t="shared" si="7"/>
        <v>5.8422232683576821E-3</v>
      </c>
      <c r="K47" s="71">
        <f t="shared" si="7"/>
        <v>4.7805996951725592E-3</v>
      </c>
      <c r="L47" s="71">
        <f t="shared" si="7"/>
        <v>4.0704751131221718E-3</v>
      </c>
      <c r="M47" s="71">
        <f t="shared" si="7"/>
        <v>3.9273012717846133E-3</v>
      </c>
      <c r="N47" s="71">
        <f t="shared" si="7"/>
        <v>3.9904809354942708E-3</v>
      </c>
      <c r="O47" s="71">
        <f t="shared" si="7"/>
        <v>3.7507428887047774E-3</v>
      </c>
      <c r="P47" s="71">
        <f t="shared" si="7"/>
        <v>3.9457174918460878E-3</v>
      </c>
      <c r="Q47" s="71">
        <f t="shared" si="7"/>
        <v>3.9039806949431257E-3</v>
      </c>
      <c r="R47" s="71">
        <f t="shared" si="7"/>
        <v>4.0874758649245904E-3</v>
      </c>
      <c r="S47" s="71">
        <f t="shared" si="7"/>
        <v>4.3174062301335027E-3</v>
      </c>
      <c r="T47" s="71">
        <f t="shared" si="7"/>
        <v>4.6562752587936502E-3</v>
      </c>
      <c r="U47" s="71">
        <f t="shared" si="7"/>
        <v>4.7861913111240991E-3</v>
      </c>
      <c r="V47" s="71">
        <f t="shared" si="7"/>
        <v>4.5480475106360208E-3</v>
      </c>
      <c r="W47" s="71">
        <f t="shared" si="7"/>
        <v>4.5667388896242786E-3</v>
      </c>
      <c r="X47" s="71">
        <f t="shared" si="7"/>
        <v>4.380044772615296E-3</v>
      </c>
      <c r="Y47" s="71">
        <f t="shared" si="7"/>
        <v>4.1209483953932209E-3</v>
      </c>
      <c r="Z47" s="71">
        <f t="shared" si="7"/>
        <v>4.0097333755372893E-3</v>
      </c>
      <c r="AA47" s="71">
        <f t="shared" si="7"/>
        <v>3.9533972320508802E-3</v>
      </c>
      <c r="AB47" s="71">
        <f t="shared" si="7"/>
        <v>4.017664544264418E-3</v>
      </c>
      <c r="AC47" s="71">
        <f t="shared" si="7"/>
        <v>4.0138451224687056E-3</v>
      </c>
      <c r="AD47" s="71">
        <f t="shared" si="7"/>
        <v>4.3068207415453991E-3</v>
      </c>
      <c r="AE47" s="71">
        <f t="shared" si="7"/>
        <v>4.5589482998662258E-3</v>
      </c>
      <c r="AF47" s="71">
        <f t="shared" si="7"/>
        <v>4.824374075957683E-3</v>
      </c>
      <c r="AG47" s="71">
        <f t="shared" si="7"/>
        <v>4.6537935132211026E-3</v>
      </c>
      <c r="AH47" s="71">
        <f t="shared" si="7"/>
        <v>4.4133219969055603E-3</v>
      </c>
      <c r="AI47" s="71">
        <f t="shared" si="7"/>
        <v>4.2054578391388783E-3</v>
      </c>
      <c r="AJ47" s="71">
        <f t="shared" si="7"/>
        <v>4.1435883646801074E-3</v>
      </c>
      <c r="AK47" s="71">
        <f t="shared" si="7"/>
        <v>4.0089291609713739E-3</v>
      </c>
      <c r="AL47" s="71">
        <f t="shared" si="7"/>
        <v>4.1677832076475914E-3</v>
      </c>
      <c r="AM47" s="71">
        <f t="shared" si="7"/>
        <v>4.2218362901099791E-3</v>
      </c>
      <c r="AN47" s="71">
        <f t="shared" si="7"/>
        <v>3.9553523994487454E-3</v>
      </c>
      <c r="AO47" s="71">
        <f t="shared" si="7"/>
        <v>3.9607120676250105E-3</v>
      </c>
      <c r="AP47" s="71">
        <f t="shared" si="7"/>
        <v>3.7033369458237477E-3</v>
      </c>
      <c r="AQ47" s="71">
        <f t="shared" si="7"/>
        <v>3.7474473434623862E-3</v>
      </c>
      <c r="AR47" s="71">
        <f t="shared" si="7"/>
        <v>3.6274840069943138E-3</v>
      </c>
      <c r="AS47" s="71">
        <f t="shared" si="7"/>
        <v>3.7849372809581278E-3</v>
      </c>
      <c r="AT47" s="71">
        <f t="shared" si="7"/>
        <v>3.6270880432721156E-3</v>
      </c>
      <c r="AU47" s="71">
        <f t="shared" si="7"/>
        <v>3.7162635066582271E-3</v>
      </c>
      <c r="AV47" s="71">
        <f t="shared" si="7"/>
        <v>3.6850680825553017E-3</v>
      </c>
      <c r="AW47" s="71">
        <f t="shared" si="7"/>
        <v>4.1796195285467384E-3</v>
      </c>
      <c r="AX47" s="71">
        <f t="shared" si="7"/>
        <v>3.7209811861212633E-3</v>
      </c>
      <c r="AY47" s="71">
        <f t="shared" si="7"/>
        <v>3.8277646691549107E-3</v>
      </c>
      <c r="AZ47" s="71">
        <f t="shared" si="7"/>
        <v>3.6306663145849838E-3</v>
      </c>
      <c r="BA47" s="71">
        <f t="shared" si="7"/>
        <v>3.3388768164669407E-3</v>
      </c>
      <c r="BB47" s="71">
        <f t="shared" si="7"/>
        <v>3.1846431545222696E-3</v>
      </c>
      <c r="BC47" s="71">
        <f t="shared" ref="BC47:BC63" si="10">BC3/BC$23/1000</f>
        <v>2.0022027513116685E-3</v>
      </c>
      <c r="BD47" s="72"/>
      <c r="BE47" s="72"/>
      <c r="BF47" s="72"/>
      <c r="BG47" s="72"/>
      <c r="BH47" s="72"/>
      <c r="BI47" s="72"/>
      <c r="BJ47" s="72"/>
      <c r="BK47" s="72"/>
      <c r="BL47" s="72"/>
      <c r="BM47" s="72"/>
      <c r="BN47" s="72"/>
      <c r="BO47" s="72"/>
      <c r="BP47" s="72"/>
      <c r="BQ47" s="72"/>
      <c r="BR47" s="72"/>
    </row>
    <row r="48" spans="1:70" s="67" customFormat="1" x14ac:dyDescent="0.25">
      <c r="A48" s="67" t="str">
        <f t="shared" si="8"/>
        <v>ARRA Defense</v>
      </c>
      <c r="B48" s="67" t="str">
        <f t="shared" si="8"/>
        <v>Total</v>
      </c>
      <c r="C48" s="67" t="s">
        <v>244</v>
      </c>
      <c r="D48" s="67">
        <f t="shared" si="9"/>
        <v>0</v>
      </c>
      <c r="E48" s="71">
        <f t="shared" si="7"/>
        <v>0</v>
      </c>
      <c r="F48" s="71">
        <f t="shared" si="7"/>
        <v>0</v>
      </c>
      <c r="G48" s="71">
        <f t="shared" si="7"/>
        <v>0</v>
      </c>
      <c r="H48" s="71">
        <f t="shared" si="7"/>
        <v>0</v>
      </c>
      <c r="I48" s="71">
        <f t="shared" si="7"/>
        <v>0</v>
      </c>
      <c r="J48" s="71">
        <f t="shared" si="7"/>
        <v>0</v>
      </c>
      <c r="K48" s="71">
        <f t="shared" si="7"/>
        <v>0</v>
      </c>
      <c r="L48" s="71">
        <f t="shared" si="7"/>
        <v>0</v>
      </c>
      <c r="M48" s="71">
        <f t="shared" si="7"/>
        <v>0</v>
      </c>
      <c r="N48" s="71">
        <f t="shared" si="7"/>
        <v>0</v>
      </c>
      <c r="O48" s="71">
        <f t="shared" si="7"/>
        <v>0</v>
      </c>
      <c r="P48" s="71">
        <f t="shared" si="7"/>
        <v>0</v>
      </c>
      <c r="Q48" s="71">
        <f t="shared" si="7"/>
        <v>0</v>
      </c>
      <c r="R48" s="71">
        <f t="shared" si="7"/>
        <v>0</v>
      </c>
      <c r="S48" s="71">
        <f t="shared" si="7"/>
        <v>0</v>
      </c>
      <c r="T48" s="71">
        <f t="shared" si="7"/>
        <v>0</v>
      </c>
      <c r="U48" s="71">
        <f t="shared" si="7"/>
        <v>0</v>
      </c>
      <c r="V48" s="71">
        <f t="shared" si="7"/>
        <v>0</v>
      </c>
      <c r="W48" s="71">
        <f t="shared" si="7"/>
        <v>0</v>
      </c>
      <c r="X48" s="71">
        <f t="shared" si="7"/>
        <v>0</v>
      </c>
      <c r="Y48" s="71">
        <f t="shared" si="7"/>
        <v>0</v>
      </c>
      <c r="Z48" s="71">
        <f t="shared" si="7"/>
        <v>0</v>
      </c>
      <c r="AA48" s="71">
        <f t="shared" si="7"/>
        <v>0</v>
      </c>
      <c r="AB48" s="71">
        <f t="shared" si="7"/>
        <v>0</v>
      </c>
      <c r="AC48" s="71">
        <f t="shared" si="7"/>
        <v>0</v>
      </c>
      <c r="AD48" s="71">
        <f t="shared" si="7"/>
        <v>0</v>
      </c>
      <c r="AE48" s="71">
        <f t="shared" si="7"/>
        <v>0</v>
      </c>
      <c r="AF48" s="71">
        <f t="shared" si="7"/>
        <v>0</v>
      </c>
      <c r="AG48" s="71">
        <f t="shared" si="7"/>
        <v>0</v>
      </c>
      <c r="AH48" s="71">
        <f t="shared" si="7"/>
        <v>0</v>
      </c>
      <c r="AI48" s="71">
        <f t="shared" si="7"/>
        <v>0</v>
      </c>
      <c r="AJ48" s="71">
        <f t="shared" si="7"/>
        <v>0</v>
      </c>
      <c r="AK48" s="71">
        <f t="shared" si="7"/>
        <v>0</v>
      </c>
      <c r="AL48" s="71">
        <f t="shared" si="7"/>
        <v>2.073641937334541E-5</v>
      </c>
      <c r="AM48" s="71">
        <f t="shared" si="7"/>
        <v>0</v>
      </c>
      <c r="AN48" s="71">
        <f t="shared" si="7"/>
        <v>0</v>
      </c>
      <c r="AO48" s="71">
        <f t="shared" si="7"/>
        <v>0</v>
      </c>
      <c r="AP48" s="71">
        <f t="shared" si="7"/>
        <v>0</v>
      </c>
      <c r="AQ48" s="71">
        <f t="shared" si="7"/>
        <v>0</v>
      </c>
      <c r="AR48" s="71">
        <f t="shared" si="7"/>
        <v>0</v>
      </c>
      <c r="AS48" s="71">
        <f t="shared" si="7"/>
        <v>0</v>
      </c>
      <c r="AT48" s="71">
        <f t="shared" si="7"/>
        <v>0</v>
      </c>
      <c r="AU48" s="71">
        <f t="shared" si="7"/>
        <v>0</v>
      </c>
      <c r="AV48" s="71">
        <f t="shared" si="7"/>
        <v>0</v>
      </c>
      <c r="AW48" s="71">
        <f t="shared" si="7"/>
        <v>0</v>
      </c>
      <c r="AX48" s="71">
        <f t="shared" si="7"/>
        <v>0</v>
      </c>
      <c r="AY48" s="71">
        <f t="shared" si="7"/>
        <v>0</v>
      </c>
      <c r="AZ48" s="71">
        <f t="shared" si="7"/>
        <v>0</v>
      </c>
      <c r="BA48" s="71">
        <f t="shared" si="7"/>
        <v>0</v>
      </c>
      <c r="BB48" s="71">
        <f t="shared" si="7"/>
        <v>0</v>
      </c>
      <c r="BC48" s="71">
        <f t="shared" si="10"/>
        <v>0</v>
      </c>
      <c r="BD48" s="72"/>
      <c r="BE48" s="72"/>
      <c r="BF48" s="72"/>
      <c r="BG48" s="72"/>
      <c r="BH48" s="72"/>
      <c r="BI48" s="72"/>
      <c r="BJ48" s="72"/>
      <c r="BK48" s="72"/>
      <c r="BL48" s="72"/>
      <c r="BM48" s="72"/>
      <c r="BN48" s="72"/>
      <c r="BO48" s="72"/>
      <c r="BP48" s="72"/>
      <c r="BQ48" s="72"/>
      <c r="BR48" s="72"/>
    </row>
    <row r="49" spans="1:70" s="67" customFormat="1" x14ac:dyDescent="0.25">
      <c r="A49" s="67" t="str">
        <f t="shared" si="8"/>
        <v>ARRA NonDefense</v>
      </c>
      <c r="B49" s="67" t="str">
        <f t="shared" si="8"/>
        <v>Total</v>
      </c>
      <c r="C49" s="67" t="s">
        <v>244</v>
      </c>
      <c r="D49" s="67">
        <f t="shared" si="9"/>
        <v>0</v>
      </c>
      <c r="E49" s="71">
        <f t="shared" si="7"/>
        <v>0</v>
      </c>
      <c r="F49" s="71">
        <f t="shared" si="7"/>
        <v>0</v>
      </c>
      <c r="G49" s="71">
        <f t="shared" si="7"/>
        <v>0</v>
      </c>
      <c r="H49" s="71">
        <f t="shared" si="7"/>
        <v>0</v>
      </c>
      <c r="I49" s="71">
        <f t="shared" si="7"/>
        <v>0</v>
      </c>
      <c r="J49" s="71">
        <f t="shared" si="7"/>
        <v>0</v>
      </c>
      <c r="K49" s="71">
        <f t="shared" si="7"/>
        <v>0</v>
      </c>
      <c r="L49" s="71">
        <f t="shared" si="7"/>
        <v>0</v>
      </c>
      <c r="M49" s="71">
        <f t="shared" si="7"/>
        <v>0</v>
      </c>
      <c r="N49" s="71">
        <f t="shared" si="7"/>
        <v>0</v>
      </c>
      <c r="O49" s="71">
        <f t="shared" si="7"/>
        <v>0</v>
      </c>
      <c r="P49" s="71">
        <f t="shared" si="7"/>
        <v>0</v>
      </c>
      <c r="Q49" s="71">
        <f t="shared" si="7"/>
        <v>0</v>
      </c>
      <c r="R49" s="71">
        <f t="shared" si="7"/>
        <v>0</v>
      </c>
      <c r="S49" s="71">
        <f t="shared" si="7"/>
        <v>0</v>
      </c>
      <c r="T49" s="71">
        <f t="shared" si="7"/>
        <v>0</v>
      </c>
      <c r="U49" s="71">
        <f t="shared" si="7"/>
        <v>0</v>
      </c>
      <c r="V49" s="71">
        <f t="shared" si="7"/>
        <v>0</v>
      </c>
      <c r="W49" s="71">
        <f t="shared" si="7"/>
        <v>0</v>
      </c>
      <c r="X49" s="71">
        <f t="shared" si="7"/>
        <v>0</v>
      </c>
      <c r="Y49" s="71">
        <f t="shared" si="7"/>
        <v>0</v>
      </c>
      <c r="Z49" s="71">
        <f t="shared" si="7"/>
        <v>0</v>
      </c>
      <c r="AA49" s="71">
        <f t="shared" si="7"/>
        <v>0</v>
      </c>
      <c r="AB49" s="71">
        <f t="shared" si="7"/>
        <v>0</v>
      </c>
      <c r="AC49" s="71">
        <f t="shared" si="7"/>
        <v>0</v>
      </c>
      <c r="AD49" s="71">
        <f t="shared" si="7"/>
        <v>0</v>
      </c>
      <c r="AE49" s="71">
        <f t="shared" si="7"/>
        <v>0</v>
      </c>
      <c r="AF49" s="71">
        <f t="shared" si="7"/>
        <v>0</v>
      </c>
      <c r="AG49" s="71">
        <f t="shared" si="7"/>
        <v>0</v>
      </c>
      <c r="AH49" s="71">
        <f t="shared" si="7"/>
        <v>0</v>
      </c>
      <c r="AI49" s="71">
        <f t="shared" si="7"/>
        <v>0</v>
      </c>
      <c r="AJ49" s="71">
        <f t="shared" si="7"/>
        <v>0</v>
      </c>
      <c r="AK49" s="71">
        <f t="shared" si="7"/>
        <v>0</v>
      </c>
      <c r="AL49" s="71">
        <f t="shared" si="7"/>
        <v>1.274512106612844E-3</v>
      </c>
      <c r="AM49" s="71">
        <f t="shared" si="7"/>
        <v>0</v>
      </c>
      <c r="AN49" s="71">
        <f t="shared" si="7"/>
        <v>0</v>
      </c>
      <c r="AO49" s="71">
        <f t="shared" si="7"/>
        <v>0</v>
      </c>
      <c r="AP49" s="71">
        <f t="shared" si="7"/>
        <v>0</v>
      </c>
      <c r="AQ49" s="71">
        <f t="shared" si="7"/>
        <v>0</v>
      </c>
      <c r="AR49" s="71">
        <f t="shared" si="7"/>
        <v>0</v>
      </c>
      <c r="AS49" s="71">
        <f t="shared" si="7"/>
        <v>0</v>
      </c>
      <c r="AT49" s="71">
        <f t="shared" si="7"/>
        <v>0</v>
      </c>
      <c r="AU49" s="71">
        <f t="shared" si="7"/>
        <v>0</v>
      </c>
      <c r="AV49" s="71">
        <f t="shared" si="7"/>
        <v>0</v>
      </c>
      <c r="AW49" s="71">
        <f t="shared" si="7"/>
        <v>0</v>
      </c>
      <c r="AX49" s="71">
        <f t="shared" si="7"/>
        <v>0</v>
      </c>
      <c r="AY49" s="71">
        <f t="shared" si="7"/>
        <v>0</v>
      </c>
      <c r="AZ49" s="71">
        <f t="shared" si="7"/>
        <v>0</v>
      </c>
      <c r="BA49" s="71">
        <f t="shared" si="7"/>
        <v>0</v>
      </c>
      <c r="BB49" s="71">
        <f t="shared" si="7"/>
        <v>0</v>
      </c>
      <c r="BC49" s="71">
        <f t="shared" si="10"/>
        <v>0</v>
      </c>
      <c r="BD49" s="72"/>
      <c r="BE49" s="72"/>
      <c r="BF49" s="72"/>
      <c r="BG49" s="72"/>
      <c r="BH49" s="72"/>
      <c r="BI49" s="72"/>
      <c r="BJ49" s="72"/>
      <c r="BK49" s="72"/>
      <c r="BL49" s="72"/>
      <c r="BM49" s="72"/>
      <c r="BN49" s="72"/>
      <c r="BO49" s="72"/>
      <c r="BP49" s="72"/>
      <c r="BQ49" s="72"/>
      <c r="BR49" s="72"/>
    </row>
    <row r="50" spans="1:70" s="67" customFormat="1" x14ac:dyDescent="0.25">
      <c r="A50" s="67" t="str">
        <f t="shared" si="8"/>
        <v>DOD</v>
      </c>
      <c r="B50" s="67" t="str">
        <f t="shared" si="8"/>
        <v>Agency</v>
      </c>
      <c r="C50" s="67" t="s">
        <v>244</v>
      </c>
      <c r="D50" s="67" t="str">
        <f t="shared" si="9"/>
        <v>Department of Defense</v>
      </c>
      <c r="E50" s="71">
        <f t="shared" si="7"/>
        <v>5.6363025586473325E-3</v>
      </c>
      <c r="F50" s="71">
        <f t="shared" si="7"/>
        <v>5.670038160868438E-3</v>
      </c>
      <c r="G50" s="71">
        <f t="shared" si="7"/>
        <v>5.2536893267940803E-3</v>
      </c>
      <c r="H50" s="71">
        <f t="shared" si="7"/>
        <v>5.0507196242557716E-3</v>
      </c>
      <c r="I50" s="71">
        <f t="shared" si="7"/>
        <v>5.0220280095991977E-3</v>
      </c>
      <c r="J50" s="71">
        <f t="shared" si="7"/>
        <v>5.5415745757167144E-3</v>
      </c>
      <c r="K50" s="71">
        <f t="shared" si="7"/>
        <v>6.2921212669956386E-3</v>
      </c>
      <c r="L50" s="71">
        <f t="shared" si="7"/>
        <v>6.6948529411764712E-3</v>
      </c>
      <c r="M50" s="71">
        <f t="shared" si="7"/>
        <v>7.0736293023226362E-3</v>
      </c>
      <c r="N50" s="71">
        <f t="shared" si="7"/>
        <v>7.4975528267049616E-3</v>
      </c>
      <c r="O50" s="71">
        <f t="shared" si="7"/>
        <v>7.7326926263463127E-3</v>
      </c>
      <c r="P50" s="71">
        <f t="shared" si="7"/>
        <v>7.7890994515117506E-3</v>
      </c>
      <c r="Q50" s="71">
        <f t="shared" si="7"/>
        <v>7.4196028062391136E-3</v>
      </c>
      <c r="R50" s="71">
        <f t="shared" si="7"/>
        <v>6.9451768105244669E-3</v>
      </c>
      <c r="S50" s="71">
        <f t="shared" si="7"/>
        <v>6.4198516634880265E-3</v>
      </c>
      <c r="T50" s="71">
        <f t="shared" si="7"/>
        <v>6.1065864676461776E-3</v>
      </c>
      <c r="U50" s="71">
        <f t="shared" si="7"/>
        <v>5.8880187025131502E-3</v>
      </c>
      <c r="V50" s="71">
        <f t="shared" si="7"/>
        <v>5.7337913679417598E-3</v>
      </c>
      <c r="W50" s="71">
        <f t="shared" si="7"/>
        <v>4.9477974320210113E-3</v>
      </c>
      <c r="X50" s="71">
        <f t="shared" si="7"/>
        <v>4.6755308067998819E-3</v>
      </c>
      <c r="Y50" s="71">
        <f t="shared" si="7"/>
        <v>4.5002146183183303E-3</v>
      </c>
      <c r="Z50" s="71">
        <f t="shared" si="7"/>
        <v>4.4063294097461559E-3</v>
      </c>
      <c r="AA50" s="71">
        <f t="shared" si="7"/>
        <v>4.206678013167914E-3</v>
      </c>
      <c r="AB50" s="71">
        <f t="shared" si="7"/>
        <v>4.1022719780582041E-3</v>
      </c>
      <c r="AC50" s="71">
        <f t="shared" si="7"/>
        <v>3.9497087844065602E-3</v>
      </c>
      <c r="AD50" s="71">
        <f t="shared" si="7"/>
        <v>4.0605278971282263E-3</v>
      </c>
      <c r="AE50" s="71">
        <f t="shared" si="7"/>
        <v>4.6059081852916394E-3</v>
      </c>
      <c r="AF50" s="71">
        <f t="shared" si="7"/>
        <v>5.257280372381691E-3</v>
      </c>
      <c r="AG50" s="71">
        <f t="shared" si="7"/>
        <v>5.4827083346323403E-3</v>
      </c>
      <c r="AH50" s="71">
        <f t="shared" si="7"/>
        <v>5.4726937410192406E-3</v>
      </c>
      <c r="AI50" s="71">
        <f t="shared" si="7"/>
        <v>5.4477266210790683E-3</v>
      </c>
      <c r="AJ50" s="71">
        <f t="shared" si="7"/>
        <v>5.5230079602946441E-3</v>
      </c>
      <c r="AK50" s="71">
        <f t="shared" si="7"/>
        <v>5.4854871482082849E-3</v>
      </c>
      <c r="AL50" s="71">
        <f t="shared" si="7"/>
        <v>5.6322713291353608E-3</v>
      </c>
      <c r="AM50" s="71">
        <f t="shared" si="7"/>
        <v>5.5697064040203179E-3</v>
      </c>
      <c r="AN50" s="71">
        <f t="shared" si="7"/>
        <v>5.1150281010117031E-3</v>
      </c>
      <c r="AO50" s="71">
        <f t="shared" si="7"/>
        <v>4.6221575257962347E-3</v>
      </c>
      <c r="AP50" s="71">
        <f t="shared" si="7"/>
        <v>3.9327948611015268E-3</v>
      </c>
      <c r="AQ50" s="71">
        <f t="shared" si="7"/>
        <v>3.8285193132738381E-3</v>
      </c>
      <c r="AR50" s="71">
        <f t="shared" si="7"/>
        <v>3.6781537228123759E-3</v>
      </c>
      <c r="AS50" s="71">
        <f t="shared" si="7"/>
        <v>3.9275297830587575E-3</v>
      </c>
      <c r="AT50" s="71">
        <f t="shared" si="7"/>
        <v>2.6174272108242642E-3</v>
      </c>
      <c r="AU50" s="71">
        <f t="shared" si="7"/>
        <v>3.042388588288317E-3</v>
      </c>
      <c r="AV50" s="71">
        <f t="shared" si="7"/>
        <v>3.0570554582769155E-3</v>
      </c>
      <c r="AW50" s="71">
        <f t="shared" si="7"/>
        <v>3.5186256997564204E-3</v>
      </c>
      <c r="AX50" s="71">
        <f t="shared" si="7"/>
        <v>3.143229107286304E-3</v>
      </c>
      <c r="AY50" s="71">
        <f t="shared" si="7"/>
        <v>3.1533540533438187E-3</v>
      </c>
      <c r="AZ50" s="71">
        <f t="shared" si="7"/>
        <v>3.3189657693216404E-3</v>
      </c>
      <c r="BA50" s="71">
        <f t="shared" si="7"/>
        <v>3.2938000877708335E-3</v>
      </c>
      <c r="BB50" s="71">
        <f t="shared" si="7"/>
        <v>3.2692653686625587E-3</v>
      </c>
      <c r="BC50" s="71">
        <f t="shared" si="10"/>
        <v>2.9036131667577662E-3</v>
      </c>
      <c r="BD50" s="72"/>
      <c r="BE50" s="72"/>
      <c r="BF50" s="72"/>
      <c r="BG50" s="72"/>
      <c r="BH50" s="72"/>
      <c r="BI50" s="72"/>
      <c r="BJ50" s="72"/>
      <c r="BK50" s="72"/>
      <c r="BL50" s="72"/>
      <c r="BM50" s="72"/>
      <c r="BN50" s="72"/>
      <c r="BO50" s="72"/>
      <c r="BP50" s="72"/>
      <c r="BQ50" s="72"/>
      <c r="BR50" s="72"/>
    </row>
    <row r="51" spans="1:70" s="67" customFormat="1" x14ac:dyDescent="0.25">
      <c r="A51" s="67" t="str">
        <f t="shared" si="8"/>
        <v>NASA</v>
      </c>
      <c r="B51" s="67" t="str">
        <f t="shared" si="8"/>
        <v>Agency</v>
      </c>
      <c r="C51" s="67" t="s">
        <v>244</v>
      </c>
      <c r="D51" s="67" t="str">
        <f t="shared" si="9"/>
        <v>National Aeronautics and Space Administration</v>
      </c>
      <c r="E51" s="71">
        <f t="shared" si="7"/>
        <v>1.9758132243435419E-3</v>
      </c>
      <c r="F51" s="71">
        <f t="shared" si="7"/>
        <v>1.8746989737319847E-3</v>
      </c>
      <c r="G51" s="71">
        <f t="shared" si="7"/>
        <v>1.7761551826519168E-3</v>
      </c>
      <c r="H51" s="71">
        <f t="shared" si="7"/>
        <v>1.7769895637430207E-3</v>
      </c>
      <c r="I51" s="71">
        <f t="shared" si="7"/>
        <v>1.8779325907088361E-3</v>
      </c>
      <c r="J51" s="71">
        <f t="shared" ref="E51:BB56" si="11">J7/J$23/1000</f>
        <v>1.7627205195924326E-3</v>
      </c>
      <c r="K51" s="71">
        <f t="shared" si="11"/>
        <v>1.3850030935458071E-3</v>
      </c>
      <c r="L51" s="71">
        <f t="shared" si="11"/>
        <v>7.7347285067873306E-4</v>
      </c>
      <c r="M51" s="71">
        <f t="shared" si="11"/>
        <v>7.5813302778428402E-4</v>
      </c>
      <c r="N51" s="71">
        <f t="shared" si="11"/>
        <v>8.3502828170334991E-4</v>
      </c>
      <c r="O51" s="71">
        <f t="shared" si="11"/>
        <v>8.2375034520850603E-4</v>
      </c>
      <c r="P51" s="71">
        <f t="shared" si="11"/>
        <v>9.086866695332083E-4</v>
      </c>
      <c r="Q51" s="71">
        <f t="shared" si="11"/>
        <v>9.1206663358340374E-4</v>
      </c>
      <c r="R51" s="71">
        <f t="shared" si="11"/>
        <v>1.065678910107252E-3</v>
      </c>
      <c r="S51" s="71">
        <f t="shared" si="11"/>
        <v>1.2056113583386312E-3</v>
      </c>
      <c r="T51" s="71">
        <f t="shared" si="11"/>
        <v>1.3332786273166288E-3</v>
      </c>
      <c r="U51" s="71">
        <f t="shared" si="11"/>
        <v>1.331650107149815E-3</v>
      </c>
      <c r="V51" s="71">
        <f t="shared" si="11"/>
        <v>1.3010150804573951E-3</v>
      </c>
      <c r="W51" s="71">
        <f t="shared" si="11"/>
        <v>1.3105331726314469E-3</v>
      </c>
      <c r="X51" s="71">
        <f t="shared" si="11"/>
        <v>1.2511201420555061E-3</v>
      </c>
      <c r="Y51" s="71">
        <f t="shared" si="11"/>
        <v>1.1862653079832606E-3</v>
      </c>
      <c r="Z51" s="71">
        <f t="shared" si="11"/>
        <v>1.1066048201253693E-3</v>
      </c>
      <c r="AA51" s="71">
        <f t="shared" si="11"/>
        <v>1.0918285036055002E-3</v>
      </c>
      <c r="AB51" s="71">
        <f t="shared" si="11"/>
        <v>1.025061750860398E-3</v>
      </c>
      <c r="AC51" s="71">
        <f t="shared" si="11"/>
        <v>9.3845683243427554E-4</v>
      </c>
      <c r="AD51" s="71">
        <f t="shared" si="11"/>
        <v>9.3935743143583924E-4</v>
      </c>
      <c r="AE51" s="71">
        <f t="shared" si="11"/>
        <v>9.4416696101857296E-4</v>
      </c>
      <c r="AF51" s="71">
        <f t="shared" si="11"/>
        <v>9.4703109830433329E-4</v>
      </c>
      <c r="AG51" s="71">
        <f t="shared" si="11"/>
        <v>8.9815873649293242E-4</v>
      </c>
      <c r="AH51" s="71">
        <f t="shared" si="11"/>
        <v>8.269658464402119E-4</v>
      </c>
      <c r="AI51" s="71">
        <f t="shared" si="11"/>
        <v>8.2823986653711478E-4</v>
      </c>
      <c r="AJ51" s="71">
        <f t="shared" si="11"/>
        <v>8.0961827285198754E-4</v>
      </c>
      <c r="AK51" s="71">
        <f t="shared" si="11"/>
        <v>7.5579355357574302E-4</v>
      </c>
      <c r="AL51" s="71">
        <f t="shared" si="11"/>
        <v>6.0743884484319808E-4</v>
      </c>
      <c r="AM51" s="71">
        <f t="shared" si="11"/>
        <v>6.2226223428556073E-4</v>
      </c>
      <c r="AN51" s="71">
        <f t="shared" si="11"/>
        <v>5.8830280234247834E-4</v>
      </c>
      <c r="AO51" s="71">
        <f t="shared" si="11"/>
        <v>7.0238385293081539E-4</v>
      </c>
      <c r="AP51" s="71">
        <f t="shared" si="11"/>
        <v>6.5999201922586491E-4</v>
      </c>
      <c r="AQ51" s="71">
        <f t="shared" si="11"/>
        <v>6.7662301589014912E-4</v>
      </c>
      <c r="AR51" s="71">
        <f t="shared" si="11"/>
        <v>6.3103622251864345E-4</v>
      </c>
      <c r="AS51" s="71">
        <f t="shared" si="11"/>
        <v>7.1605580993870069E-4</v>
      </c>
      <c r="AT51" s="71">
        <f t="shared" si="11"/>
        <v>5.5616204181204592E-4</v>
      </c>
      <c r="AU51" s="71">
        <f t="shared" si="11"/>
        <v>5.4602636692534473E-4</v>
      </c>
      <c r="AV51" s="71">
        <f t="shared" si="11"/>
        <v>5.0559686943946235E-4</v>
      </c>
      <c r="AW51" s="71">
        <f t="shared" si="11"/>
        <v>7.0277148649867764E-4</v>
      </c>
      <c r="AX51" s="71">
        <f t="shared" si="11"/>
        <v>5.3137953547889225E-4</v>
      </c>
      <c r="AY51" s="71">
        <f t="shared" si="11"/>
        <v>4.9313098063080772E-4</v>
      </c>
      <c r="AZ51" s="71">
        <f t="shared" si="11"/>
        <v>4.332828374077523E-4</v>
      </c>
      <c r="BA51" s="71">
        <f t="shared" si="11"/>
        <v>3.8856289417244134E-4</v>
      </c>
      <c r="BB51" s="71">
        <f t="shared" si="11"/>
        <v>3.7276374133870475E-4</v>
      </c>
      <c r="BC51" s="71">
        <f t="shared" si="10"/>
        <v>2.3520016234244436E-4</v>
      </c>
      <c r="BD51" s="72"/>
      <c r="BE51" s="72"/>
      <c r="BF51" s="72"/>
      <c r="BG51" s="72"/>
      <c r="BH51" s="72"/>
      <c r="BI51" s="72"/>
      <c r="BJ51" s="72"/>
      <c r="BK51" s="72"/>
      <c r="BL51" s="72"/>
      <c r="BM51" s="72"/>
      <c r="BN51" s="72"/>
      <c r="BO51" s="72"/>
      <c r="BP51" s="72"/>
      <c r="BQ51" s="72"/>
      <c r="BR51" s="72"/>
    </row>
    <row r="52" spans="1:70" s="67" customFormat="1" x14ac:dyDescent="0.25">
      <c r="A52" s="67" t="str">
        <f t="shared" si="8"/>
        <v>DOE</v>
      </c>
      <c r="B52" s="67" t="str">
        <f t="shared" si="8"/>
        <v>Agency</v>
      </c>
      <c r="C52" s="67" t="s">
        <v>244</v>
      </c>
      <c r="D52" s="67" t="str">
        <f t="shared" si="9"/>
        <v>Department of Energy</v>
      </c>
      <c r="E52" s="71">
        <f t="shared" si="11"/>
        <v>1.7182688539275517E-3</v>
      </c>
      <c r="F52" s="71">
        <f t="shared" si="11"/>
        <v>2.0520420387042594E-3</v>
      </c>
      <c r="G52" s="71">
        <f t="shared" si="11"/>
        <v>2.2226132089995386E-3</v>
      </c>
      <c r="H52" s="71">
        <f t="shared" si="11"/>
        <v>2.1211619227658519E-3</v>
      </c>
      <c r="I52" s="71">
        <f t="shared" si="11"/>
        <v>2.0663347541101042E-3</v>
      </c>
      <c r="J52" s="71">
        <f t="shared" si="11"/>
        <v>1.9647487812078611E-3</v>
      </c>
      <c r="K52" s="71">
        <f t="shared" si="11"/>
        <v>1.6315813300737925E-3</v>
      </c>
      <c r="L52" s="71">
        <f t="shared" si="11"/>
        <v>1.4606900452488686E-3</v>
      </c>
      <c r="M52" s="71">
        <f t="shared" si="11"/>
        <v>1.4273107674387688E-3</v>
      </c>
      <c r="N52" s="71">
        <f t="shared" si="11"/>
        <v>1.4017174174262184E-3</v>
      </c>
      <c r="O52" s="71">
        <f t="shared" si="11"/>
        <v>1.2240154653410662E-3</v>
      </c>
      <c r="P52" s="71">
        <f t="shared" si="11"/>
        <v>1.1373108344782021E-3</v>
      </c>
      <c r="Q52" s="71">
        <f t="shared" si="11"/>
        <v>1.1328876823228343E-3</v>
      </c>
      <c r="R52" s="71">
        <f t="shared" si="11"/>
        <v>1.1260964862930775E-3</v>
      </c>
      <c r="S52" s="71">
        <f t="shared" si="11"/>
        <v>1.1846408137317229E-3</v>
      </c>
      <c r="T52" s="71">
        <f t="shared" si="11"/>
        <v>1.2044131343675506E-3</v>
      </c>
      <c r="U52" s="71">
        <f t="shared" si="11"/>
        <v>1.2676251704656146E-3</v>
      </c>
      <c r="V52" s="71">
        <f t="shared" si="11"/>
        <v>1.0986926826388401E-3</v>
      </c>
      <c r="W52" s="71">
        <f t="shared" si="11"/>
        <v>9.4347798825389958E-4</v>
      </c>
      <c r="X52" s="71">
        <f t="shared" si="11"/>
        <v>8.4862954132869514E-4</v>
      </c>
      <c r="Y52" s="71">
        <f t="shared" si="11"/>
        <v>7.8895039505994284E-4</v>
      </c>
      <c r="Z52" s="71">
        <f t="shared" si="11"/>
        <v>7.3569797746427207E-4</v>
      </c>
      <c r="AA52" s="71">
        <f t="shared" si="11"/>
        <v>7.1113091772293641E-4</v>
      </c>
      <c r="AB52" s="71">
        <f t="shared" si="11"/>
        <v>7.3485797170246719E-4</v>
      </c>
      <c r="AC52" s="71">
        <f t="shared" si="11"/>
        <v>6.8756572428295729E-4</v>
      </c>
      <c r="AD52" s="71">
        <f t="shared" si="11"/>
        <v>7.3465390745055571E-4</v>
      </c>
      <c r="AE52" s="71">
        <f t="shared" si="11"/>
        <v>7.460058408652792E-4</v>
      </c>
      <c r="AF52" s="71">
        <f t="shared" si="11"/>
        <v>7.4951515017178318E-4</v>
      </c>
      <c r="AG52" s="71">
        <f t="shared" si="11"/>
        <v>7.2433922146914495E-4</v>
      </c>
      <c r="AH52" s="71">
        <f t="shared" si="11"/>
        <v>6.7132621232948719E-4</v>
      </c>
      <c r="AI52" s="71">
        <f t="shared" si="11"/>
        <v>6.2948261132601249E-4</v>
      </c>
      <c r="AJ52" s="71">
        <f t="shared" si="11"/>
        <v>6.3157386646627576E-4</v>
      </c>
      <c r="AK52" s="71">
        <f t="shared" si="11"/>
        <v>6.6022035504838109E-4</v>
      </c>
      <c r="AL52" s="71">
        <f t="shared" si="11"/>
        <v>7.1201951988277012E-4</v>
      </c>
      <c r="AM52" s="71">
        <f t="shared" si="11"/>
        <v>7.2801053451936255E-4</v>
      </c>
      <c r="AN52" s="71">
        <f t="shared" si="11"/>
        <v>6.9007097586561953E-4</v>
      </c>
      <c r="AO52" s="71">
        <f t="shared" si="11"/>
        <v>6.7109782006496196E-4</v>
      </c>
      <c r="AP52" s="71">
        <f t="shared" si="11"/>
        <v>6.4234622758407574E-4</v>
      </c>
      <c r="AQ52" s="71">
        <f t="shared" si="11"/>
        <v>6.904516049180162E-4</v>
      </c>
      <c r="AR52" s="71">
        <f t="shared" si="11"/>
        <v>7.953394107361306E-4</v>
      </c>
      <c r="AS52" s="71">
        <f t="shared" si="11"/>
        <v>8.0960955971110459E-4</v>
      </c>
      <c r="AT52" s="71">
        <f t="shared" si="11"/>
        <v>7.9599608223156931E-4</v>
      </c>
      <c r="AU52" s="71">
        <f t="shared" si="11"/>
        <v>8.5907624637042272E-4</v>
      </c>
      <c r="AV52" s="71">
        <f t="shared" si="11"/>
        <v>8.6350349612342647E-4</v>
      </c>
      <c r="AW52" s="71">
        <f t="shared" si="11"/>
        <v>9.0866188054641514E-4</v>
      </c>
      <c r="AX52" s="71">
        <f t="shared" si="11"/>
        <v>7.742672440572406E-4</v>
      </c>
      <c r="AY52" s="71">
        <f t="shared" si="11"/>
        <v>8.9157954844076316E-4</v>
      </c>
      <c r="AZ52" s="71">
        <f t="shared" si="11"/>
        <v>7.7050296721470953E-4</v>
      </c>
      <c r="BA52" s="71">
        <f t="shared" si="11"/>
        <v>7.3270949977703368E-4</v>
      </c>
      <c r="BB52" s="71">
        <f t="shared" si="11"/>
        <v>7.0526941357870851E-4</v>
      </c>
      <c r="BC52" s="71">
        <f t="shared" si="10"/>
        <v>4.5812645036281572E-4</v>
      </c>
      <c r="BD52" s="72"/>
      <c r="BE52" s="72"/>
      <c r="BF52" s="72"/>
      <c r="BG52" s="72"/>
      <c r="BH52" s="72"/>
      <c r="BI52" s="72"/>
      <c r="BJ52" s="72"/>
      <c r="BK52" s="72"/>
      <c r="BL52" s="72"/>
      <c r="BM52" s="72"/>
      <c r="BN52" s="72"/>
      <c r="BO52" s="72"/>
      <c r="BP52" s="72"/>
      <c r="BQ52" s="72"/>
      <c r="BR52" s="72"/>
    </row>
    <row r="53" spans="1:70" s="67" customFormat="1" x14ac:dyDescent="0.25">
      <c r="A53" s="67" t="str">
        <f t="shared" si="8"/>
        <v>HHS</v>
      </c>
      <c r="B53" s="67" t="str">
        <f t="shared" si="8"/>
        <v>Agency</v>
      </c>
      <c r="C53" s="67" t="s">
        <v>244</v>
      </c>
      <c r="D53" s="67" t="str">
        <f t="shared" si="9"/>
        <v>Health and Human Services</v>
      </c>
      <c r="E53" s="71">
        <f t="shared" si="11"/>
        <v>1.4568053300487095E-3</v>
      </c>
      <c r="F53" s="71">
        <f t="shared" si="11"/>
        <v>1.4197325034270682E-3</v>
      </c>
      <c r="G53" s="71">
        <f t="shared" si="11"/>
        <v>1.4946447029844509E-3</v>
      </c>
      <c r="H53" s="71">
        <f t="shared" si="11"/>
        <v>1.3759098837492572E-3</v>
      </c>
      <c r="I53" s="71">
        <f t="shared" si="11"/>
        <v>1.3632293420251442E-3</v>
      </c>
      <c r="J53" s="71">
        <f t="shared" si="11"/>
        <v>1.2804698034772479E-3</v>
      </c>
      <c r="K53" s="71">
        <f t="shared" si="11"/>
        <v>1.1888270179727467E-3</v>
      </c>
      <c r="L53" s="71">
        <f t="shared" si="11"/>
        <v>1.2361425339366516E-3</v>
      </c>
      <c r="M53" s="71">
        <f t="shared" si="11"/>
        <v>1.2343337532522616E-3</v>
      </c>
      <c r="N53" s="71">
        <f t="shared" si="11"/>
        <v>1.289997362328185E-3</v>
      </c>
      <c r="O53" s="71">
        <f t="shared" si="11"/>
        <v>1.2488925711129522E-3</v>
      </c>
      <c r="P53" s="71">
        <f t="shared" si="11"/>
        <v>1.3987603955827297E-3</v>
      </c>
      <c r="Q53" s="71">
        <f t="shared" si="11"/>
        <v>1.4047542594700839E-3</v>
      </c>
      <c r="R53" s="71">
        <f t="shared" si="11"/>
        <v>1.4336932403786E-3</v>
      </c>
      <c r="S53" s="71">
        <f t="shared" si="11"/>
        <v>1.4465607120152575E-3</v>
      </c>
      <c r="T53" s="71">
        <f t="shared" si="11"/>
        <v>1.5700025028002639E-3</v>
      </c>
      <c r="U53" s="71">
        <f t="shared" si="11"/>
        <v>1.5865497759594779E-3</v>
      </c>
      <c r="V53" s="71">
        <f t="shared" si="11"/>
        <v>1.5456675510030883E-3</v>
      </c>
      <c r="W53" s="71">
        <f t="shared" si="11"/>
        <v>1.5777813386095569E-3</v>
      </c>
      <c r="X53" s="71">
        <f t="shared" si="11"/>
        <v>1.5233270616400532E-3</v>
      </c>
      <c r="Y53" s="71">
        <f t="shared" si="11"/>
        <v>1.513332683546453E-3</v>
      </c>
      <c r="Z53" s="71">
        <f t="shared" si="11"/>
        <v>1.5278620049047305E-3</v>
      </c>
      <c r="AA53" s="71">
        <f t="shared" si="11"/>
        <v>1.549917140681686E-3</v>
      </c>
      <c r="AB53" s="71">
        <f t="shared" si="11"/>
        <v>1.6693698326674315E-3</v>
      </c>
      <c r="AC53" s="71">
        <f t="shared" si="11"/>
        <v>1.7971597522011054E-3</v>
      </c>
      <c r="AD53" s="71">
        <f t="shared" si="11"/>
        <v>1.9993872156074759E-3</v>
      </c>
      <c r="AE53" s="71">
        <f t="shared" si="11"/>
        <v>2.2177742378594266E-3</v>
      </c>
      <c r="AF53" s="71">
        <f t="shared" si="11"/>
        <v>2.4555699878089326E-3</v>
      </c>
      <c r="AG53" s="71">
        <f t="shared" si="11"/>
        <v>2.3711033655694738E-3</v>
      </c>
      <c r="AH53" s="71">
        <f t="shared" si="11"/>
        <v>2.2718722424931565E-3</v>
      </c>
      <c r="AI53" s="71">
        <f t="shared" si="11"/>
        <v>2.1248476870487053E-3</v>
      </c>
      <c r="AJ53" s="71">
        <f t="shared" si="11"/>
        <v>2.0706216200264164E-3</v>
      </c>
      <c r="AK53" s="71">
        <f t="shared" si="11"/>
        <v>1.9768017260751222E-3</v>
      </c>
      <c r="AL53" s="71">
        <f t="shared" si="11"/>
        <v>2.1468008543404781E-3</v>
      </c>
      <c r="AM53" s="71">
        <f t="shared" si="11"/>
        <v>2.1336258767568729E-3</v>
      </c>
      <c r="AN53" s="71">
        <f t="shared" si="11"/>
        <v>2.0161607083685573E-3</v>
      </c>
      <c r="AO53" s="71">
        <f t="shared" si="11"/>
        <v>1.9476220287192125E-3</v>
      </c>
      <c r="AP53" s="71">
        <f t="shared" si="11"/>
        <v>1.7883095681681122E-3</v>
      </c>
      <c r="AQ53" s="71">
        <f t="shared" si="11"/>
        <v>1.7655406119168203E-3</v>
      </c>
      <c r="AR53" s="71">
        <f t="shared" si="11"/>
        <v>1.6685165111929726E-3</v>
      </c>
      <c r="AS53" s="71">
        <f t="shared" si="11"/>
        <v>1.7295666465887555E-3</v>
      </c>
      <c r="AT53" s="71">
        <f t="shared" si="11"/>
        <v>1.7648143866276274E-3</v>
      </c>
      <c r="AU53" s="71">
        <f t="shared" si="11"/>
        <v>1.8149751082531481E-3</v>
      </c>
      <c r="AV53" s="71">
        <f t="shared" si="11"/>
        <v>1.8176074274722752E-3</v>
      </c>
      <c r="AW53" s="71">
        <f t="shared" si="11"/>
        <v>2.1107834897843868E-3</v>
      </c>
      <c r="AX53" s="71">
        <f t="shared" si="11"/>
        <v>1.8409501875284071E-3</v>
      </c>
      <c r="AY53" s="71">
        <f t="shared" si="11"/>
        <v>1.7850954233540729E-3</v>
      </c>
      <c r="AZ53" s="71">
        <f t="shared" si="11"/>
        <v>1.7935040929495643E-3</v>
      </c>
      <c r="BA53" s="71">
        <f t="shared" si="11"/>
        <v>1.697905533101637E-3</v>
      </c>
      <c r="BB53" s="71">
        <f t="shared" si="11"/>
        <v>1.6617757827970404E-3</v>
      </c>
      <c r="BC53" s="71">
        <f t="shared" si="10"/>
        <v>1.016833209503579E-3</v>
      </c>
      <c r="BD53" s="72"/>
      <c r="BE53" s="72"/>
      <c r="BF53" s="72"/>
      <c r="BG53" s="72"/>
      <c r="BH53" s="72"/>
      <c r="BI53" s="72"/>
      <c r="BJ53" s="72"/>
      <c r="BK53" s="72"/>
      <c r="BL53" s="72"/>
      <c r="BM53" s="72"/>
      <c r="BN53" s="72"/>
      <c r="BO53" s="72"/>
      <c r="BP53" s="72"/>
      <c r="BQ53" s="72"/>
      <c r="BR53" s="72"/>
    </row>
    <row r="54" spans="1:70" s="67" customFormat="1" x14ac:dyDescent="0.25">
      <c r="A54" s="67" t="str">
        <f t="shared" si="8"/>
        <v>NIH</v>
      </c>
      <c r="B54" s="67" t="str">
        <f t="shared" si="8"/>
        <v>Agency</v>
      </c>
      <c r="C54" s="67" t="s">
        <v>244</v>
      </c>
      <c r="D54" s="67" t="str">
        <f t="shared" si="9"/>
        <v>National Insitutes of Health</v>
      </c>
      <c r="E54" s="71">
        <f t="shared" si="11"/>
        <v>1.2670623145400594E-3</v>
      </c>
      <c r="F54" s="71">
        <f t="shared" si="11"/>
        <v>1.2266310992553075E-3</v>
      </c>
      <c r="G54" s="71">
        <f t="shared" si="11"/>
        <v>1.2490268094745871E-3</v>
      </c>
      <c r="H54" s="71">
        <f t="shared" si="11"/>
        <v>1.2558588230708516E-3</v>
      </c>
      <c r="I54" s="71">
        <f t="shared" si="11"/>
        <v>1.2340699881800924E-3</v>
      </c>
      <c r="J54" s="71">
        <f t="shared" si="11"/>
        <v>1.1392734323261175E-3</v>
      </c>
      <c r="K54" s="71">
        <f t="shared" si="11"/>
        <v>1.1155175275778292E-3</v>
      </c>
      <c r="L54" s="71">
        <f t="shared" si="11"/>
        <v>1.1462669683257917E-3</v>
      </c>
      <c r="M54" s="71">
        <f t="shared" si="11"/>
        <v>1.1704216703488702E-3</v>
      </c>
      <c r="N54" s="71">
        <f t="shared" si="11"/>
        <v>1.2344773013686584E-3</v>
      </c>
      <c r="O54" s="71">
        <f t="shared" si="11"/>
        <v>1.1957580778790388E-3</v>
      </c>
      <c r="P54" s="71">
        <f t="shared" si="11"/>
        <v>1.3429886841525699E-3</v>
      </c>
      <c r="Q54" s="71">
        <f t="shared" si="11"/>
        <v>1.3463136487919742E-3</v>
      </c>
      <c r="R54" s="71">
        <f t="shared" si="11"/>
        <v>1.3593054499138114E-3</v>
      </c>
      <c r="S54" s="71">
        <f t="shared" si="11"/>
        <v>1.3743928798474255E-3</v>
      </c>
      <c r="T54" s="71">
        <f t="shared" si="11"/>
        <v>1.4733533830884552E-3</v>
      </c>
      <c r="U54" s="71">
        <f t="shared" si="11"/>
        <v>1.4999883109292811E-3</v>
      </c>
      <c r="V54" s="71">
        <f t="shared" si="11"/>
        <v>1.459826650382085E-3</v>
      </c>
      <c r="W54" s="71">
        <f t="shared" si="11"/>
        <v>1.4593449772532516E-3</v>
      </c>
      <c r="X54" s="71">
        <f t="shared" si="11"/>
        <v>1.4234649507137496E-3</v>
      </c>
      <c r="Y54" s="71">
        <f t="shared" si="11"/>
        <v>1.4368069472697946E-3</v>
      </c>
      <c r="Z54" s="71">
        <f t="shared" si="11"/>
        <v>1.4456558819788132E-3</v>
      </c>
      <c r="AA54" s="71">
        <f t="shared" si="11"/>
        <v>1.467900747973306E-3</v>
      </c>
      <c r="AB54" s="71">
        <f t="shared" si="11"/>
        <v>1.5818612023154924E-3</v>
      </c>
      <c r="AC54" s="71">
        <f t="shared" si="11"/>
        <v>1.7034935477299592E-3</v>
      </c>
      <c r="AD54" s="71">
        <f t="shared" si="11"/>
        <v>1.881772419477043E-3</v>
      </c>
      <c r="AE54" s="71">
        <f t="shared" si="11"/>
        <v>2.0975305375673836E-3</v>
      </c>
      <c r="AF54" s="71">
        <f t="shared" si="11"/>
        <v>2.3404863127562893E-3</v>
      </c>
      <c r="AG54" s="71">
        <f t="shared" si="11"/>
        <v>2.2652707233074987E-3</v>
      </c>
      <c r="AH54" s="71">
        <f t="shared" si="11"/>
        <v>2.170932752853399E-3</v>
      </c>
      <c r="AI54" s="71">
        <f t="shared" si="11"/>
        <v>2.034723573898578E-3</v>
      </c>
      <c r="AJ54" s="71">
        <f t="shared" si="11"/>
        <v>1.9817738967056364E-3</v>
      </c>
      <c r="AK54" s="71">
        <f t="shared" si="11"/>
        <v>1.9282769830180294E-3</v>
      </c>
      <c r="AL54" s="71">
        <f t="shared" si="11"/>
        <v>2.0565283086685145E-3</v>
      </c>
      <c r="AM54" s="71">
        <f t="shared" si="11"/>
        <v>2.0282134986966214E-3</v>
      </c>
      <c r="AN54" s="71">
        <f t="shared" si="11"/>
        <v>1.9287461145926445E-3</v>
      </c>
      <c r="AO54" s="71">
        <f t="shared" si="11"/>
        <v>1.8628890230408598E-3</v>
      </c>
      <c r="AP54" s="71">
        <f t="shared" si="11"/>
        <v>1.7006410643232391E-3</v>
      </c>
      <c r="AQ54" s="71">
        <f t="shared" si="11"/>
        <v>1.6839094861643015E-3</v>
      </c>
      <c r="AR54" s="71">
        <f t="shared" si="11"/>
        <v>1.5896162492518438E-3</v>
      </c>
      <c r="AS54" s="71">
        <f t="shared" si="11"/>
        <v>1.6540384550168927E-3</v>
      </c>
      <c r="AT54" s="71">
        <f t="shared" si="11"/>
        <v>1.6908756004603636E-3</v>
      </c>
      <c r="AU54" s="71">
        <f t="shared" si="11"/>
        <v>1.7426175268385549E-3</v>
      </c>
      <c r="AV54" s="71">
        <f t="shared" si="11"/>
        <v>1.7530963294366735E-3</v>
      </c>
      <c r="AW54" s="71">
        <f t="shared" si="11"/>
        <v>2.0472534412109642E-3</v>
      </c>
      <c r="AX54" s="71">
        <f t="shared" si="11"/>
        <v>1.7777322414794742E-3</v>
      </c>
      <c r="AY54" s="71">
        <f t="shared" si="11"/>
        <v>1.7275983821794735E-3</v>
      </c>
      <c r="AZ54" s="71">
        <f t="shared" si="11"/>
        <v>1.7330201659416565E-3</v>
      </c>
      <c r="BA54" s="71">
        <f t="shared" si="11"/>
        <v>1.6282905214578451E-3</v>
      </c>
      <c r="BB54" s="71">
        <f t="shared" si="11"/>
        <v>1.5551988220979336E-3</v>
      </c>
      <c r="BC54" s="71">
        <f t="shared" si="10"/>
        <v>9.0116421789236299E-4</v>
      </c>
      <c r="BD54" s="72"/>
      <c r="BE54" s="72"/>
      <c r="BF54" s="72"/>
      <c r="BG54" s="72"/>
      <c r="BH54" s="72"/>
      <c r="BI54" s="72"/>
      <c r="BJ54" s="72"/>
      <c r="BK54" s="72"/>
      <c r="BL54" s="72"/>
      <c r="BM54" s="72"/>
      <c r="BN54" s="72"/>
      <c r="BO54" s="72"/>
      <c r="BP54" s="72"/>
      <c r="BQ54" s="72"/>
      <c r="BR54" s="72"/>
    </row>
    <row r="55" spans="1:70" s="67" customFormat="1" x14ac:dyDescent="0.25">
      <c r="A55" s="67" t="str">
        <f t="shared" si="8"/>
        <v>NSF</v>
      </c>
      <c r="B55" s="67" t="str">
        <f t="shared" si="8"/>
        <v>Agency</v>
      </c>
      <c r="C55" s="67" t="s">
        <v>244</v>
      </c>
      <c r="D55" s="67" t="str">
        <f t="shared" si="9"/>
        <v>National Science Foundation</v>
      </c>
      <c r="E55" s="71">
        <f t="shared" si="11"/>
        <v>3.7455909523542919E-4</v>
      </c>
      <c r="F55" s="71">
        <f t="shared" si="11"/>
        <v>3.5765008089116122E-4</v>
      </c>
      <c r="G55" s="71">
        <f t="shared" si="11"/>
        <v>3.4704963821504764E-4</v>
      </c>
      <c r="H55" s="71">
        <f t="shared" si="11"/>
        <v>3.2663243132631086E-4</v>
      </c>
      <c r="I55" s="71">
        <f t="shared" si="11"/>
        <v>3.2665926430029728E-4</v>
      </c>
      <c r="J55" s="71">
        <f t="shared" si="11"/>
        <v>3.0543609220531567E-4</v>
      </c>
      <c r="K55" s="71">
        <f t="shared" si="11"/>
        <v>2.939623040125553E-4</v>
      </c>
      <c r="L55" s="71">
        <f t="shared" si="11"/>
        <v>2.9949095022624434E-4</v>
      </c>
      <c r="M55" s="71">
        <f t="shared" si="11"/>
        <v>3.1601537029885988E-4</v>
      </c>
      <c r="N55" s="71">
        <f t="shared" si="11"/>
        <v>3.327452302101345E-4</v>
      </c>
      <c r="O55" s="71">
        <f t="shared" si="11"/>
        <v>3.0930682132007729E-4</v>
      </c>
      <c r="P55" s="71">
        <f t="shared" si="11"/>
        <v>3.2028357786330797E-4</v>
      </c>
      <c r="Q55" s="71">
        <f t="shared" si="11"/>
        <v>3.0886144924151753E-4</v>
      </c>
      <c r="R55" s="71">
        <f t="shared" si="11"/>
        <v>3.1717427212213134E-4</v>
      </c>
      <c r="S55" s="71">
        <f t="shared" si="11"/>
        <v>2.9307904216995125E-4</v>
      </c>
      <c r="T55" s="71">
        <f t="shared" si="11"/>
        <v>3.1074111608479983E-4</v>
      </c>
      <c r="U55" s="71">
        <f t="shared" si="11"/>
        <v>3.0729787648548607E-4</v>
      </c>
      <c r="V55" s="71">
        <f t="shared" si="11"/>
        <v>2.9718131602543053E-4</v>
      </c>
      <c r="W55" s="71">
        <f t="shared" si="11"/>
        <v>3.124908560162188E-4</v>
      </c>
      <c r="X55" s="71">
        <f t="shared" si="11"/>
        <v>3.1691340103234941E-4</v>
      </c>
      <c r="Y55" s="71">
        <f t="shared" si="11"/>
        <v>3.007198250037273E-4</v>
      </c>
      <c r="Z55" s="71">
        <f t="shared" si="11"/>
        <v>2.8687774559890667E-4</v>
      </c>
      <c r="AA55" s="71">
        <f t="shared" si="11"/>
        <v>2.8001769158418063E-4</v>
      </c>
      <c r="AB55" s="71">
        <f t="shared" si="11"/>
        <v>2.8163268646413811E-4</v>
      </c>
      <c r="AC55" s="71">
        <f t="shared" si="11"/>
        <v>2.897165435661987E-4</v>
      </c>
      <c r="AD55" s="71">
        <f t="shared" si="11"/>
        <v>3.1545919637867914E-4</v>
      </c>
      <c r="AE55" s="71">
        <f t="shared" si="11"/>
        <v>3.2556422257287422E-4</v>
      </c>
      <c r="AF55" s="71">
        <f t="shared" si="11"/>
        <v>3.4811509335766011E-4</v>
      </c>
      <c r="AG55" s="71">
        <f t="shared" si="11"/>
        <v>3.4278005967252668E-4</v>
      </c>
      <c r="AH55" s="71">
        <f t="shared" si="11"/>
        <v>3.1949981535500964E-4</v>
      </c>
      <c r="AI55" s="71">
        <f t="shared" si="11"/>
        <v>3.067415983658616E-4</v>
      </c>
      <c r="AJ55" s="71">
        <f t="shared" si="11"/>
        <v>3.1037072742240608E-4</v>
      </c>
      <c r="AK55" s="71">
        <f t="shared" si="11"/>
        <v>3.0455358757009647E-4</v>
      </c>
      <c r="AL55" s="71">
        <f t="shared" si="11"/>
        <v>3.2951200293074735E-4</v>
      </c>
      <c r="AM55" s="71">
        <f t="shared" si="11"/>
        <v>3.6225711254721216E-4</v>
      </c>
      <c r="AN55" s="71">
        <f t="shared" si="11"/>
        <v>3.552359706604353E-4</v>
      </c>
      <c r="AO55" s="71">
        <f t="shared" si="11"/>
        <v>3.5416223732380263E-4</v>
      </c>
      <c r="AP55" s="71">
        <f t="shared" si="11"/>
        <v>3.1975781650820127E-4</v>
      </c>
      <c r="AQ55" s="71">
        <f t="shared" si="11"/>
        <v>3.3390411796791456E-4</v>
      </c>
      <c r="AR55" s="71">
        <f t="shared" si="11"/>
        <v>3.3117873508006833E-4</v>
      </c>
      <c r="AS55" s="71">
        <f t="shared" si="11"/>
        <v>3.2489422681385676E-4</v>
      </c>
      <c r="AT55" s="71">
        <f t="shared" si="11"/>
        <v>3.0897787292193292E-4</v>
      </c>
      <c r="AU55" s="71">
        <f t="shared" si="11"/>
        <v>3.1317336512009928E-4</v>
      </c>
      <c r="AV55" s="71">
        <f t="shared" si="11"/>
        <v>3.1420307526531079E-4</v>
      </c>
      <c r="AW55" s="71">
        <f t="shared" si="11"/>
        <v>3.1982803778565967E-4</v>
      </c>
      <c r="AX55" s="71">
        <f t="shared" si="11"/>
        <v>3.2764684275407888E-4</v>
      </c>
      <c r="AY55" s="71">
        <f t="shared" si="11"/>
        <v>2.8159719272178349E-4</v>
      </c>
      <c r="AZ55" s="71">
        <f t="shared" si="11"/>
        <v>2.9604510351664745E-4</v>
      </c>
      <c r="BA55" s="71">
        <f t="shared" si="11"/>
        <v>2.5665890413867793E-4</v>
      </c>
      <c r="BB55" s="71">
        <f t="shared" si="11"/>
        <v>2.393295228746809E-4</v>
      </c>
      <c r="BC55" s="71">
        <f t="shared" si="10"/>
        <v>1.0267504999558139E-4</v>
      </c>
      <c r="BD55" s="72"/>
      <c r="BE55" s="72"/>
      <c r="BF55" s="72"/>
      <c r="BG55" s="72"/>
      <c r="BH55" s="72"/>
      <c r="BI55" s="72"/>
      <c r="BJ55" s="72"/>
      <c r="BK55" s="72"/>
      <c r="BL55" s="72"/>
      <c r="BM55" s="72"/>
      <c r="BN55" s="72"/>
      <c r="BO55" s="72"/>
      <c r="BP55" s="72"/>
      <c r="BQ55" s="72"/>
      <c r="BR55" s="72"/>
    </row>
    <row r="56" spans="1:70" s="67" customFormat="1" x14ac:dyDescent="0.25">
      <c r="A56" s="67" t="str">
        <f t="shared" si="8"/>
        <v>USDA</v>
      </c>
      <c r="B56" s="67" t="str">
        <f t="shared" si="8"/>
        <v>Agency</v>
      </c>
      <c r="C56" s="67" t="s">
        <v>244</v>
      </c>
      <c r="D56" s="67" t="str">
        <f t="shared" si="9"/>
        <v>U.S. Department of Agriculture</v>
      </c>
      <c r="E56" s="71">
        <f t="shared" si="11"/>
        <v>2.9001735625104982E-4</v>
      </c>
      <c r="F56" s="71">
        <f t="shared" si="11"/>
        <v>2.6823756066837094E-4</v>
      </c>
      <c r="G56" s="71">
        <f t="shared" si="11"/>
        <v>2.7843145879610288E-4</v>
      </c>
      <c r="H56" s="71">
        <f t="shared" si="11"/>
        <v>2.7907973846018927E-4</v>
      </c>
      <c r="I56" s="71">
        <f t="shared" si="11"/>
        <v>2.5609799777929012E-4</v>
      </c>
      <c r="J56" s="71">
        <f t="shared" si="11"/>
        <v>2.6075369627141364E-4</v>
      </c>
      <c r="K56" s="71">
        <f t="shared" si="11"/>
        <v>2.5050175803944646E-4</v>
      </c>
      <c r="L56" s="71">
        <f t="shared" si="11"/>
        <v>2.5028280542986424E-4</v>
      </c>
      <c r="M56" s="71">
        <f t="shared" si="11"/>
        <v>2.472161907233789E-4</v>
      </c>
      <c r="N56" s="71">
        <f t="shared" si="11"/>
        <v>2.3492863632367165E-4</v>
      </c>
      <c r="O56" s="71">
        <f t="shared" ref="E56:BB61" si="12">O12/O$23/1000</f>
        <v>2.1207401270367302E-4</v>
      </c>
      <c r="P56" s="71">
        <f t="shared" si="12"/>
        <v>2.290436588256269E-4</v>
      </c>
      <c r="Q56" s="71">
        <f t="shared" si="12"/>
        <v>2.1739595800371697E-4</v>
      </c>
      <c r="R56" s="71">
        <f t="shared" si="12"/>
        <v>2.0505250082138019E-4</v>
      </c>
      <c r="S56" s="71">
        <f t="shared" si="12"/>
        <v>2.0738292011019283E-4</v>
      </c>
      <c r="T56" s="71">
        <f t="shared" si="12"/>
        <v>2.2830461951281556E-4</v>
      </c>
      <c r="U56" s="71">
        <f t="shared" si="12"/>
        <v>2.3677381648158971E-4</v>
      </c>
      <c r="V56" s="71">
        <f t="shared" si="12"/>
        <v>2.1650621925885477E-4</v>
      </c>
      <c r="W56" s="71">
        <f t="shared" si="12"/>
        <v>2.1294857771863698E-4</v>
      </c>
      <c r="X56" s="71">
        <f t="shared" si="12"/>
        <v>1.9668206483101146E-4</v>
      </c>
      <c r="Y56" s="71">
        <f t="shared" si="12"/>
        <v>1.8708630322619187E-4</v>
      </c>
      <c r="Z56" s="71">
        <f t="shared" si="12"/>
        <v>1.8416523439464445E-4</v>
      </c>
      <c r="AA56" s="71">
        <f t="shared" si="12"/>
        <v>1.7479139606754157E-4</v>
      </c>
      <c r="AB56" s="71">
        <f t="shared" si="12"/>
        <v>1.7353007107348656E-4</v>
      </c>
      <c r="AC56" s="71">
        <f t="shared" si="12"/>
        <v>1.7550576624172497E-4</v>
      </c>
      <c r="AD56" s="71">
        <f t="shared" si="12"/>
        <v>2.072099546587052E-4</v>
      </c>
      <c r="AE56" s="71">
        <f t="shared" si="12"/>
        <v>1.9503411019150188E-4</v>
      </c>
      <c r="AF56" s="71">
        <f t="shared" si="12"/>
        <v>2.0769748420702648E-4</v>
      </c>
      <c r="AG56" s="71">
        <f t="shared" si="12"/>
        <v>1.8476990960994481E-4</v>
      </c>
      <c r="AH56" s="71">
        <f t="shared" si="12"/>
        <v>1.8835400449378697E-4</v>
      </c>
      <c r="AI56" s="71">
        <f t="shared" si="12"/>
        <v>1.7879707408290099E-4</v>
      </c>
      <c r="AJ56" s="71">
        <f t="shared" si="12"/>
        <v>1.5903113340265461E-4</v>
      </c>
      <c r="AK56" s="71">
        <f t="shared" si="12"/>
        <v>1.5760404012415036E-4</v>
      </c>
      <c r="AL56" s="71">
        <f t="shared" si="12"/>
        <v>1.6844884670947586E-4</v>
      </c>
      <c r="AM56" s="71">
        <f t="shared" si="12"/>
        <v>1.7541855902824434E-4</v>
      </c>
      <c r="AN56" s="71">
        <f t="shared" si="12"/>
        <v>1.5291088334322029E-4</v>
      </c>
      <c r="AO56" s="71">
        <f t="shared" si="12"/>
        <v>1.4469790200457187E-4</v>
      </c>
      <c r="AP56" s="71">
        <f t="shared" si="12"/>
        <v>1.2697231631468253E-4</v>
      </c>
      <c r="AQ56" s="71">
        <f t="shared" si="12"/>
        <v>1.370113394153703E-4</v>
      </c>
      <c r="AR56" s="71">
        <f t="shared" si="12"/>
        <v>1.3570474604150974E-4</v>
      </c>
      <c r="AS56" s="71">
        <f t="shared" si="12"/>
        <v>1.4336184072992602E-4</v>
      </c>
      <c r="AT56" s="71">
        <f t="shared" si="12"/>
        <v>1.3428265608072474E-4</v>
      </c>
      <c r="AU56" s="71">
        <f t="shared" si="12"/>
        <v>1.2894116082445281E-4</v>
      </c>
      <c r="AV56" s="71">
        <f t="shared" si="12"/>
        <v>1.4296212276958194E-4</v>
      </c>
      <c r="AW56" s="71">
        <f t="shared" si="12"/>
        <v>1.4189597785469753E-4</v>
      </c>
      <c r="AX56" s="71">
        <f t="shared" si="12"/>
        <v>1.7871059369281092E-4</v>
      </c>
      <c r="AY56" s="71">
        <f t="shared" si="12"/>
        <v>1.4822776731678497E-4</v>
      </c>
      <c r="AZ56" s="71">
        <f t="shared" si="12"/>
        <v>1.25304017900574E-4</v>
      </c>
      <c r="BA56" s="71">
        <f t="shared" si="12"/>
        <v>1.1604861371631617E-4</v>
      </c>
      <c r="BB56" s="71">
        <f t="shared" si="12"/>
        <v>1.1373435172782828E-4</v>
      </c>
      <c r="BC56" s="71">
        <f t="shared" si="10"/>
        <v>8.1596716493141357E-5</v>
      </c>
      <c r="BD56" s="72"/>
      <c r="BE56" s="72"/>
      <c r="BF56" s="72"/>
      <c r="BG56" s="72"/>
      <c r="BH56" s="72"/>
      <c r="BI56" s="72"/>
      <c r="BJ56" s="72"/>
      <c r="BK56" s="72"/>
      <c r="BL56" s="72"/>
      <c r="BM56" s="72"/>
      <c r="BN56" s="72"/>
      <c r="BO56" s="72"/>
      <c r="BP56" s="72"/>
      <c r="BQ56" s="72"/>
      <c r="BR56" s="72"/>
    </row>
    <row r="57" spans="1:70" s="67" customFormat="1" x14ac:dyDescent="0.25">
      <c r="A57" s="67" t="str">
        <f t="shared" si="8"/>
        <v>Interior</v>
      </c>
      <c r="B57" s="67" t="str">
        <f t="shared" si="8"/>
        <v>Agency</v>
      </c>
      <c r="C57" s="67" t="s">
        <v>244</v>
      </c>
      <c r="D57" s="67" t="str">
        <f t="shared" si="9"/>
        <v>Department of the Interior</v>
      </c>
      <c r="E57" s="71">
        <f t="shared" si="12"/>
        <v>1.8196069648955825E-4</v>
      </c>
      <c r="F57" s="71">
        <f t="shared" si="12"/>
        <v>1.6153532659034491E-4</v>
      </c>
      <c r="G57" s="71">
        <f t="shared" si="12"/>
        <v>1.5966922518639073E-4</v>
      </c>
      <c r="H57" s="71">
        <f t="shared" si="12"/>
        <v>1.598082301238514E-4</v>
      </c>
      <c r="I57" s="71">
        <f t="shared" si="12"/>
        <v>1.4685339732798452E-4</v>
      </c>
      <c r="J57" s="71">
        <f t="shared" si="12"/>
        <v>1.3149390803405436E-4</v>
      </c>
      <c r="K57" s="71">
        <f t="shared" si="12"/>
        <v>1.1619659860865891E-4</v>
      </c>
      <c r="L57" s="71">
        <f t="shared" si="12"/>
        <v>1.0958710407239819E-4</v>
      </c>
      <c r="M57" s="71">
        <f t="shared" si="12"/>
        <v>9.2095184437255878E-5</v>
      </c>
      <c r="N57" s="71">
        <f t="shared" si="12"/>
        <v>9.113449195510095E-5</v>
      </c>
      <c r="O57" s="71">
        <f t="shared" si="12"/>
        <v>8.4683789008561179E-5</v>
      </c>
      <c r="P57" s="71">
        <f t="shared" si="12"/>
        <v>8.5597726343166982E-5</v>
      </c>
      <c r="Q57" s="71">
        <f t="shared" si="12"/>
        <v>8.2824921427250884E-5</v>
      </c>
      <c r="R57" s="71">
        <f t="shared" si="12"/>
        <v>8.6341685157097404E-5</v>
      </c>
      <c r="S57" s="71">
        <f t="shared" si="12"/>
        <v>8.9985166348802707E-5</v>
      </c>
      <c r="T57" s="71">
        <f t="shared" si="12"/>
        <v>1.0175319107033689E-4</v>
      </c>
      <c r="U57" s="71">
        <f t="shared" si="12"/>
        <v>1.0019871420222092E-4</v>
      </c>
      <c r="V57" s="71">
        <f t="shared" si="12"/>
        <v>9.5803522340256745E-5</v>
      </c>
      <c r="W57" s="71">
        <f t="shared" si="12"/>
        <v>9.8594787406731355E-5</v>
      </c>
      <c r="X57" s="71">
        <f t="shared" si="12"/>
        <v>8.8354821322875367E-5</v>
      </c>
      <c r="Y57" s="71">
        <f t="shared" si="12"/>
        <v>7.1819728158514467E-5</v>
      </c>
      <c r="Z57" s="71">
        <f t="shared" si="12"/>
        <v>6.9958969474117044E-5</v>
      </c>
      <c r="AA57" s="71">
        <f t="shared" si="12"/>
        <v>5.9972230931159586E-5</v>
      </c>
      <c r="AB57" s="71">
        <f t="shared" si="12"/>
        <v>5.2639213049039391E-5</v>
      </c>
      <c r="AC57" s="71">
        <f t="shared" si="12"/>
        <v>6.1097501006961003E-5</v>
      </c>
      <c r="AD57" s="71">
        <f t="shared" si="12"/>
        <v>5.9012752090711076E-5</v>
      </c>
      <c r="AE57" s="71">
        <f t="shared" si="12"/>
        <v>5.7531276332952406E-5</v>
      </c>
      <c r="AF57" s="71">
        <f t="shared" si="12"/>
        <v>5.7031319960101962E-5</v>
      </c>
      <c r="AG57" s="71">
        <f t="shared" si="12"/>
        <v>5.2104078464138081E-5</v>
      </c>
      <c r="AH57" s="71">
        <f t="shared" si="12"/>
        <v>4.8381496812682292E-5</v>
      </c>
      <c r="AI57" s="71">
        <f t="shared" si="12"/>
        <v>4.6894604652868168E-5</v>
      </c>
      <c r="AJ57" s="71">
        <f t="shared" si="12"/>
        <v>4.5216990117350997E-5</v>
      </c>
      <c r="AK57" s="71">
        <f t="shared" si="12"/>
        <v>4.61856206588349E-5</v>
      </c>
      <c r="AL57" s="71">
        <f t="shared" si="12"/>
        <v>4.850766901909824E-5</v>
      </c>
      <c r="AM57" s="71">
        <f t="shared" si="12"/>
        <v>5.2139152401171703E-5</v>
      </c>
      <c r="AN57" s="71">
        <f t="shared" si="12"/>
        <v>4.8942150870993975E-5</v>
      </c>
      <c r="AO57" s="71">
        <f t="shared" si="12"/>
        <v>5.0901878869047159E-5</v>
      </c>
      <c r="AP57" s="71">
        <f t="shared" si="12"/>
        <v>4.7125151139660547E-5</v>
      </c>
      <c r="AQ57" s="71">
        <f t="shared" si="12"/>
        <v>4.8383712345268575E-5</v>
      </c>
      <c r="AR57" s="71">
        <f t="shared" si="12"/>
        <v>4.7762856886148911E-5</v>
      </c>
      <c r="AS57" s="71">
        <f t="shared" si="12"/>
        <v>5.2487453553533978E-5</v>
      </c>
      <c r="AT57" s="71">
        <f t="shared" si="12"/>
        <v>4.8872186701930042E-5</v>
      </c>
      <c r="AU57" s="71">
        <f t="shared" si="12"/>
        <v>4.2975329955989453E-5</v>
      </c>
      <c r="AV57" s="71">
        <f t="shared" si="12"/>
        <v>4.5285136690273471E-5</v>
      </c>
      <c r="AW57" s="71">
        <f t="shared" si="12"/>
        <v>4.9514265772118005E-5</v>
      </c>
      <c r="AX57" s="71">
        <f t="shared" si="12"/>
        <v>4.3990970733360872E-5</v>
      </c>
      <c r="AY57" s="71">
        <f t="shared" si="12"/>
        <v>4.5049228136799486E-5</v>
      </c>
      <c r="AZ57" s="71">
        <f t="shared" si="12"/>
        <v>4.8031353800397482E-5</v>
      </c>
      <c r="BA57" s="71">
        <f t="shared" si="12"/>
        <v>2.4915591355988589E-5</v>
      </c>
      <c r="BB57" s="71">
        <f t="shared" si="12"/>
        <v>2.1847084044812084E-5</v>
      </c>
      <c r="BC57" s="71">
        <f t="shared" si="10"/>
        <v>1.158653736003692E-5</v>
      </c>
      <c r="BD57" s="72"/>
      <c r="BE57" s="72"/>
      <c r="BF57" s="72"/>
      <c r="BG57" s="72"/>
      <c r="BH57" s="72"/>
      <c r="BI57" s="72"/>
      <c r="BJ57" s="72"/>
      <c r="BK57" s="72"/>
      <c r="BL57" s="72"/>
      <c r="BM57" s="72"/>
      <c r="BN57" s="72"/>
      <c r="BO57" s="72"/>
      <c r="BP57" s="72"/>
      <c r="BQ57" s="72"/>
      <c r="BR57" s="72"/>
    </row>
    <row r="58" spans="1:70" s="67" customFormat="1" x14ac:dyDescent="0.25">
      <c r="A58" s="67" t="str">
        <f t="shared" si="8"/>
        <v>DOT</v>
      </c>
      <c r="B58" s="67" t="str">
        <f t="shared" si="8"/>
        <v>Agency</v>
      </c>
      <c r="C58" s="67" t="s">
        <v>244</v>
      </c>
      <c r="D58" s="67" t="str">
        <f t="shared" si="9"/>
        <v>Department of Transportation</v>
      </c>
      <c r="E58" s="71">
        <f t="shared" si="12"/>
        <v>1.8028105929119312E-4</v>
      </c>
      <c r="F58" s="71">
        <f t="shared" si="12"/>
        <v>1.6351129388808615E-4</v>
      </c>
      <c r="G58" s="71">
        <f t="shared" si="12"/>
        <v>1.6406782643119488E-4</v>
      </c>
      <c r="H58" s="71">
        <f t="shared" si="12"/>
        <v>1.3642165986182438E-4</v>
      </c>
      <c r="I58" s="71">
        <f t="shared" si="12"/>
        <v>1.421970700956338E-4</v>
      </c>
      <c r="J58" s="71">
        <f t="shared" si="12"/>
        <v>1.2989810817927216E-4</v>
      </c>
      <c r="K58" s="71">
        <f t="shared" si="12"/>
        <v>9.4164516275069043E-5</v>
      </c>
      <c r="L58" s="71">
        <f t="shared" si="12"/>
        <v>1.050339366515837E-4</v>
      </c>
      <c r="M58" s="71">
        <f t="shared" si="12"/>
        <v>1.2382333018921674E-4</v>
      </c>
      <c r="N58" s="71">
        <f t="shared" si="12"/>
        <v>1.0295126168635151E-4</v>
      </c>
      <c r="O58" s="71">
        <f t="shared" si="12"/>
        <v>8.3689588511460923E-5</v>
      </c>
      <c r="P58" s="71">
        <f t="shared" si="12"/>
        <v>6.4748880475706068E-5</v>
      </c>
      <c r="Q58" s="71">
        <f t="shared" si="12"/>
        <v>6.11845754152436E-5</v>
      </c>
      <c r="R58" s="71">
        <f t="shared" si="12"/>
        <v>5.8743310814764141E-5</v>
      </c>
      <c r="S58" s="71">
        <f t="shared" si="12"/>
        <v>5.996185632549269E-5</v>
      </c>
      <c r="T58" s="71">
        <f t="shared" si="12"/>
        <v>6.7468930401637907E-5</v>
      </c>
      <c r="U58" s="71">
        <f t="shared" si="12"/>
        <v>9.6801090979933762E-5</v>
      </c>
      <c r="V58" s="71">
        <f t="shared" si="12"/>
        <v>9.1656119817130546E-5</v>
      </c>
      <c r="W58" s="71">
        <f t="shared" si="12"/>
        <v>8.928708277308289E-5</v>
      </c>
      <c r="X58" s="71">
        <f t="shared" si="12"/>
        <v>8.8090285929693109E-5</v>
      </c>
      <c r="Y58" s="71">
        <f t="shared" si="12"/>
        <v>7.558488679559697E-5</v>
      </c>
      <c r="Z58" s="71">
        <f t="shared" si="12"/>
        <v>7.2417251161841319E-5</v>
      </c>
      <c r="AA58" s="71">
        <f t="shared" si="12"/>
        <v>6.6013906928830571E-5</v>
      </c>
      <c r="AB58" s="71">
        <f t="shared" si="12"/>
        <v>6.4046942785184004E-5</v>
      </c>
      <c r="AC58" s="71">
        <f t="shared" si="12"/>
        <v>6.0013689727515115E-5</v>
      </c>
      <c r="AD58" s="71">
        <f t="shared" si="12"/>
        <v>6.8255155820620434E-5</v>
      </c>
      <c r="AE58" s="71">
        <f t="shared" si="12"/>
        <v>7.1844951576225598E-5</v>
      </c>
      <c r="AF58" s="71">
        <f t="shared" si="12"/>
        <v>6.2027618308766472E-5</v>
      </c>
      <c r="AG58" s="71">
        <f t="shared" si="12"/>
        <v>5.5257442266963459E-5</v>
      </c>
      <c r="AH58" s="71">
        <f t="shared" si="12"/>
        <v>5.5041803122286303E-5</v>
      </c>
      <c r="AI58" s="71">
        <f t="shared" si="12"/>
        <v>5.9947128164702003E-5</v>
      </c>
      <c r="AJ58" s="71">
        <f t="shared" si="12"/>
        <v>5.3615371844499007E-5</v>
      </c>
      <c r="AK58" s="71">
        <f t="shared" si="12"/>
        <v>5.9135306650356578E-5</v>
      </c>
      <c r="AL58" s="71">
        <f t="shared" si="12"/>
        <v>6.3932108962971672E-5</v>
      </c>
      <c r="AM58" s="71">
        <f t="shared" si="12"/>
        <v>7.2104842016802975E-5</v>
      </c>
      <c r="AN58" s="71">
        <f t="shared" si="12"/>
        <v>6.1677073550781458E-5</v>
      </c>
      <c r="AO58" s="71">
        <f t="shared" si="12"/>
        <v>5.7074352436539489E-5</v>
      </c>
      <c r="AP58" s="71">
        <f t="shared" si="12"/>
        <v>4.90865013906349E-5</v>
      </c>
      <c r="AQ58" s="71">
        <f t="shared" si="12"/>
        <v>4.5882276748513665E-5</v>
      </c>
      <c r="AR58" s="71">
        <f t="shared" si="12"/>
        <v>4.9015861606618338E-5</v>
      </c>
      <c r="AS58" s="71">
        <f t="shared" si="12"/>
        <v>4.7543809722905956E-5</v>
      </c>
      <c r="AT58" s="71">
        <f t="shared" si="12"/>
        <v>4.7866400978922509E-5</v>
      </c>
      <c r="AU58" s="71">
        <f t="shared" si="12"/>
        <v>4.9816889510613515E-5</v>
      </c>
      <c r="AV58" s="71">
        <f t="shared" si="12"/>
        <v>4.8815004383446405E-5</v>
      </c>
      <c r="AW58" s="71">
        <f t="shared" si="12"/>
        <v>5.1979117701522721E-5</v>
      </c>
      <c r="AX58" s="71">
        <f t="shared" si="12"/>
        <v>4.6690115438149418E-5</v>
      </c>
      <c r="AY58" s="71">
        <f t="shared" si="12"/>
        <v>6.1409210986479299E-5</v>
      </c>
      <c r="AZ58" s="71">
        <f t="shared" si="12"/>
        <v>5.2293395225587076E-5</v>
      </c>
      <c r="BA58" s="71">
        <f t="shared" si="12"/>
        <v>5.0680577871840422E-5</v>
      </c>
      <c r="BB58" s="71">
        <f t="shared" si="12"/>
        <v>5.0033571572206151E-5</v>
      </c>
      <c r="BC58" s="71">
        <f t="shared" si="10"/>
        <v>4.6411610103198735E-5</v>
      </c>
      <c r="BD58" s="72"/>
      <c r="BE58" s="72"/>
      <c r="BF58" s="72"/>
      <c r="BG58" s="72"/>
      <c r="BH58" s="72"/>
      <c r="BI58" s="72"/>
      <c r="BJ58" s="72"/>
      <c r="BK58" s="72"/>
      <c r="BL58" s="72"/>
      <c r="BM58" s="72"/>
      <c r="BN58" s="72"/>
      <c r="BO58" s="72"/>
      <c r="BP58" s="72"/>
      <c r="BQ58" s="72"/>
      <c r="BR58" s="72"/>
    </row>
    <row r="59" spans="1:70" s="67" customFormat="1" x14ac:dyDescent="0.25">
      <c r="A59" s="67" t="str">
        <f t="shared" si="8"/>
        <v>EPA</v>
      </c>
      <c r="B59" s="67" t="str">
        <f t="shared" si="8"/>
        <v>Agency</v>
      </c>
      <c r="C59" s="67" t="s">
        <v>244</v>
      </c>
      <c r="D59" s="67" t="str">
        <f t="shared" si="9"/>
        <v>Environmental Protection Agency</v>
      </c>
      <c r="E59" s="71">
        <f t="shared" si="12"/>
        <v>1.5284698505122892E-4</v>
      </c>
      <c r="F59" s="71">
        <f t="shared" si="12"/>
        <v>1.4424561273510922E-4</v>
      </c>
      <c r="G59" s="71">
        <f t="shared" si="12"/>
        <v>1.6670698717807737E-4</v>
      </c>
      <c r="H59" s="71">
        <f t="shared" si="12"/>
        <v>1.4967404967697302E-4</v>
      </c>
      <c r="I59" s="71">
        <f t="shared" si="12"/>
        <v>1.2249722411261147E-4</v>
      </c>
      <c r="J59" s="71">
        <f t="shared" si="12"/>
        <v>1.19684989108666E-4</v>
      </c>
      <c r="K59" s="71">
        <f t="shared" si="12"/>
        <v>8.6015663905111139E-5</v>
      </c>
      <c r="L59" s="71">
        <f t="shared" si="12"/>
        <v>6.5695701357466069E-5</v>
      </c>
      <c r="M59" s="71">
        <f t="shared" si="12"/>
        <v>6.3000500104452194E-5</v>
      </c>
      <c r="N59" s="71">
        <f t="shared" si="12"/>
        <v>7.1627443509861958E-5</v>
      </c>
      <c r="O59" s="71">
        <f t="shared" si="12"/>
        <v>7.1494062413697884E-5</v>
      </c>
      <c r="P59" s="71">
        <f t="shared" si="12"/>
        <v>7.229977032710036E-5</v>
      </c>
      <c r="Q59" s="71">
        <f t="shared" si="12"/>
        <v>7.2763717391092814E-5</v>
      </c>
      <c r="R59" s="71">
        <f t="shared" si="12"/>
        <v>7.1525336765877395E-5</v>
      </c>
      <c r="S59" s="71">
        <f t="shared" si="12"/>
        <v>7.1913541004450088E-5</v>
      </c>
      <c r="T59" s="71">
        <f t="shared" si="12"/>
        <v>7.5313773197060646E-5</v>
      </c>
      <c r="U59" s="71">
        <f t="shared" si="12"/>
        <v>7.6758231053964535E-5</v>
      </c>
      <c r="V59" s="71">
        <f t="shared" si="12"/>
        <v>7.3310136414120357E-5</v>
      </c>
      <c r="W59" s="71">
        <f t="shared" si="12"/>
        <v>8.194402836899197E-5</v>
      </c>
      <c r="X59" s="71">
        <f t="shared" si="12"/>
        <v>7.3276303911486452E-5</v>
      </c>
      <c r="Y59" s="71">
        <f t="shared" si="12"/>
        <v>6.0681307832342411E-5</v>
      </c>
      <c r="Z59" s="71">
        <f t="shared" si="12"/>
        <v>7.0405660851790175E-5</v>
      </c>
      <c r="AA59" s="71">
        <f t="shared" si="12"/>
        <v>7.1337394186411077E-5</v>
      </c>
      <c r="AB59" s="71">
        <f t="shared" si="12"/>
        <v>7.055131400239987E-5</v>
      </c>
      <c r="AC59" s="71">
        <f t="shared" si="12"/>
        <v>5.5134512692650782E-5</v>
      </c>
      <c r="AD59" s="71">
        <f t="shared" si="12"/>
        <v>5.448555800194286E-5</v>
      </c>
      <c r="AE59" s="71">
        <f t="shared" si="12"/>
        <v>5.4654984936108322E-5</v>
      </c>
      <c r="AF59" s="71">
        <f t="shared" si="12"/>
        <v>5.02803945472681E-5</v>
      </c>
      <c r="AG59" s="71">
        <f t="shared" si="12"/>
        <v>5.502798579198856E-5</v>
      </c>
      <c r="AH59" s="71">
        <f t="shared" si="12"/>
        <v>4.9914524589270207E-5</v>
      </c>
      <c r="AI59" s="71">
        <f t="shared" si="12"/>
        <v>4.5575375364364676E-5</v>
      </c>
      <c r="AJ59" s="71">
        <f t="shared" si="12"/>
        <v>3.8901461863110893E-5</v>
      </c>
      <c r="AK59" s="71">
        <f t="shared" si="12"/>
        <v>3.7008564481983165E-5</v>
      </c>
      <c r="AL59" s="71">
        <f t="shared" si="12"/>
        <v>3.889461060460486E-5</v>
      </c>
      <c r="AM59" s="71">
        <f t="shared" si="12"/>
        <v>4.0082233748085239E-5</v>
      </c>
      <c r="AN59" s="71">
        <f t="shared" si="12"/>
        <v>3.7612698958887349E-5</v>
      </c>
      <c r="AO59" s="71">
        <f t="shared" si="12"/>
        <v>3.5258862436120471E-5</v>
      </c>
      <c r="AP59" s="71">
        <f t="shared" si="12"/>
        <v>3.1780882745626329E-5</v>
      </c>
      <c r="AQ59" s="71">
        <f t="shared" si="12"/>
        <v>3.0971470842634127E-5</v>
      </c>
      <c r="AR59" s="71">
        <f t="shared" si="12"/>
        <v>2.8784496402629089E-5</v>
      </c>
      <c r="AS59" s="71">
        <f t="shared" si="12"/>
        <v>2.7691871952740927E-5</v>
      </c>
      <c r="AT59" s="71">
        <f t="shared" si="12"/>
        <v>2.5901957065622617E-5</v>
      </c>
      <c r="AU59" s="71">
        <f t="shared" si="12"/>
        <v>2.4243188462192055E-5</v>
      </c>
      <c r="AV59" s="71">
        <f t="shared" si="12"/>
        <v>2.3157830064062117E-5</v>
      </c>
      <c r="AW59" s="71">
        <f t="shared" si="12"/>
        <v>2.4699799153882316E-5</v>
      </c>
      <c r="AX59" s="71">
        <f t="shared" si="12"/>
        <v>2.2936560791139896E-5</v>
      </c>
      <c r="AY59" s="71">
        <f t="shared" si="12"/>
        <v>2.0825388796573097E-5</v>
      </c>
      <c r="AZ59" s="71">
        <f t="shared" si="12"/>
        <v>2.1050778517458155E-5</v>
      </c>
      <c r="BA59" s="71">
        <f t="shared" si="12"/>
        <v>1.9015834141438447E-5</v>
      </c>
      <c r="BB59" s="71">
        <f t="shared" si="12"/>
        <v>1.822748915314431E-5</v>
      </c>
      <c r="BC59" s="71">
        <f t="shared" si="10"/>
        <v>9.9074713527773305E-6</v>
      </c>
      <c r="BD59" s="72"/>
      <c r="BE59" s="72"/>
      <c r="BF59" s="72"/>
      <c r="BG59" s="72"/>
      <c r="BH59" s="72"/>
      <c r="BI59" s="72"/>
      <c r="BJ59" s="72"/>
      <c r="BK59" s="72"/>
      <c r="BL59" s="72"/>
      <c r="BM59" s="72"/>
      <c r="BN59" s="72"/>
      <c r="BO59" s="72"/>
      <c r="BP59" s="72"/>
      <c r="BQ59" s="72"/>
      <c r="BR59" s="72"/>
    </row>
    <row r="60" spans="1:70" s="67" customFormat="1" x14ac:dyDescent="0.25">
      <c r="A60" s="67" t="str">
        <f t="shared" si="8"/>
        <v>Commerce</v>
      </c>
      <c r="B60" s="67" t="str">
        <f t="shared" si="8"/>
        <v>Agency</v>
      </c>
      <c r="C60" s="67" t="s">
        <v>244</v>
      </c>
      <c r="D60" s="67" t="str">
        <f t="shared" si="9"/>
        <v>Department of Commerce</v>
      </c>
      <c r="E60" s="71">
        <f t="shared" si="12"/>
        <v>1.2933206427411681E-4</v>
      </c>
      <c r="F60" s="71">
        <f t="shared" si="12"/>
        <v>1.2497993158213231E-4</v>
      </c>
      <c r="G60" s="71">
        <f t="shared" si="12"/>
        <v>1.2360069497899668E-4</v>
      </c>
      <c r="H60" s="71">
        <f t="shared" si="12"/>
        <v>1.2940568878321625E-4</v>
      </c>
      <c r="I60" s="71">
        <f t="shared" si="12"/>
        <v>1.2822808839858159E-4</v>
      </c>
      <c r="J60" s="71">
        <f t="shared" si="12"/>
        <v>1.1011018997997271E-4</v>
      </c>
      <c r="K60" s="71">
        <f t="shared" si="12"/>
        <v>9.2957278886927127E-5</v>
      </c>
      <c r="L60" s="71">
        <f t="shared" si="12"/>
        <v>9.1911764705882365E-5</v>
      </c>
      <c r="M60" s="71">
        <f t="shared" si="12"/>
        <v>9.1892610481936088E-5</v>
      </c>
      <c r="N60" s="71">
        <f t="shared" si="12"/>
        <v>9.179097916239266E-5</v>
      </c>
      <c r="O60" s="71">
        <f t="shared" si="12"/>
        <v>8.7268710301021822E-5</v>
      </c>
      <c r="P60" s="71">
        <f t="shared" si="12"/>
        <v>8.7527398194078856E-5</v>
      </c>
      <c r="Q60" s="71">
        <f t="shared" si="12"/>
        <v>7.971120257660234E-5</v>
      </c>
      <c r="R60" s="71">
        <f t="shared" si="12"/>
        <v>7.680017282739314E-5</v>
      </c>
      <c r="S60" s="71">
        <f t="shared" si="12"/>
        <v>7.6728120364484006E-5</v>
      </c>
      <c r="T60" s="71">
        <f t="shared" si="12"/>
        <v>8.8098569300898126E-5</v>
      </c>
      <c r="U60" s="71">
        <f t="shared" si="12"/>
        <v>9.0909799337619322E-5</v>
      </c>
      <c r="V60" s="71">
        <f t="shared" si="12"/>
        <v>1.1708663422049864E-4</v>
      </c>
      <c r="W60" s="71">
        <f t="shared" si="12"/>
        <v>1.4238837372942167E-4</v>
      </c>
      <c r="X60" s="71">
        <f t="shared" si="12"/>
        <v>1.4787528478888424E-4</v>
      </c>
      <c r="Y60" s="71">
        <f t="shared" si="12"/>
        <v>1.2475908103366421E-4</v>
      </c>
      <c r="Z60" s="71">
        <f t="shared" si="12"/>
        <v>1.1405847219715952E-4</v>
      </c>
      <c r="AA60" s="71">
        <f t="shared" si="12"/>
        <v>1.2214672817664711E-4</v>
      </c>
      <c r="AB60" s="71">
        <f t="shared" si="12"/>
        <v>1.1432382610071603E-4</v>
      </c>
      <c r="AC60" s="71">
        <f t="shared" si="12"/>
        <v>1.1602217043957864E-4</v>
      </c>
      <c r="AD60" s="71">
        <f t="shared" si="12"/>
        <v>9.7849126782240662E-5</v>
      </c>
      <c r="AE60" s="71">
        <f t="shared" si="12"/>
        <v>1.1328776073230137E-4</v>
      </c>
      <c r="AF60" s="71">
        <f t="shared" si="12"/>
        <v>1.0616610883298238E-4</v>
      </c>
      <c r="AG60" s="71">
        <f t="shared" si="12"/>
        <v>9.3119340229498045E-5</v>
      </c>
      <c r="AH60" s="71">
        <f t="shared" si="12"/>
        <v>8.7340293381204747E-5</v>
      </c>
      <c r="AI60" s="71">
        <f t="shared" si="12"/>
        <v>7.79008194767815E-5</v>
      </c>
      <c r="AJ60" s="71">
        <f t="shared" si="12"/>
        <v>7.499006492314951E-5</v>
      </c>
      <c r="AK60" s="71">
        <f t="shared" si="12"/>
        <v>8.0270670746439635E-5</v>
      </c>
      <c r="AL60" s="71">
        <f t="shared" si="12"/>
        <v>9.5982595232005968E-5</v>
      </c>
      <c r="AM60" s="71">
        <f t="shared" si="12"/>
        <v>8.9817661444196613E-5</v>
      </c>
      <c r="AN60" s="71">
        <f t="shared" si="12"/>
        <v>7.8707531265103175E-5</v>
      </c>
      <c r="AO60" s="71">
        <f t="shared" si="12"/>
        <v>7.7838780713774698E-5</v>
      </c>
      <c r="AP60" s="71">
        <f t="shared" si="12"/>
        <v>7.7831449650616119E-5</v>
      </c>
      <c r="AQ60" s="71">
        <f t="shared" si="12"/>
        <v>8.934267658559682E-5</v>
      </c>
      <c r="AR60" s="71">
        <f t="shared" si="12"/>
        <v>8.4418027631678985E-5</v>
      </c>
      <c r="AS60" s="71">
        <f t="shared" si="12"/>
        <v>9.0349466244967586E-5</v>
      </c>
      <c r="AT60" s="71">
        <f t="shared" si="12"/>
        <v>9.331797055438503E-5</v>
      </c>
      <c r="AU60" s="71">
        <f t="shared" si="12"/>
        <v>1.0166678570285121E-4</v>
      </c>
      <c r="AV60" s="71">
        <f t="shared" si="12"/>
        <v>9.2511330559119813E-5</v>
      </c>
      <c r="AW60" s="71">
        <f t="shared" si="12"/>
        <v>9.2983044778238342E-5</v>
      </c>
      <c r="AX60" s="71">
        <f t="shared" si="12"/>
        <v>9.1989348866055337E-5</v>
      </c>
      <c r="AY60" s="71">
        <f t="shared" si="12"/>
        <v>3.1781681166063704E-4</v>
      </c>
      <c r="AZ60" s="71">
        <f t="shared" si="12"/>
        <v>1.9053178232086688E-4</v>
      </c>
      <c r="BA60" s="71">
        <f t="shared" si="12"/>
        <v>1.5243103973045861E-4</v>
      </c>
      <c r="BB60" s="71">
        <f t="shared" si="12"/>
        <v>1.3234356840250442E-4</v>
      </c>
      <c r="BC60" s="71">
        <f t="shared" si="10"/>
        <v>1.0270778032710693E-4</v>
      </c>
      <c r="BD60" s="72"/>
      <c r="BE60" s="72"/>
      <c r="BF60" s="72"/>
      <c r="BG60" s="72"/>
      <c r="BH60" s="72"/>
      <c r="BI60" s="72"/>
      <c r="BJ60" s="72"/>
      <c r="BK60" s="72"/>
      <c r="BL60" s="72"/>
      <c r="BM60" s="72"/>
      <c r="BN60" s="72"/>
      <c r="BO60" s="72"/>
      <c r="BP60" s="72"/>
      <c r="BQ60" s="72"/>
      <c r="BR60" s="72"/>
    </row>
    <row r="61" spans="1:70" s="67" customFormat="1" x14ac:dyDescent="0.25">
      <c r="A61" s="67" t="str">
        <f t="shared" si="8"/>
        <v>DHS</v>
      </c>
      <c r="B61" s="67" t="str">
        <f t="shared" si="8"/>
        <v>Agency</v>
      </c>
      <c r="C61" s="67" t="s">
        <v>244</v>
      </c>
      <c r="D61" s="67" t="str">
        <f t="shared" si="9"/>
        <v>Department of Homeland Security</v>
      </c>
      <c r="E61" s="71">
        <f t="shared" si="12"/>
        <v>0</v>
      </c>
      <c r="F61" s="71">
        <f t="shared" si="12"/>
        <v>0</v>
      </c>
      <c r="G61" s="71">
        <f t="shared" si="12"/>
        <v>0</v>
      </c>
      <c r="H61" s="71">
        <f t="shared" si="12"/>
        <v>0</v>
      </c>
      <c r="I61" s="71">
        <f t="shared" si="12"/>
        <v>0</v>
      </c>
      <c r="J61" s="71">
        <f t="shared" si="12"/>
        <v>0</v>
      </c>
      <c r="K61" s="71">
        <f t="shared" si="12"/>
        <v>0</v>
      </c>
      <c r="L61" s="71">
        <f t="shared" si="12"/>
        <v>0</v>
      </c>
      <c r="M61" s="71">
        <f t="shared" si="12"/>
        <v>0</v>
      </c>
      <c r="N61" s="71">
        <f t="shared" si="12"/>
        <v>0</v>
      </c>
      <c r="O61" s="71">
        <f t="shared" si="12"/>
        <v>0</v>
      </c>
      <c r="P61" s="71">
        <f t="shared" si="12"/>
        <v>0</v>
      </c>
      <c r="Q61" s="71">
        <f t="shared" si="12"/>
        <v>0</v>
      </c>
      <c r="R61" s="71">
        <f t="shared" si="12"/>
        <v>0</v>
      </c>
      <c r="S61" s="71">
        <f t="shared" si="12"/>
        <v>0</v>
      </c>
      <c r="T61" s="71">
        <f t="shared" ref="E61:BB63" si="13">T17/T$23/1000</f>
        <v>0</v>
      </c>
      <c r="U61" s="71">
        <f t="shared" si="13"/>
        <v>0</v>
      </c>
      <c r="V61" s="71">
        <f t="shared" si="13"/>
        <v>0</v>
      </c>
      <c r="W61" s="71">
        <f t="shared" si="13"/>
        <v>0</v>
      </c>
      <c r="X61" s="71">
        <f t="shared" si="13"/>
        <v>0</v>
      </c>
      <c r="Y61" s="71">
        <f t="shared" si="13"/>
        <v>0</v>
      </c>
      <c r="Z61" s="71">
        <f t="shared" si="13"/>
        <v>0</v>
      </c>
      <c r="AA61" s="71">
        <f t="shared" si="13"/>
        <v>0</v>
      </c>
      <c r="AB61" s="71">
        <f t="shared" si="13"/>
        <v>0</v>
      </c>
      <c r="AC61" s="71">
        <f t="shared" si="13"/>
        <v>0</v>
      </c>
      <c r="AD61" s="71">
        <f t="shared" si="13"/>
        <v>0</v>
      </c>
      <c r="AE61" s="71">
        <f t="shared" si="13"/>
        <v>2.4563955166164534E-5</v>
      </c>
      <c r="AF61" s="71">
        <f t="shared" si="13"/>
        <v>6.5344120580738119E-5</v>
      </c>
      <c r="AG61" s="71">
        <f t="shared" si="13"/>
        <v>8.5499805668655694E-5</v>
      </c>
      <c r="AH61" s="71">
        <f t="shared" si="13"/>
        <v>9.657358478810276E-5</v>
      </c>
      <c r="AI61" s="71">
        <f t="shared" si="13"/>
        <v>9.5321319229288502E-5</v>
      </c>
      <c r="AJ61" s="71">
        <f t="shared" si="13"/>
        <v>6.9642354709331279E-5</v>
      </c>
      <c r="AK61" s="71">
        <f t="shared" si="13"/>
        <v>6.7245291562405483E-5</v>
      </c>
      <c r="AL61" s="71">
        <f t="shared" si="13"/>
        <v>7.5757052110621888E-5</v>
      </c>
      <c r="AM61" s="71">
        <f t="shared" si="13"/>
        <v>5.9592593587917556E-5</v>
      </c>
      <c r="AN61" s="71">
        <f t="shared" si="13"/>
        <v>4.9159458895905841E-5</v>
      </c>
      <c r="AO61" s="71">
        <f t="shared" si="13"/>
        <v>2.9858297239038637E-5</v>
      </c>
      <c r="AP61" s="71">
        <f t="shared" si="13"/>
        <v>4.1043981266182818E-5</v>
      </c>
      <c r="AQ61" s="71">
        <f t="shared" si="13"/>
        <v>5.9409958939774016E-5</v>
      </c>
      <c r="AR61" s="71">
        <f t="shared" si="13"/>
        <v>5.0812432182128566E-5</v>
      </c>
      <c r="AS61" s="71">
        <f t="shared" si="13"/>
        <v>3.1411635387655184E-5</v>
      </c>
      <c r="AT61" s="71">
        <f t="shared" si="13"/>
        <v>3.7591299852174387E-5</v>
      </c>
      <c r="AU61" s="71">
        <f t="shared" si="13"/>
        <v>3.5617810111836549E-5</v>
      </c>
      <c r="AV61" s="71">
        <f t="shared" si="13"/>
        <v>2.8345420302800441E-5</v>
      </c>
      <c r="AW61" s="71">
        <f t="shared" si="13"/>
        <v>2.5297494409070835E-5</v>
      </c>
      <c r="AX61" s="71">
        <f t="shared" si="13"/>
        <v>2.5715272910783131E-5</v>
      </c>
      <c r="AY61" s="71">
        <f t="shared" si="13"/>
        <v>3.2798999432932965E-5</v>
      </c>
      <c r="AZ61" s="71">
        <f t="shared" si="13"/>
        <v>2.3496819683219141E-5</v>
      </c>
      <c r="BA61" s="71">
        <f t="shared" si="13"/>
        <v>1.6386248292361815E-5</v>
      </c>
      <c r="BB61" s="71">
        <f t="shared" si="13"/>
        <v>1.571217744876501E-5</v>
      </c>
      <c r="BC61" s="71">
        <f t="shared" si="10"/>
        <v>1.6299705099712955E-5</v>
      </c>
      <c r="BD61" s="72"/>
      <c r="BE61" s="72"/>
      <c r="BF61" s="72"/>
      <c r="BG61" s="72"/>
      <c r="BH61" s="72"/>
      <c r="BI61" s="72"/>
      <c r="BJ61" s="72"/>
      <c r="BK61" s="72"/>
      <c r="BL61" s="72"/>
      <c r="BM61" s="72"/>
      <c r="BN61" s="72"/>
      <c r="BO61" s="72"/>
      <c r="BP61" s="72"/>
      <c r="BQ61" s="72"/>
      <c r="BR61" s="72"/>
    </row>
    <row r="62" spans="1:70" s="67" customFormat="1" x14ac:dyDescent="0.25">
      <c r="A62" s="67" t="str">
        <f t="shared" si="8"/>
        <v>VA</v>
      </c>
      <c r="B62" s="67" t="str">
        <f t="shared" si="8"/>
        <v>Agency</v>
      </c>
      <c r="C62" s="67" t="s">
        <v>244</v>
      </c>
      <c r="D62" s="67" t="str">
        <f t="shared" si="9"/>
        <v>Veteran's Affairs</v>
      </c>
      <c r="E62" s="71">
        <f t="shared" si="13"/>
        <v>6.3826213537875826E-5</v>
      </c>
      <c r="F62" s="71">
        <f t="shared" si="13"/>
        <v>5.5821076161189531E-5</v>
      </c>
      <c r="G62" s="71">
        <f t="shared" si="13"/>
        <v>5.0583914315247754E-5</v>
      </c>
      <c r="H62" s="71">
        <f t="shared" si="13"/>
        <v>4.7942469037155418E-5</v>
      </c>
      <c r="I62" s="71">
        <f t="shared" si="13"/>
        <v>4.8712346430746086E-5</v>
      </c>
      <c r="J62" s="71">
        <f t="shared" si="13"/>
        <v>5.0746435382074379E-5</v>
      </c>
      <c r="K62" s="71">
        <f t="shared" si="13"/>
        <v>4.1951499237931403E-5</v>
      </c>
      <c r="L62" s="71">
        <f t="shared" si="13"/>
        <v>4.5531674208144793E-5</v>
      </c>
      <c r="M62" s="71">
        <f t="shared" si="13"/>
        <v>4.9883836497496308E-5</v>
      </c>
      <c r="N62" s="71">
        <f t="shared" si="13"/>
        <v>5.0174379414436858E-5</v>
      </c>
      <c r="O62" s="71">
        <f t="shared" si="13"/>
        <v>4.0916873791770228E-5</v>
      </c>
      <c r="P62" s="71">
        <f t="shared" si="13"/>
        <v>4.6773567690581319E-5</v>
      </c>
      <c r="Q62" s="71">
        <f t="shared" si="13"/>
        <v>3.8415506319876234E-5</v>
      </c>
      <c r="R62" s="71">
        <f t="shared" si="13"/>
        <v>3.9246220525953364E-5</v>
      </c>
      <c r="S62" s="71">
        <f t="shared" si="13"/>
        <v>3.6990887899978805E-5</v>
      </c>
      <c r="T62" s="71">
        <f t="shared" si="13"/>
        <v>3.6795266835434725E-5</v>
      </c>
      <c r="U62" s="71">
        <f t="shared" si="13"/>
        <v>3.8885641924800314E-5</v>
      </c>
      <c r="V62" s="71">
        <f t="shared" si="13"/>
        <v>3.7326622708135776E-5</v>
      </c>
      <c r="W62" s="71">
        <f t="shared" si="13"/>
        <v>3.8526651664727561E-5</v>
      </c>
      <c r="X62" s="71">
        <f t="shared" si="13"/>
        <v>3.4786404203467397E-5</v>
      </c>
      <c r="Y62" s="71">
        <f t="shared" si="13"/>
        <v>3.3076248298239601E-5</v>
      </c>
      <c r="Z62" s="71">
        <f t="shared" si="13"/>
        <v>6.9577358959416161E-5</v>
      </c>
      <c r="AA62" s="71">
        <f t="shared" si="13"/>
        <v>6.5727594392439649E-5</v>
      </c>
      <c r="AB62" s="71">
        <f t="shared" si="13"/>
        <v>6.7935176760684099E-5</v>
      </c>
      <c r="AC62" s="71">
        <f t="shared" si="13"/>
        <v>6.3753604673287486E-5</v>
      </c>
      <c r="AD62" s="71">
        <f t="shared" si="13"/>
        <v>6.8308833833298887E-5</v>
      </c>
      <c r="AE62" s="71">
        <f t="shared" si="13"/>
        <v>6.9813346261730786E-5</v>
      </c>
      <c r="AF62" s="71">
        <f t="shared" si="13"/>
        <v>7.243710517566219E-5</v>
      </c>
      <c r="AG62" s="71">
        <f t="shared" si="13"/>
        <v>7.1996125843574703E-5</v>
      </c>
      <c r="AH62" s="71">
        <f t="shared" si="13"/>
        <v>5.7788387026429232E-5</v>
      </c>
      <c r="AI62" s="71">
        <f t="shared" si="13"/>
        <v>5.6424441307496291E-5</v>
      </c>
      <c r="AJ62" s="71">
        <f t="shared" si="13"/>
        <v>5.7282524925071866E-5</v>
      </c>
      <c r="AK62" s="71">
        <f t="shared" si="13"/>
        <v>5.9878721933961063E-5</v>
      </c>
      <c r="AL62" s="71">
        <f t="shared" si="13"/>
        <v>6.5181478230215734E-5</v>
      </c>
      <c r="AM62" s="71">
        <f t="shared" si="13"/>
        <v>6.9468705490312009E-5</v>
      </c>
      <c r="AN62" s="71">
        <f t="shared" si="13"/>
        <v>7.5000686967499156E-5</v>
      </c>
      <c r="AO62" s="71">
        <f t="shared" si="13"/>
        <v>7.2007535961091104E-5</v>
      </c>
      <c r="AP62" s="71">
        <f t="shared" si="13"/>
        <v>6.9841074584234674E-5</v>
      </c>
      <c r="AQ62" s="71">
        <f t="shared" si="13"/>
        <v>6.3382136427026344E-5</v>
      </c>
      <c r="AR62" s="71">
        <f t="shared" si="13"/>
        <v>6.5132802078941729E-5</v>
      </c>
      <c r="AS62" s="71">
        <f t="shared" si="13"/>
        <v>6.592532150058332E-5</v>
      </c>
      <c r="AT62" s="71">
        <f t="shared" si="13"/>
        <v>6.9937882066856667E-5</v>
      </c>
      <c r="AU62" s="71">
        <f t="shared" si="13"/>
        <v>6.3343668957907982E-5</v>
      </c>
      <c r="AV62" s="71">
        <f t="shared" si="13"/>
        <v>6.4747402424010411E-5</v>
      </c>
      <c r="AW62" s="71">
        <f t="shared" si="13"/>
        <v>6.4859526420998152E-5</v>
      </c>
      <c r="AX62" s="71">
        <f t="shared" si="13"/>
        <v>6.2999953131522747E-5</v>
      </c>
      <c r="AY62" s="71">
        <f t="shared" si="13"/>
        <v>6.2752784457225955E-5</v>
      </c>
      <c r="AZ62" s="71">
        <f t="shared" si="13"/>
        <v>6.2411110956689321E-5</v>
      </c>
      <c r="BA62" s="71">
        <f t="shared" si="13"/>
        <v>6.4624815079595408E-5</v>
      </c>
      <c r="BB62" s="71">
        <f t="shared" si="13"/>
        <v>6.2678295722947607E-5</v>
      </c>
      <c r="BC62" s="71">
        <f t="shared" si="10"/>
        <v>6.1009337963584227E-5</v>
      </c>
      <c r="BD62" s="72"/>
      <c r="BE62" s="72"/>
      <c r="BF62" s="72"/>
      <c r="BG62" s="72"/>
      <c r="BH62" s="72"/>
      <c r="BI62" s="72"/>
      <c r="BJ62" s="72"/>
      <c r="BK62" s="72"/>
      <c r="BL62" s="72"/>
      <c r="BM62" s="72"/>
      <c r="BN62" s="72"/>
      <c r="BO62" s="72"/>
      <c r="BP62" s="72"/>
      <c r="BQ62" s="72"/>
      <c r="BR62" s="72"/>
    </row>
    <row r="63" spans="1:70" s="67" customFormat="1" x14ac:dyDescent="0.25">
      <c r="A63" s="67" t="str">
        <f t="shared" si="8"/>
        <v>All Other</v>
      </c>
      <c r="B63" s="67" t="str">
        <f t="shared" si="8"/>
        <v>Agency</v>
      </c>
      <c r="C63" s="67" t="s">
        <v>244</v>
      </c>
      <c r="D63" s="67">
        <f t="shared" si="9"/>
        <v>0</v>
      </c>
      <c r="E63" s="71">
        <f t="shared" si="13"/>
        <v>1.8811936621689792E-4</v>
      </c>
      <c r="F63" s="71">
        <f t="shared" si="13"/>
        <v>1.9117483605646414E-4</v>
      </c>
      <c r="G63" s="71">
        <f t="shared" si="13"/>
        <v>1.7550418966768631E-4</v>
      </c>
      <c r="H63" s="71">
        <f t="shared" si="13"/>
        <v>3.1532892236633113E-4</v>
      </c>
      <c r="I63" s="71">
        <f t="shared" si="13"/>
        <v>3.3489738171137883E-4</v>
      </c>
      <c r="J63" s="71">
        <f t="shared" si="13"/>
        <v>2.55647136736111E-4</v>
      </c>
      <c r="K63" s="71">
        <f t="shared" si="13"/>
        <v>2.1820815790665093E-4</v>
      </c>
      <c r="L63" s="71">
        <f t="shared" si="13"/>
        <v>1.9126131221719413E-4</v>
      </c>
      <c r="M63" s="71">
        <f t="shared" si="13"/>
        <v>1.7254236644362536E-4</v>
      </c>
      <c r="N63" s="71">
        <f t="shared" si="13"/>
        <v>1.2993757510037973E-4</v>
      </c>
      <c r="O63" s="71">
        <f t="shared" si="13"/>
        <v>1.4875448771057401E-4</v>
      </c>
      <c r="P63" s="71">
        <f t="shared" si="13"/>
        <v>1.6049835873019105E-4</v>
      </c>
      <c r="Q63" s="71">
        <f t="shared" si="13"/>
        <v>1.4690914752216422E-4</v>
      </c>
      <c r="R63" s="71">
        <f t="shared" si="13"/>
        <v>1.4740736406720122E-4</v>
      </c>
      <c r="S63" s="71">
        <f t="shared" si="13"/>
        <v>1.7164653528289954E-4</v>
      </c>
      <c r="T63" s="71">
        <f t="shared" si="13"/>
        <v>1.5978533359045345E-4</v>
      </c>
      <c r="U63" s="71">
        <f t="shared" si="13"/>
        <v>1.9079680498733582E-4</v>
      </c>
      <c r="V63" s="71">
        <f t="shared" si="13"/>
        <v>1.5574160649120273E-4</v>
      </c>
      <c r="W63" s="71">
        <f t="shared" si="13"/>
        <v>1.4744630304381405E-4</v>
      </c>
      <c r="X63" s="71">
        <f t="shared" si="13"/>
        <v>1.3954241990364296E-4</v>
      </c>
      <c r="Y63" s="71">
        <f t="shared" si="13"/>
        <v>1.1269932998588062E-4</v>
      </c>
      <c r="Z63" s="71">
        <f t="shared" si="13"/>
        <v>1.0451678938353797E-4</v>
      </c>
      <c r="AA63" s="71">
        <f t="shared" si="13"/>
        <v>1.0385363013391626E-4</v>
      </c>
      <c r="AB63" s="71">
        <f t="shared" si="13"/>
        <v>1.010009362184654E-4</v>
      </c>
      <c r="AC63" s="71">
        <f t="shared" si="13"/>
        <v>8.5832316593490858E-5</v>
      </c>
      <c r="AD63" s="71">
        <f t="shared" si="13"/>
        <v>9.1720237798344231E-5</v>
      </c>
      <c r="AE63" s="71">
        <f t="shared" si="13"/>
        <v>9.4667636296480925E-5</v>
      </c>
      <c r="AF63" s="71">
        <f t="shared" si="13"/>
        <v>9.4336695112489337E-5</v>
      </c>
      <c r="AG63" s="71">
        <f t="shared" si="13"/>
        <v>8.5048541267872038E-5</v>
      </c>
      <c r="AH63" s="71">
        <f t="shared" si="13"/>
        <v>8.0763554375211467E-5</v>
      </c>
      <c r="AI63" s="71">
        <f t="shared" si="13"/>
        <v>7.9784406108494659E-5</v>
      </c>
      <c r="AJ63" s="71">
        <f t="shared" si="13"/>
        <v>7.7802923726221027E-5</v>
      </c>
      <c r="AK63" s="71">
        <f t="shared" si="13"/>
        <v>7.2063974264314492E-5</v>
      </c>
      <c r="AL63" s="71">
        <f t="shared" si="13"/>
        <v>7.9696971791556762E-5</v>
      </c>
      <c r="AM63" s="71">
        <f t="shared" si="13"/>
        <v>7.5985595657220378E-5</v>
      </c>
      <c r="AN63" s="71">
        <f t="shared" si="13"/>
        <v>6.5431633802682189E-5</v>
      </c>
      <c r="AO63" s="71">
        <f t="shared" si="13"/>
        <v>8.2063760810831724E-5</v>
      </c>
      <c r="AP63" s="71">
        <f t="shared" si="13"/>
        <v>1.0284997644771717E-4</v>
      </c>
      <c r="AQ63" s="71">
        <f t="shared" si="13"/>
        <v>9.2338734631199361E-5</v>
      </c>
      <c r="AR63" s="71">
        <f t="shared" si="13"/>
        <v>8.2438886162736262E-5</v>
      </c>
      <c r="AS63" s="71">
        <f t="shared" si="13"/>
        <v>8.6317933224987325E-5</v>
      </c>
      <c r="AT63" s="71">
        <f t="shared" si="13"/>
        <v>7.9446524279513261E-5</v>
      </c>
      <c r="AU63" s="71">
        <f t="shared" si="13"/>
        <v>8.8415152239069197E-5</v>
      </c>
      <c r="AV63" s="71">
        <f t="shared" si="13"/>
        <v>8.4241143902282948E-5</v>
      </c>
      <c r="AW63" s="71">
        <f t="shared" si="13"/>
        <v>5.5220812026075372E-5</v>
      </c>
      <c r="AX63" s="71">
        <f t="shared" si="13"/>
        <v>4.7696850329334064E-5</v>
      </c>
      <c r="AY63" s="71">
        <f t="shared" si="13"/>
        <v>4.8605746147599442E-5</v>
      </c>
      <c r="AZ63" s="71">
        <f t="shared" si="13"/>
        <v>5.3256987199977763E-5</v>
      </c>
      <c r="BA63" s="71">
        <f t="shared" si="13"/>
        <v>5.595390615599142E-5</v>
      </c>
      <c r="BB63" s="71">
        <f t="shared" si="13"/>
        <v>5.1226470076993079E-5</v>
      </c>
      <c r="BC63" s="71">
        <f t="shared" si="10"/>
        <v>3.5152376058417098E-5</v>
      </c>
      <c r="BD63" s="72"/>
      <c r="BE63" s="72"/>
      <c r="BF63" s="72"/>
      <c r="BG63" s="72"/>
      <c r="BH63" s="72"/>
      <c r="BI63" s="72"/>
      <c r="BJ63" s="72"/>
      <c r="BK63" s="72"/>
      <c r="BL63" s="72"/>
      <c r="BM63" s="72"/>
      <c r="BN63" s="72"/>
      <c r="BO63" s="72"/>
      <c r="BP63" s="72"/>
      <c r="BQ63" s="72"/>
      <c r="BR63" s="72"/>
    </row>
    <row r="64" spans="1:70" s="67" customFormat="1" x14ac:dyDescent="0.25">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row>
    <row r="65" spans="1:70" s="67" customFormat="1" x14ac:dyDescent="0.25">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row>
    <row r="66" spans="1:70" s="67" customFormat="1" x14ac:dyDescent="0.25">
      <c r="A66" s="67" t="str">
        <f>A2</f>
        <v>Defense</v>
      </c>
      <c r="B66" s="67" t="str">
        <f>B2</f>
        <v>Total</v>
      </c>
      <c r="C66" s="67" t="s">
        <v>245</v>
      </c>
      <c r="D66" s="67">
        <f>D46</f>
        <v>0</v>
      </c>
      <c r="E66" s="73">
        <f t="shared" ref="E66" si="14">E2/E$24</f>
        <v>63.012528473804103</v>
      </c>
      <c r="F66" s="73">
        <f t="shared" ref="F66" si="15">F2/F$24</f>
        <v>63.307965499746324</v>
      </c>
      <c r="G66" s="73">
        <f t="shared" ref="G66:BC67" si="16">G2/G$24</f>
        <v>60.620484682213082</v>
      </c>
      <c r="H66" s="73">
        <f t="shared" si="16"/>
        <v>59.583333333333336</v>
      </c>
      <c r="I66" s="73">
        <f t="shared" si="16"/>
        <v>55.845095910242485</v>
      </c>
      <c r="J66" s="73">
        <f t="shared" si="16"/>
        <v>61.779798635920756</v>
      </c>
      <c r="K66" s="73">
        <f t="shared" si="16"/>
        <v>70.2398773006135</v>
      </c>
      <c r="L66" s="73">
        <f t="shared" si="16"/>
        <v>72.596377016699691</v>
      </c>
      <c r="M66" s="73">
        <f t="shared" si="16"/>
        <v>80.384290985767009</v>
      </c>
      <c r="N66" s="73">
        <f t="shared" si="16"/>
        <v>83.487974987974994</v>
      </c>
      <c r="O66" s="73">
        <f t="shared" si="16"/>
        <v>85.846978335233757</v>
      </c>
      <c r="P66" s="73">
        <f t="shared" si="16"/>
        <v>89.674245835209376</v>
      </c>
      <c r="Q66" s="73">
        <f t="shared" si="16"/>
        <v>88.225021533161069</v>
      </c>
      <c r="R66" s="73">
        <f t="shared" si="16"/>
        <v>85.064034369885434</v>
      </c>
      <c r="S66" s="73">
        <f t="shared" si="16"/>
        <v>81.858369956052741</v>
      </c>
      <c r="T66" s="73">
        <f t="shared" si="16"/>
        <v>75.707856741046328</v>
      </c>
      <c r="U66" s="73">
        <f t="shared" si="16"/>
        <v>77.241101536155881</v>
      </c>
      <c r="V66" s="73">
        <f t="shared" si="16"/>
        <v>78.017043349388672</v>
      </c>
      <c r="W66" s="73">
        <f t="shared" si="16"/>
        <v>70.753925734343255</v>
      </c>
      <c r="X66" s="73">
        <f t="shared" si="16"/>
        <v>69.443832599118949</v>
      </c>
      <c r="Y66" s="73">
        <f t="shared" si="16"/>
        <v>72.207520180214004</v>
      </c>
      <c r="Z66" s="73">
        <f t="shared" si="16"/>
        <v>73.212424131627046</v>
      </c>
      <c r="AA66" s="73">
        <f t="shared" si="16"/>
        <v>73.498903985507255</v>
      </c>
      <c r="AB66" s="73">
        <f t="shared" si="16"/>
        <v>73.562903338577172</v>
      </c>
      <c r="AC66" s="73">
        <f t="shared" si="16"/>
        <v>70.225637813211847</v>
      </c>
      <c r="AD66" s="73">
        <f t="shared" si="16"/>
        <v>71.189038520801233</v>
      </c>
      <c r="AE66" s="73">
        <f t="shared" si="16"/>
        <v>73.203625340599444</v>
      </c>
      <c r="AF66" s="73">
        <f t="shared" si="16"/>
        <v>77.286850661167051</v>
      </c>
      <c r="AG66" s="73">
        <f t="shared" si="16"/>
        <v>78.587494134733547</v>
      </c>
      <c r="AH66" s="73">
        <f t="shared" si="16"/>
        <v>77.068780588538985</v>
      </c>
      <c r="AI66" s="73">
        <f t="shared" si="16"/>
        <v>77.451589612433594</v>
      </c>
      <c r="AJ66" s="73">
        <f t="shared" si="16"/>
        <v>79.356470814132109</v>
      </c>
      <c r="AK66" s="73">
        <f t="shared" si="16"/>
        <v>75.010504890298705</v>
      </c>
      <c r="AL66" s="73">
        <f t="shared" si="16"/>
        <v>68.936370909090911</v>
      </c>
      <c r="AM66" s="73">
        <f t="shared" si="16"/>
        <v>64.397073931116395</v>
      </c>
      <c r="AN66" s="73">
        <f t="shared" si="16"/>
        <v>61.75689258406949</v>
      </c>
      <c r="AO66" s="73">
        <f t="shared" si="16"/>
        <v>61.705181468997417</v>
      </c>
      <c r="AP66" s="73">
        <f t="shared" si="16"/>
        <v>58.022687957418491</v>
      </c>
      <c r="AQ66" s="73">
        <f t="shared" si="16"/>
        <v>60.623481211298689</v>
      </c>
      <c r="AR66" s="73">
        <f t="shared" si="16"/>
        <v>62.043242897363697</v>
      </c>
      <c r="AS66" s="73">
        <f t="shared" si="16"/>
        <v>66.741435923394931</v>
      </c>
      <c r="AT66" s="73">
        <f t="shared" si="16"/>
        <v>47.929684245605266</v>
      </c>
      <c r="AU66" s="73">
        <f t="shared" si="16"/>
        <v>54.627713832738806</v>
      </c>
      <c r="AV66" s="73">
        <f t="shared" si="16"/>
        <v>53.814512705530639</v>
      </c>
      <c r="AW66" s="73">
        <f t="shared" si="16"/>
        <v>50.294411204619443</v>
      </c>
      <c r="AX66" s="73">
        <f t="shared" si="16"/>
        <v>47.89732583720361</v>
      </c>
      <c r="AY66" s="73">
        <f t="shared" si="16"/>
        <v>53.427947855340634</v>
      </c>
      <c r="AZ66" s="73">
        <f t="shared" si="16"/>
        <v>55.877759734590541</v>
      </c>
      <c r="BA66" s="73">
        <f t="shared" si="16"/>
        <v>55.112495304386258</v>
      </c>
      <c r="BB66" s="73">
        <f t="shared" si="16"/>
        <v>56.561503809472761</v>
      </c>
      <c r="BC66" s="73">
        <f>BC2/BC$24</f>
        <v>55.626055230323466</v>
      </c>
      <c r="BD66" s="74"/>
      <c r="BE66" s="74"/>
      <c r="BF66" s="74"/>
      <c r="BG66" s="74"/>
      <c r="BH66" s="74"/>
      <c r="BI66" s="74"/>
      <c r="BJ66" s="74"/>
      <c r="BK66" s="74"/>
      <c r="BL66" s="74"/>
      <c r="BM66" s="74"/>
      <c r="BN66" s="74"/>
      <c r="BO66" s="74"/>
      <c r="BP66" s="74"/>
      <c r="BQ66" s="74"/>
      <c r="BR66" s="74"/>
    </row>
    <row r="67" spans="1:70" s="67" customFormat="1" x14ac:dyDescent="0.25">
      <c r="A67" s="67" t="str">
        <f t="shared" ref="A67:B83" si="17">A3</f>
        <v>Nondefense</v>
      </c>
      <c r="B67" s="67" t="str">
        <f t="shared" si="17"/>
        <v>Total</v>
      </c>
      <c r="C67" s="67" t="s">
        <v>245</v>
      </c>
      <c r="D67" s="67">
        <f t="shared" ref="D67:D83" si="18">D47</f>
        <v>0</v>
      </c>
      <c r="E67" s="73">
        <f t="shared" ref="E67" si="19">E3/E$24</f>
        <v>62.585421412300683</v>
      </c>
      <c r="F67" s="73">
        <f t="shared" ref="F67:F82" si="20">F3/F$24</f>
        <v>64.906139015728058</v>
      </c>
      <c r="G67" s="73">
        <f t="shared" ref="G67:T67" si="21">G3/G$24</f>
        <v>66.334247828074993</v>
      </c>
      <c r="H67" s="73">
        <f t="shared" si="21"/>
        <v>67.295833333333334</v>
      </c>
      <c r="I67" s="73">
        <f t="shared" si="21"/>
        <v>63.7495475931958</v>
      </c>
      <c r="J67" s="73">
        <f t="shared" si="21"/>
        <v>59.451120493666778</v>
      </c>
      <c r="K67" s="73">
        <f t="shared" si="21"/>
        <v>48.588343558282205</v>
      </c>
      <c r="L67" s="73">
        <f t="shared" si="21"/>
        <v>40.739315029719783</v>
      </c>
      <c r="M67" s="73">
        <f t="shared" si="21"/>
        <v>40.879283078545072</v>
      </c>
      <c r="N67" s="73">
        <f t="shared" si="21"/>
        <v>40.932900432900432</v>
      </c>
      <c r="O67" s="73">
        <f t="shared" si="21"/>
        <v>38.715621436716077</v>
      </c>
      <c r="P67" s="73">
        <f t="shared" si="21"/>
        <v>42.34984241332733</v>
      </c>
      <c r="Q67" s="73">
        <f t="shared" si="21"/>
        <v>43.19724375538329</v>
      </c>
      <c r="R67" s="73">
        <f t="shared" si="21"/>
        <v>46.449672667757767</v>
      </c>
      <c r="S67" s="73">
        <f t="shared" si="21"/>
        <v>50.873551737914497</v>
      </c>
      <c r="T67" s="73">
        <f t="shared" si="21"/>
        <v>53.199887492968315</v>
      </c>
      <c r="U67" s="73">
        <f t="shared" si="16"/>
        <v>57.529786436867745</v>
      </c>
      <c r="V67" s="73">
        <f t="shared" si="16"/>
        <v>57.085031493145614</v>
      </c>
      <c r="W67" s="73">
        <f t="shared" si="16"/>
        <v>60.548309624976916</v>
      </c>
      <c r="X67" s="73">
        <f t="shared" si="16"/>
        <v>60.783773861967703</v>
      </c>
      <c r="Y67" s="73">
        <f t="shared" si="16"/>
        <v>61.511169513797633</v>
      </c>
      <c r="Z67" s="73">
        <f t="shared" si="16"/>
        <v>61.949464351005517</v>
      </c>
      <c r="AA67" s="73">
        <f t="shared" si="16"/>
        <v>63.961956521739133</v>
      </c>
      <c r="AB67" s="73">
        <f t="shared" si="16"/>
        <v>66.572195866845988</v>
      </c>
      <c r="AC67" s="73">
        <f t="shared" si="16"/>
        <v>66.072847612105562</v>
      </c>
      <c r="AD67" s="73">
        <f t="shared" si="16"/>
        <v>69.849631355628574</v>
      </c>
      <c r="AE67" s="73">
        <f t="shared" si="16"/>
        <v>67.259238788438523</v>
      </c>
      <c r="AF67" s="73">
        <f t="shared" si="16"/>
        <v>66.011050720863423</v>
      </c>
      <c r="AG67" s="73">
        <f t="shared" si="16"/>
        <v>62.538047412877361</v>
      </c>
      <c r="AH67" s="73">
        <f t="shared" si="16"/>
        <v>58.509895481845696</v>
      </c>
      <c r="AI67" s="73">
        <f t="shared" si="16"/>
        <v>56.41233246889346</v>
      </c>
      <c r="AJ67" s="73">
        <f t="shared" si="16"/>
        <v>56.908204111353399</v>
      </c>
      <c r="AK67" s="73">
        <f t="shared" si="16"/>
        <v>52.26753106000529</v>
      </c>
      <c r="AL67" s="73">
        <f t="shared" si="16"/>
        <v>48.724501010101001</v>
      </c>
      <c r="AM67" s="73">
        <f t="shared" si="16"/>
        <v>46.64452202829051</v>
      </c>
      <c r="AN67" s="73">
        <f t="shared" si="16"/>
        <v>45.412780617536939</v>
      </c>
      <c r="AO67" s="73">
        <f t="shared" si="16"/>
        <v>50.015516187191373</v>
      </c>
      <c r="AP67" s="73">
        <f t="shared" si="16"/>
        <v>51.327590958915536</v>
      </c>
      <c r="AQ67" s="73">
        <f t="shared" si="16"/>
        <v>55.217789464755285</v>
      </c>
      <c r="AR67" s="73">
        <f t="shared" si="16"/>
        <v>55.974003230099854</v>
      </c>
      <c r="AS67" s="73">
        <f t="shared" si="16"/>
        <v>59.190137987851152</v>
      </c>
      <c r="AT67" s="73">
        <f t="shared" si="16"/>
        <v>58.156849954178128</v>
      </c>
      <c r="AU67" s="73">
        <f t="shared" si="16"/>
        <v>59.807686007927067</v>
      </c>
      <c r="AV67" s="73">
        <f t="shared" si="16"/>
        <v>58.27571623243648</v>
      </c>
      <c r="AW67" s="73">
        <f t="shared" si="16"/>
        <v>54.073683229172552</v>
      </c>
      <c r="AX67" s="73">
        <f t="shared" si="16"/>
        <v>52.154960889758009</v>
      </c>
      <c r="AY67" s="73">
        <f t="shared" si="16"/>
        <v>58.190600144178767</v>
      </c>
      <c r="AZ67" s="73">
        <f t="shared" si="16"/>
        <v>57.018799837029277</v>
      </c>
      <c r="BA67" s="73">
        <f t="shared" si="16"/>
        <v>52.116506463374215</v>
      </c>
      <c r="BB67" s="73">
        <f t="shared" si="16"/>
        <v>51.034128323026785</v>
      </c>
      <c r="BC67" s="73">
        <f t="shared" si="16"/>
        <v>36.173319141387275</v>
      </c>
      <c r="BD67" s="74"/>
      <c r="BE67" s="74"/>
      <c r="BF67" s="74"/>
      <c r="BG67" s="74"/>
      <c r="BH67" s="74"/>
      <c r="BI67" s="74"/>
      <c r="BJ67" s="74"/>
      <c r="BK67" s="74"/>
      <c r="BL67" s="74"/>
      <c r="BM67" s="74"/>
      <c r="BN67" s="74"/>
      <c r="BO67" s="74"/>
      <c r="BP67" s="74"/>
      <c r="BQ67" s="74"/>
      <c r="BR67" s="74"/>
    </row>
    <row r="68" spans="1:70" s="67" customFormat="1" x14ac:dyDescent="0.25">
      <c r="A68" s="67" t="str">
        <f t="shared" si="17"/>
        <v>ARRA Defense</v>
      </c>
      <c r="B68" s="67" t="str">
        <f t="shared" si="17"/>
        <v>Total</v>
      </c>
      <c r="C68" s="67" t="s">
        <v>245</v>
      </c>
      <c r="D68" s="67">
        <f t="shared" si="18"/>
        <v>0</v>
      </c>
      <c r="E68" s="73">
        <f t="shared" ref="E68" si="22">E4/E$24</f>
        <v>0</v>
      </c>
      <c r="F68" s="73">
        <f t="shared" si="20"/>
        <v>0</v>
      </c>
      <c r="G68" s="73">
        <f t="shared" ref="G68:BC71" si="23">G4/G$24</f>
        <v>0</v>
      </c>
      <c r="H68" s="73">
        <f t="shared" si="23"/>
        <v>0</v>
      </c>
      <c r="I68" s="73">
        <f t="shared" si="23"/>
        <v>0</v>
      </c>
      <c r="J68" s="73">
        <f t="shared" si="23"/>
        <v>0</v>
      </c>
      <c r="K68" s="73">
        <f t="shared" si="23"/>
        <v>0</v>
      </c>
      <c r="L68" s="73">
        <f t="shared" si="23"/>
        <v>0</v>
      </c>
      <c r="M68" s="73">
        <f t="shared" si="23"/>
        <v>0</v>
      </c>
      <c r="N68" s="73">
        <f t="shared" si="23"/>
        <v>0</v>
      </c>
      <c r="O68" s="73">
        <f t="shared" si="23"/>
        <v>0</v>
      </c>
      <c r="P68" s="73">
        <f t="shared" si="23"/>
        <v>0</v>
      </c>
      <c r="Q68" s="73">
        <f t="shared" si="23"/>
        <v>0</v>
      </c>
      <c r="R68" s="73">
        <f t="shared" si="23"/>
        <v>0</v>
      </c>
      <c r="S68" s="73">
        <f t="shared" si="23"/>
        <v>0</v>
      </c>
      <c r="T68" s="73">
        <f t="shared" si="23"/>
        <v>0</v>
      </c>
      <c r="U68" s="73">
        <f t="shared" si="23"/>
        <v>0</v>
      </c>
      <c r="V68" s="73">
        <f t="shared" si="23"/>
        <v>0</v>
      </c>
      <c r="W68" s="73">
        <f t="shared" si="23"/>
        <v>0</v>
      </c>
      <c r="X68" s="73">
        <f t="shared" si="23"/>
        <v>0</v>
      </c>
      <c r="Y68" s="73">
        <f t="shared" si="23"/>
        <v>0</v>
      </c>
      <c r="Z68" s="73">
        <f t="shared" si="23"/>
        <v>0</v>
      </c>
      <c r="AA68" s="73">
        <f t="shared" si="23"/>
        <v>0</v>
      </c>
      <c r="AB68" s="73">
        <f t="shared" si="23"/>
        <v>0</v>
      </c>
      <c r="AC68" s="73">
        <f t="shared" si="23"/>
        <v>0</v>
      </c>
      <c r="AD68" s="73">
        <f t="shared" si="23"/>
        <v>0</v>
      </c>
      <c r="AE68" s="73">
        <f t="shared" si="23"/>
        <v>0</v>
      </c>
      <c r="AF68" s="73">
        <f t="shared" si="23"/>
        <v>0</v>
      </c>
      <c r="AG68" s="73">
        <f t="shared" si="23"/>
        <v>0</v>
      </c>
      <c r="AH68" s="73">
        <f t="shared" si="23"/>
        <v>0</v>
      </c>
      <c r="AI68" s="73">
        <f t="shared" si="23"/>
        <v>0</v>
      </c>
      <c r="AJ68" s="73">
        <f t="shared" si="23"/>
        <v>0</v>
      </c>
      <c r="AK68" s="73">
        <f t="shared" si="23"/>
        <v>0</v>
      </c>
      <c r="AL68" s="73">
        <f t="shared" si="23"/>
        <v>0.24242424242424243</v>
      </c>
      <c r="AM68" s="73">
        <f t="shared" si="23"/>
        <v>0</v>
      </c>
      <c r="AN68" s="73">
        <f t="shared" si="23"/>
        <v>0</v>
      </c>
      <c r="AO68" s="73">
        <f t="shared" si="23"/>
        <v>0</v>
      </c>
      <c r="AP68" s="73">
        <f t="shared" si="23"/>
        <v>0</v>
      </c>
      <c r="AQ68" s="73">
        <f t="shared" si="23"/>
        <v>0</v>
      </c>
      <c r="AR68" s="73">
        <f t="shared" si="23"/>
        <v>0</v>
      </c>
      <c r="AS68" s="73">
        <f t="shared" si="23"/>
        <v>0</v>
      </c>
      <c r="AT68" s="73">
        <f t="shared" si="23"/>
        <v>0</v>
      </c>
      <c r="AU68" s="73">
        <f t="shared" si="23"/>
        <v>0</v>
      </c>
      <c r="AV68" s="73">
        <f t="shared" si="23"/>
        <v>0</v>
      </c>
      <c r="AW68" s="73">
        <f t="shared" si="23"/>
        <v>0</v>
      </c>
      <c r="AX68" s="73">
        <f t="shared" si="23"/>
        <v>0</v>
      </c>
      <c r="AY68" s="73">
        <f t="shared" si="23"/>
        <v>0</v>
      </c>
      <c r="AZ68" s="73">
        <f t="shared" si="23"/>
        <v>0</v>
      </c>
      <c r="BA68" s="73">
        <f t="shared" si="23"/>
        <v>0</v>
      </c>
      <c r="BB68" s="73">
        <f t="shared" si="23"/>
        <v>0</v>
      </c>
      <c r="BC68" s="73">
        <f t="shared" si="23"/>
        <v>0</v>
      </c>
      <c r="BD68" s="74"/>
      <c r="BE68" s="74"/>
      <c r="BF68" s="74"/>
      <c r="BG68" s="74"/>
      <c r="BH68" s="74"/>
      <c r="BI68" s="74"/>
      <c r="BJ68" s="74"/>
      <c r="BK68" s="74"/>
      <c r="BL68" s="74"/>
      <c r="BM68" s="74"/>
      <c r="BN68" s="74"/>
      <c r="BO68" s="74"/>
      <c r="BP68" s="74"/>
      <c r="BQ68" s="74"/>
      <c r="BR68" s="74"/>
    </row>
    <row r="69" spans="1:70" s="67" customFormat="1" x14ac:dyDescent="0.25">
      <c r="A69" s="67" t="str">
        <f t="shared" si="17"/>
        <v>ARRA NonDefense</v>
      </c>
      <c r="B69" s="67" t="str">
        <f t="shared" si="17"/>
        <v>Total</v>
      </c>
      <c r="C69" s="67" t="s">
        <v>245</v>
      </c>
      <c r="D69" s="67">
        <f t="shared" si="18"/>
        <v>0</v>
      </c>
      <c r="E69" s="73">
        <f t="shared" ref="E69" si="24">E5/E$24</f>
        <v>0</v>
      </c>
      <c r="F69" s="73">
        <f t="shared" si="20"/>
        <v>0</v>
      </c>
      <c r="G69" s="73">
        <f t="shared" si="23"/>
        <v>0</v>
      </c>
      <c r="H69" s="73">
        <f t="shared" si="23"/>
        <v>0</v>
      </c>
      <c r="I69" s="73">
        <f t="shared" si="23"/>
        <v>0</v>
      </c>
      <c r="J69" s="73">
        <f t="shared" si="23"/>
        <v>0</v>
      </c>
      <c r="K69" s="73">
        <f t="shared" si="23"/>
        <v>0</v>
      </c>
      <c r="L69" s="73">
        <f t="shared" si="23"/>
        <v>0</v>
      </c>
      <c r="M69" s="73">
        <f t="shared" si="23"/>
        <v>0</v>
      </c>
      <c r="N69" s="73">
        <f t="shared" si="23"/>
        <v>0</v>
      </c>
      <c r="O69" s="73">
        <f t="shared" si="23"/>
        <v>0</v>
      </c>
      <c r="P69" s="73">
        <f t="shared" si="23"/>
        <v>0</v>
      </c>
      <c r="Q69" s="73">
        <f t="shared" si="23"/>
        <v>0</v>
      </c>
      <c r="R69" s="73">
        <f t="shared" si="23"/>
        <v>0</v>
      </c>
      <c r="S69" s="73">
        <f t="shared" si="23"/>
        <v>0</v>
      </c>
      <c r="T69" s="73">
        <f t="shared" si="23"/>
        <v>0</v>
      </c>
      <c r="U69" s="73">
        <f t="shared" si="23"/>
        <v>0</v>
      </c>
      <c r="V69" s="73">
        <f t="shared" si="23"/>
        <v>0</v>
      </c>
      <c r="W69" s="73">
        <f t="shared" si="23"/>
        <v>0</v>
      </c>
      <c r="X69" s="73">
        <f t="shared" si="23"/>
        <v>0</v>
      </c>
      <c r="Y69" s="73">
        <f t="shared" si="23"/>
        <v>0</v>
      </c>
      <c r="Z69" s="73">
        <f t="shared" si="23"/>
        <v>0</v>
      </c>
      <c r="AA69" s="73">
        <f t="shared" si="23"/>
        <v>0</v>
      </c>
      <c r="AB69" s="73">
        <f t="shared" si="23"/>
        <v>0</v>
      </c>
      <c r="AC69" s="73">
        <f t="shared" si="23"/>
        <v>0</v>
      </c>
      <c r="AD69" s="73">
        <f t="shared" si="23"/>
        <v>0</v>
      </c>
      <c r="AE69" s="73">
        <f t="shared" si="23"/>
        <v>0</v>
      </c>
      <c r="AF69" s="73">
        <f t="shared" si="23"/>
        <v>0</v>
      </c>
      <c r="AG69" s="73">
        <f t="shared" si="23"/>
        <v>0</v>
      </c>
      <c r="AH69" s="73">
        <f t="shared" si="23"/>
        <v>0</v>
      </c>
      <c r="AI69" s="73">
        <f t="shared" si="23"/>
        <v>0</v>
      </c>
      <c r="AJ69" s="73">
        <f t="shared" si="23"/>
        <v>0</v>
      </c>
      <c r="AK69" s="73">
        <f t="shared" si="23"/>
        <v>0</v>
      </c>
      <c r="AL69" s="73">
        <f t="shared" si="23"/>
        <v>14.899999191919189</v>
      </c>
      <c r="AM69" s="73">
        <f t="shared" si="23"/>
        <v>0</v>
      </c>
      <c r="AN69" s="73">
        <f t="shared" si="23"/>
        <v>0</v>
      </c>
      <c r="AO69" s="73">
        <f t="shared" si="23"/>
        <v>0</v>
      </c>
      <c r="AP69" s="73">
        <f t="shared" si="23"/>
        <v>0</v>
      </c>
      <c r="AQ69" s="73">
        <f t="shared" si="23"/>
        <v>0</v>
      </c>
      <c r="AR69" s="73">
        <f t="shared" si="23"/>
        <v>0</v>
      </c>
      <c r="AS69" s="73">
        <f t="shared" si="23"/>
        <v>0</v>
      </c>
      <c r="AT69" s="73">
        <f t="shared" si="23"/>
        <v>0</v>
      </c>
      <c r="AU69" s="73">
        <f t="shared" si="23"/>
        <v>0</v>
      </c>
      <c r="AV69" s="73">
        <f t="shared" si="23"/>
        <v>0</v>
      </c>
      <c r="AW69" s="73">
        <f t="shared" si="23"/>
        <v>0</v>
      </c>
      <c r="AX69" s="73">
        <f t="shared" si="23"/>
        <v>0</v>
      </c>
      <c r="AY69" s="73">
        <f t="shared" si="23"/>
        <v>0</v>
      </c>
      <c r="AZ69" s="73">
        <f t="shared" si="23"/>
        <v>0</v>
      </c>
      <c r="BA69" s="73">
        <f t="shared" si="23"/>
        <v>0</v>
      </c>
      <c r="BB69" s="73">
        <f t="shared" si="23"/>
        <v>0</v>
      </c>
      <c r="BC69" s="73">
        <f t="shared" si="23"/>
        <v>0</v>
      </c>
      <c r="BD69" s="74"/>
      <c r="BE69" s="74"/>
      <c r="BF69" s="74"/>
      <c r="BG69" s="74"/>
      <c r="BH69" s="74"/>
      <c r="BI69" s="74"/>
      <c r="BJ69" s="74"/>
      <c r="BK69" s="74"/>
      <c r="BL69" s="74"/>
      <c r="BM69" s="74"/>
      <c r="BN69" s="74"/>
      <c r="BO69" s="74"/>
      <c r="BP69" s="74"/>
      <c r="BQ69" s="74"/>
      <c r="BR69" s="74"/>
    </row>
    <row r="70" spans="1:70" s="67" customFormat="1" x14ac:dyDescent="0.25">
      <c r="A70" s="67" t="str">
        <f t="shared" si="17"/>
        <v>DOD</v>
      </c>
      <c r="B70" s="67" t="str">
        <f t="shared" si="17"/>
        <v>Agency</v>
      </c>
      <c r="C70" s="67" t="s">
        <v>245</v>
      </c>
      <c r="D70" s="67" t="str">
        <f t="shared" si="18"/>
        <v>Department of Defense</v>
      </c>
      <c r="E70" s="73">
        <f t="shared" ref="E70" si="25">E6/E$24</f>
        <v>57.329157175398635</v>
      </c>
      <c r="F70" s="73">
        <f t="shared" si="20"/>
        <v>58.234398782343987</v>
      </c>
      <c r="G70" s="73">
        <f t="shared" si="23"/>
        <v>54.613625971650663</v>
      </c>
      <c r="H70" s="73">
        <f t="shared" si="23"/>
        <v>53.991666666666667</v>
      </c>
      <c r="I70" s="73">
        <f t="shared" si="23"/>
        <v>50.745566413318855</v>
      </c>
      <c r="J70" s="73">
        <f t="shared" si="23"/>
        <v>56.391685612211759</v>
      </c>
      <c r="K70" s="73">
        <f t="shared" si="23"/>
        <v>63.95092024539877</v>
      </c>
      <c r="L70" s="73">
        <f t="shared" si="23"/>
        <v>67.005377865836394</v>
      </c>
      <c r="M70" s="73">
        <f t="shared" si="23"/>
        <v>73.629414865577232</v>
      </c>
      <c r="N70" s="73">
        <f t="shared" si="23"/>
        <v>76.907166907166911</v>
      </c>
      <c r="O70" s="73">
        <f t="shared" si="23"/>
        <v>79.817787913340936</v>
      </c>
      <c r="P70" s="73">
        <f t="shared" si="23"/>
        <v>83.601305718144971</v>
      </c>
      <c r="Q70" s="73">
        <f t="shared" si="23"/>
        <v>82.097329888027573</v>
      </c>
      <c r="R70" s="73">
        <f t="shared" si="23"/>
        <v>78.924304418985258</v>
      </c>
      <c r="S70" s="73">
        <f t="shared" si="23"/>
        <v>75.647423092289245</v>
      </c>
      <c r="T70" s="73">
        <f t="shared" si="23"/>
        <v>69.77029814363398</v>
      </c>
      <c r="U70" s="73">
        <f t="shared" si="23"/>
        <v>70.773698014237553</v>
      </c>
      <c r="V70" s="73">
        <f t="shared" si="23"/>
        <v>71.967951092997424</v>
      </c>
      <c r="W70" s="73">
        <f t="shared" si="23"/>
        <v>65.600591169406982</v>
      </c>
      <c r="X70" s="73">
        <f t="shared" si="23"/>
        <v>64.884361233480178</v>
      </c>
      <c r="Y70" s="73">
        <f t="shared" si="23"/>
        <v>67.172271447343718</v>
      </c>
      <c r="Z70" s="73">
        <f t="shared" si="23"/>
        <v>68.076782449725783</v>
      </c>
      <c r="AA70" s="73">
        <f t="shared" si="23"/>
        <v>68.059782608695656</v>
      </c>
      <c r="AB70" s="73">
        <f t="shared" si="23"/>
        <v>67.974130396783778</v>
      </c>
      <c r="AC70" s="73">
        <f t="shared" si="23"/>
        <v>65.017084282460132</v>
      </c>
      <c r="AD70" s="73">
        <f t="shared" si="23"/>
        <v>65.855161787365176</v>
      </c>
      <c r="AE70" s="73">
        <f t="shared" si="23"/>
        <v>67.95204904632152</v>
      </c>
      <c r="AF70" s="73">
        <f t="shared" si="23"/>
        <v>71.934430425815847</v>
      </c>
      <c r="AG70" s="73">
        <f t="shared" si="23"/>
        <v>73.677070718355495</v>
      </c>
      <c r="AH70" s="73">
        <f t="shared" si="23"/>
        <v>72.554583376355197</v>
      </c>
      <c r="AI70" s="73">
        <f t="shared" si="23"/>
        <v>73.076220735785938</v>
      </c>
      <c r="AJ70" s="73">
        <f t="shared" si="23"/>
        <v>75.853206605222738</v>
      </c>
      <c r="AK70" s="73">
        <f t="shared" si="23"/>
        <v>71.518567274649754</v>
      </c>
      <c r="AL70" s="73">
        <f t="shared" si="23"/>
        <v>65.845461818181818</v>
      </c>
      <c r="AM70" s="73">
        <f t="shared" si="23"/>
        <v>61.536325712589083</v>
      </c>
      <c r="AN70" s="73">
        <f t="shared" si="23"/>
        <v>58.727421869200526</v>
      </c>
      <c r="AO70" s="73">
        <f t="shared" si="23"/>
        <v>58.368190013326014</v>
      </c>
      <c r="AP70" s="73">
        <f t="shared" si="23"/>
        <v>54.507836826347301</v>
      </c>
      <c r="AQ70" s="73">
        <f t="shared" si="23"/>
        <v>56.412366612944282</v>
      </c>
      <c r="AR70" s="73">
        <f t="shared" si="23"/>
        <v>56.755863834143831</v>
      </c>
      <c r="AS70" s="73">
        <f t="shared" si="23"/>
        <v>61.420048089091374</v>
      </c>
      <c r="AT70" s="73">
        <f t="shared" si="23"/>
        <v>41.967914687994671</v>
      </c>
      <c r="AU70" s="73">
        <f t="shared" si="23"/>
        <v>48.962680142687276</v>
      </c>
      <c r="AV70" s="73">
        <f t="shared" si="23"/>
        <v>48.344316143497757</v>
      </c>
      <c r="AW70" s="73">
        <f t="shared" si="23"/>
        <v>45.52209840899318</v>
      </c>
      <c r="AX70" s="73">
        <f t="shared" si="23"/>
        <v>44.0569255683207</v>
      </c>
      <c r="AY70" s="73">
        <f t="shared" si="23"/>
        <v>47.93804757899796</v>
      </c>
      <c r="AZ70" s="73">
        <f t="shared" si="23"/>
        <v>52.123612711716433</v>
      </c>
      <c r="BA70" s="73">
        <f t="shared" si="23"/>
        <v>51.412904098994588</v>
      </c>
      <c r="BB70" s="73">
        <f t="shared" si="23"/>
        <v>52.390205197536766</v>
      </c>
      <c r="BC70" s="73">
        <f t="shared" si="23"/>
        <v>52.458885932233464</v>
      </c>
      <c r="BD70" s="74"/>
      <c r="BE70" s="74"/>
      <c r="BF70" s="74"/>
      <c r="BG70" s="74"/>
      <c r="BH70" s="74"/>
      <c r="BI70" s="74"/>
      <c r="BJ70" s="74"/>
      <c r="BK70" s="74"/>
      <c r="BL70" s="74"/>
      <c r="BM70" s="74"/>
      <c r="BN70" s="74"/>
      <c r="BO70" s="74"/>
      <c r="BP70" s="74"/>
      <c r="BQ70" s="74"/>
      <c r="BR70" s="74"/>
    </row>
    <row r="71" spans="1:70" s="67" customFormat="1" x14ac:dyDescent="0.25">
      <c r="A71" s="67" t="str">
        <f t="shared" si="17"/>
        <v>NASA</v>
      </c>
      <c r="B71" s="67" t="str">
        <f t="shared" si="17"/>
        <v>Agency</v>
      </c>
      <c r="C71" s="67" t="s">
        <v>245</v>
      </c>
      <c r="D71" s="67" t="str">
        <f t="shared" si="18"/>
        <v>National Aeronautics and Space Administration</v>
      </c>
      <c r="E71" s="73">
        <f t="shared" ref="E71" si="26">E7/E$24</f>
        <v>20.096810933940777</v>
      </c>
      <c r="F71" s="73">
        <f t="shared" si="20"/>
        <v>19.254185692541856</v>
      </c>
      <c r="G71" s="73">
        <f t="shared" si="23"/>
        <v>18.463648834019207</v>
      </c>
      <c r="H71" s="73">
        <f t="shared" si="23"/>
        <v>18.995833333333334</v>
      </c>
      <c r="I71" s="73">
        <f t="shared" si="23"/>
        <v>18.97575099529497</v>
      </c>
      <c r="J71" s="73">
        <f t="shared" si="23"/>
        <v>17.937642091588181</v>
      </c>
      <c r="K71" s="73">
        <f t="shared" si="23"/>
        <v>14.076687116564417</v>
      </c>
      <c r="L71" s="73">
        <f t="shared" si="23"/>
        <v>7.741296348712142</v>
      </c>
      <c r="M71" s="73">
        <f t="shared" si="23"/>
        <v>7.8914074855034269</v>
      </c>
      <c r="N71" s="73">
        <f t="shared" si="23"/>
        <v>8.5654160654160645</v>
      </c>
      <c r="O71" s="73">
        <f t="shared" si="23"/>
        <v>8.5028506271379705</v>
      </c>
      <c r="P71" s="73">
        <f t="shared" si="23"/>
        <v>9.7530391715443496</v>
      </c>
      <c r="Q71" s="73">
        <f t="shared" si="23"/>
        <v>10.09194659776055</v>
      </c>
      <c r="R71" s="73">
        <f t="shared" si="23"/>
        <v>12.110270049099835</v>
      </c>
      <c r="S71" s="73">
        <f t="shared" si="23"/>
        <v>14.206152616859768</v>
      </c>
      <c r="T71" s="73">
        <f t="shared" si="23"/>
        <v>15.23326457903619</v>
      </c>
      <c r="U71" s="73">
        <f t="shared" si="23"/>
        <v>16.006369426751593</v>
      </c>
      <c r="V71" s="73">
        <f t="shared" si="23"/>
        <v>16.32975175991108</v>
      </c>
      <c r="W71" s="73">
        <f t="shared" si="23"/>
        <v>17.375762054313689</v>
      </c>
      <c r="X71" s="73">
        <f t="shared" si="23"/>
        <v>17.362334801762117</v>
      </c>
      <c r="Y71" s="73">
        <f t="shared" si="23"/>
        <v>17.706741130091981</v>
      </c>
      <c r="Z71" s="73">
        <f t="shared" si="23"/>
        <v>17.096791590493602</v>
      </c>
      <c r="AA71" s="73">
        <f t="shared" si="23"/>
        <v>17.664677536231885</v>
      </c>
      <c r="AB71" s="73">
        <f t="shared" si="23"/>
        <v>16.98514420555847</v>
      </c>
      <c r="AC71" s="73">
        <f t="shared" si="23"/>
        <v>15.448158408721117</v>
      </c>
      <c r="AD71" s="73">
        <f t="shared" si="23"/>
        <v>15.234850539291216</v>
      </c>
      <c r="AE71" s="73">
        <f t="shared" si="23"/>
        <v>13.929517711171661</v>
      </c>
      <c r="AF71" s="73">
        <f t="shared" si="23"/>
        <v>12.958057745966274</v>
      </c>
      <c r="AG71" s="73">
        <f t="shared" si="23"/>
        <v>12.069528544296725</v>
      </c>
      <c r="AH71" s="73">
        <f t="shared" si="23"/>
        <v>10.963552008260196</v>
      </c>
      <c r="AI71" s="73">
        <f t="shared" si="23"/>
        <v>11.110072791658469</v>
      </c>
      <c r="AJ71" s="73">
        <f t="shared" si="23"/>
        <v>11.119328917050693</v>
      </c>
      <c r="AK71" s="73">
        <f t="shared" si="23"/>
        <v>9.8538690633535992</v>
      </c>
      <c r="AL71" s="73">
        <f t="shared" si="23"/>
        <v>7.1014141414141418</v>
      </c>
      <c r="AM71" s="73">
        <f t="shared" si="23"/>
        <v>6.875</v>
      </c>
      <c r="AN71" s="73">
        <f t="shared" si="23"/>
        <v>6.7545096874768022</v>
      </c>
      <c r="AO71" s="73">
        <f t="shared" si="23"/>
        <v>8.8696401975386063</v>
      </c>
      <c r="AP71" s="73">
        <f t="shared" si="23"/>
        <v>9.1473719228210228</v>
      </c>
      <c r="AQ71" s="73">
        <f t="shared" si="23"/>
        <v>9.969887182967172</v>
      </c>
      <c r="AR71" s="73">
        <f t="shared" si="23"/>
        <v>9.7372237863663518</v>
      </c>
      <c r="AS71" s="73">
        <f t="shared" si="23"/>
        <v>11.197924576056693</v>
      </c>
      <c r="AT71" s="73">
        <f t="shared" si="23"/>
        <v>8.917520619845039</v>
      </c>
      <c r="AU71" s="73">
        <f t="shared" si="23"/>
        <v>8.7874752279032915</v>
      </c>
      <c r="AV71" s="73">
        <f t="shared" si="23"/>
        <v>7.9955156950672643</v>
      </c>
      <c r="AW71" s="73">
        <f t="shared" si="23"/>
        <v>9.0920818232078133</v>
      </c>
      <c r="AX71" s="73">
        <f t="shared" si="23"/>
        <v>7.4480567098508921</v>
      </c>
      <c r="AY71" s="73">
        <f t="shared" si="23"/>
        <v>7.4966959029196207</v>
      </c>
      <c r="AZ71" s="73">
        <f t="shared" si="23"/>
        <v>6.8046097433211106</v>
      </c>
      <c r="BA71" s="73">
        <f t="shared" si="23"/>
        <v>6.0650756822450553</v>
      </c>
      <c r="BB71" s="73">
        <f t="shared" si="23"/>
        <v>5.9735649134305531</v>
      </c>
      <c r="BC71" s="73">
        <f t="shared" si="23"/>
        <v>4.2493051859736273</v>
      </c>
      <c r="BD71" s="74"/>
      <c r="BE71" s="74"/>
      <c r="BF71" s="74"/>
      <c r="BG71" s="74"/>
      <c r="BH71" s="74"/>
      <c r="BI71" s="74"/>
      <c r="BJ71" s="74"/>
      <c r="BK71" s="74"/>
      <c r="BL71" s="74"/>
      <c r="BM71" s="74"/>
      <c r="BN71" s="74"/>
      <c r="BO71" s="74"/>
      <c r="BP71" s="74"/>
      <c r="BQ71" s="74"/>
      <c r="BR71" s="74"/>
    </row>
    <row r="72" spans="1:70" s="67" customFormat="1" x14ac:dyDescent="0.25">
      <c r="A72" s="67" t="str">
        <f t="shared" si="17"/>
        <v>DOE</v>
      </c>
      <c r="B72" s="67" t="str">
        <f t="shared" si="17"/>
        <v>Agency</v>
      </c>
      <c r="C72" s="67" t="s">
        <v>245</v>
      </c>
      <c r="D72" s="67" t="str">
        <f t="shared" si="18"/>
        <v>Department of Energy</v>
      </c>
      <c r="E72" s="73">
        <f t="shared" ref="E72" si="27">E8/E$24</f>
        <v>17.477220956719819</v>
      </c>
      <c r="F72" s="73">
        <f t="shared" si="20"/>
        <v>21.075596144089296</v>
      </c>
      <c r="G72" s="73">
        <f t="shared" ref="G72:BC75" si="28">G8/G$24</f>
        <v>23.104709647919524</v>
      </c>
      <c r="H72" s="73">
        <f t="shared" si="28"/>
        <v>22.675000000000001</v>
      </c>
      <c r="I72" s="73">
        <f t="shared" si="28"/>
        <v>20.879478827361563</v>
      </c>
      <c r="J72" s="73">
        <f t="shared" si="28"/>
        <v>19.993504384540437</v>
      </c>
      <c r="K72" s="73">
        <f t="shared" si="28"/>
        <v>16.582822085889571</v>
      </c>
      <c r="L72" s="73">
        <f t="shared" si="28"/>
        <v>14.619303707896972</v>
      </c>
      <c r="M72" s="73">
        <f t="shared" si="28"/>
        <v>14.856879283078545</v>
      </c>
      <c r="N72" s="73">
        <f t="shared" si="28"/>
        <v>14.378306878306878</v>
      </c>
      <c r="O72" s="73">
        <f t="shared" si="28"/>
        <v>12.634435575826684</v>
      </c>
      <c r="P72" s="73">
        <f t="shared" si="28"/>
        <v>12.20688878883386</v>
      </c>
      <c r="Q72" s="73">
        <f t="shared" si="28"/>
        <v>12.535314384151594</v>
      </c>
      <c r="R72" s="73">
        <f t="shared" si="28"/>
        <v>12.796849427168576</v>
      </c>
      <c r="S72" s="73">
        <f t="shared" si="28"/>
        <v>13.959049141030762</v>
      </c>
      <c r="T72" s="73">
        <f t="shared" si="28"/>
        <v>13.760922557659855</v>
      </c>
      <c r="U72" s="73">
        <f t="shared" si="28"/>
        <v>15.236792806294494</v>
      </c>
      <c r="V72" s="73">
        <f t="shared" si="28"/>
        <v>13.790292701000372</v>
      </c>
      <c r="W72" s="73">
        <f t="shared" si="28"/>
        <v>12.509144651764272</v>
      </c>
      <c r="X72" s="73">
        <f t="shared" si="28"/>
        <v>11.776798825256977</v>
      </c>
      <c r="Y72" s="73">
        <f t="shared" si="28"/>
        <v>11.776236155434576</v>
      </c>
      <c r="Z72" s="73">
        <f t="shared" si="28"/>
        <v>11.366365630712979</v>
      </c>
      <c r="AA72" s="73">
        <f t="shared" si="28"/>
        <v>11.505376811594203</v>
      </c>
      <c r="AB72" s="73">
        <f t="shared" si="28"/>
        <v>12.176504107673482</v>
      </c>
      <c r="AC72" s="73">
        <f t="shared" si="28"/>
        <v>11.318180930686626</v>
      </c>
      <c r="AD72" s="73">
        <f t="shared" si="28"/>
        <v>11.91489214175655</v>
      </c>
      <c r="AE72" s="73">
        <f t="shared" si="28"/>
        <v>11.006</v>
      </c>
      <c r="AF72" s="73">
        <f t="shared" si="28"/>
        <v>10.255482227344412</v>
      </c>
      <c r="AG72" s="73">
        <f t="shared" si="28"/>
        <v>9.73372807507541</v>
      </c>
      <c r="AH72" s="73">
        <f t="shared" si="28"/>
        <v>8.9001497160557559</v>
      </c>
      <c r="AI72" s="73">
        <f t="shared" si="28"/>
        <v>8.4439277985441663</v>
      </c>
      <c r="AJ72" s="73">
        <f t="shared" si="28"/>
        <v>8.6740600998463915</v>
      </c>
      <c r="AK72" s="73">
        <f t="shared" si="28"/>
        <v>8.6078068552295353</v>
      </c>
      <c r="AL72" s="73">
        <f t="shared" si="28"/>
        <v>8.3240404040404048</v>
      </c>
      <c r="AM72" s="73">
        <f t="shared" si="28"/>
        <v>8.0433491686460812</v>
      </c>
      <c r="AN72" s="73">
        <f t="shared" si="28"/>
        <v>7.922945586816124</v>
      </c>
      <c r="AO72" s="73">
        <f t="shared" si="28"/>
        <v>8.474562985027827</v>
      </c>
      <c r="AP72" s="73">
        <f t="shared" si="28"/>
        <v>8.9028043912175665</v>
      </c>
      <c r="AQ72" s="73">
        <f t="shared" si="28"/>
        <v>10.17364831622699</v>
      </c>
      <c r="AR72" s="73">
        <f t="shared" si="28"/>
        <v>12.272509171572393</v>
      </c>
      <c r="AS72" s="73">
        <f t="shared" si="28"/>
        <v>12.660949970471611</v>
      </c>
      <c r="AT72" s="73">
        <f t="shared" si="28"/>
        <v>12.763027576439224</v>
      </c>
      <c r="AU72" s="73">
        <f t="shared" si="28"/>
        <v>13.825543400713439</v>
      </c>
      <c r="AV72" s="73">
        <f t="shared" si="28"/>
        <v>13.655455904334827</v>
      </c>
      <c r="AW72" s="73">
        <f t="shared" si="28"/>
        <v>11.755781681921492</v>
      </c>
      <c r="AX72" s="73">
        <f t="shared" si="28"/>
        <v>10.852481055976533</v>
      </c>
      <c r="AY72" s="73">
        <f t="shared" si="28"/>
        <v>13.554006968641115</v>
      </c>
      <c r="AZ72" s="73">
        <f t="shared" si="28"/>
        <v>12.100576217915139</v>
      </c>
      <c r="BA72" s="73">
        <f t="shared" si="28"/>
        <v>11.436857805767318</v>
      </c>
      <c r="BB72" s="73">
        <f t="shared" si="28"/>
        <v>11.301991466067717</v>
      </c>
      <c r="BC72" s="73">
        <f t="shared" si="28"/>
        <v>8.2768612145940512</v>
      </c>
      <c r="BD72" s="74"/>
      <c r="BE72" s="74"/>
      <c r="BF72" s="74"/>
      <c r="BG72" s="74"/>
      <c r="BH72" s="74"/>
      <c r="BI72" s="74"/>
      <c r="BJ72" s="74"/>
      <c r="BK72" s="74"/>
      <c r="BL72" s="74"/>
      <c r="BM72" s="74"/>
      <c r="BN72" s="74"/>
      <c r="BO72" s="74"/>
      <c r="BP72" s="74"/>
      <c r="BQ72" s="74"/>
      <c r="BR72" s="74"/>
    </row>
    <row r="73" spans="1:70" s="67" customFormat="1" x14ac:dyDescent="0.25">
      <c r="A73" s="67" t="str">
        <f t="shared" si="17"/>
        <v>HHS</v>
      </c>
      <c r="B73" s="67" t="str">
        <f t="shared" si="17"/>
        <v>Agency</v>
      </c>
      <c r="C73" s="67" t="s">
        <v>245</v>
      </c>
      <c r="D73" s="67" t="str">
        <f t="shared" si="18"/>
        <v>Health and Human Services</v>
      </c>
      <c r="E73" s="73">
        <f t="shared" ref="E73" si="29">E9/E$24</f>
        <v>14.817767653758542</v>
      </c>
      <c r="F73" s="73">
        <f t="shared" si="20"/>
        <v>14.581430745814307</v>
      </c>
      <c r="G73" s="73">
        <f t="shared" si="28"/>
        <v>15.537265660722452</v>
      </c>
      <c r="H73" s="73">
        <f t="shared" si="28"/>
        <v>14.708333333333334</v>
      </c>
      <c r="I73" s="73">
        <f t="shared" si="28"/>
        <v>13.774882374230907</v>
      </c>
      <c r="J73" s="73">
        <f t="shared" si="28"/>
        <v>13.030204611886978</v>
      </c>
      <c r="K73" s="73">
        <f t="shared" si="28"/>
        <v>12.082822085889571</v>
      </c>
      <c r="L73" s="73">
        <f t="shared" si="28"/>
        <v>12.371921879422587</v>
      </c>
      <c r="M73" s="73">
        <f t="shared" si="28"/>
        <v>12.848181338956248</v>
      </c>
      <c r="N73" s="73">
        <f t="shared" si="28"/>
        <v>13.232323232323232</v>
      </c>
      <c r="O73" s="73">
        <f t="shared" si="28"/>
        <v>12.891220068415052</v>
      </c>
      <c r="P73" s="73">
        <f t="shared" si="28"/>
        <v>15.013057181449799</v>
      </c>
      <c r="Q73" s="73">
        <f t="shared" si="28"/>
        <v>15.543496985357452</v>
      </c>
      <c r="R73" s="73">
        <f t="shared" si="28"/>
        <v>16.292348608837969</v>
      </c>
      <c r="S73" s="73">
        <f t="shared" si="28"/>
        <v>17.045345585297643</v>
      </c>
      <c r="T73" s="73">
        <f t="shared" si="28"/>
        <v>17.937933620851304</v>
      </c>
      <c r="U73" s="73">
        <f t="shared" si="28"/>
        <v>19.070251030348448</v>
      </c>
      <c r="V73" s="73">
        <f t="shared" si="28"/>
        <v>19.40051871063357</v>
      </c>
      <c r="W73" s="73">
        <f t="shared" si="28"/>
        <v>20.919083687419178</v>
      </c>
      <c r="X73" s="73">
        <f t="shared" si="28"/>
        <v>21.139867841409693</v>
      </c>
      <c r="Y73" s="73">
        <f t="shared" si="28"/>
        <v>22.588699080157685</v>
      </c>
      <c r="Z73" s="73">
        <f t="shared" si="28"/>
        <v>23.60511882998172</v>
      </c>
      <c r="AA73" s="73">
        <f t="shared" si="28"/>
        <v>25.076086956521738</v>
      </c>
      <c r="AB73" s="73">
        <f t="shared" si="28"/>
        <v>27.661248033560565</v>
      </c>
      <c r="AC73" s="73">
        <f t="shared" si="28"/>
        <v>29.583468922876666</v>
      </c>
      <c r="AD73" s="73">
        <f t="shared" si="28"/>
        <v>32.426810477657938</v>
      </c>
      <c r="AE73" s="73">
        <f t="shared" si="28"/>
        <v>32.719346049046322</v>
      </c>
      <c r="AF73" s="73">
        <f t="shared" si="28"/>
        <v>33.599126531602572</v>
      </c>
      <c r="AG73" s="73">
        <f t="shared" si="28"/>
        <v>31.863075634007373</v>
      </c>
      <c r="AH73" s="73">
        <f t="shared" si="28"/>
        <v>30.119489932885909</v>
      </c>
      <c r="AI73" s="73">
        <f t="shared" si="28"/>
        <v>28.502869069802706</v>
      </c>
      <c r="AJ73" s="73">
        <f t="shared" si="28"/>
        <v>28.43799803915649</v>
      </c>
      <c r="AK73" s="73">
        <f t="shared" si="28"/>
        <v>25.773103357123976</v>
      </c>
      <c r="AL73" s="73">
        <f t="shared" si="28"/>
        <v>25.097706666666667</v>
      </c>
      <c r="AM73" s="73">
        <f t="shared" si="28"/>
        <v>23.573145041567695</v>
      </c>
      <c r="AN73" s="73">
        <f t="shared" si="28"/>
        <v>23.148244376809444</v>
      </c>
      <c r="AO73" s="73">
        <f t="shared" si="28"/>
        <v>24.59439601787254</v>
      </c>
      <c r="AP73" s="73">
        <f t="shared" si="28"/>
        <v>24.785652336161007</v>
      </c>
      <c r="AQ73" s="73">
        <f t="shared" si="28"/>
        <v>26.01484180167953</v>
      </c>
      <c r="AR73" s="73">
        <f t="shared" si="28"/>
        <v>25.746095201774594</v>
      </c>
      <c r="AS73" s="73">
        <f t="shared" si="28"/>
        <v>27.04755214460474</v>
      </c>
      <c r="AT73" s="73">
        <f t="shared" si="28"/>
        <v>28.297092393568274</v>
      </c>
      <c r="AU73" s="73">
        <f t="shared" si="28"/>
        <v>29.209301544986129</v>
      </c>
      <c r="AV73" s="73">
        <f t="shared" si="28"/>
        <v>28.74366831016442</v>
      </c>
      <c r="AW73" s="73">
        <f t="shared" si="28"/>
        <v>27.308188463664841</v>
      </c>
      <c r="AX73" s="73">
        <f t="shared" si="28"/>
        <v>25.803593253483253</v>
      </c>
      <c r="AY73" s="73">
        <f t="shared" si="28"/>
        <v>27.137450438543794</v>
      </c>
      <c r="AZ73" s="73">
        <f t="shared" si="28"/>
        <v>28.166579360921951</v>
      </c>
      <c r="BA73" s="73">
        <f t="shared" si="28"/>
        <v>26.502596398188047</v>
      </c>
      <c r="BB73" s="73">
        <f t="shared" si="28"/>
        <v>26.630072641870118</v>
      </c>
      <c r="BC73" s="73">
        <f t="shared" si="28"/>
        <v>18.370882857311809</v>
      </c>
      <c r="BD73" s="74"/>
      <c r="BE73" s="74"/>
      <c r="BF73" s="74"/>
      <c r="BG73" s="74"/>
      <c r="BH73" s="74"/>
      <c r="BI73" s="74"/>
      <c r="BJ73" s="74"/>
      <c r="BK73" s="74"/>
      <c r="BL73" s="74"/>
      <c r="BM73" s="74"/>
      <c r="BN73" s="74"/>
      <c r="BO73" s="74"/>
      <c r="BP73" s="74"/>
      <c r="BQ73" s="74"/>
      <c r="BR73" s="74"/>
    </row>
    <row r="74" spans="1:70" s="67" customFormat="1" x14ac:dyDescent="0.25">
      <c r="A74" s="67" t="str">
        <f t="shared" si="17"/>
        <v>NIH</v>
      </c>
      <c r="B74" s="67" t="str">
        <f t="shared" si="17"/>
        <v>Agency</v>
      </c>
      <c r="C74" s="67" t="s">
        <v>245</v>
      </c>
      <c r="D74" s="67" t="str">
        <f t="shared" si="18"/>
        <v>National Insitutes of Health</v>
      </c>
      <c r="E74" s="73">
        <f t="shared" ref="E74" si="30">E10/E$24</f>
        <v>12.887813211845103</v>
      </c>
      <c r="F74" s="73">
        <f t="shared" si="20"/>
        <v>12.598173515981737</v>
      </c>
      <c r="G74" s="73">
        <f t="shared" si="28"/>
        <v>12.983996342021033</v>
      </c>
      <c r="H74" s="73">
        <f t="shared" si="28"/>
        <v>13.425000000000001</v>
      </c>
      <c r="I74" s="73">
        <f t="shared" si="28"/>
        <v>12.469779225479551</v>
      </c>
      <c r="J74" s="73">
        <f t="shared" si="28"/>
        <v>11.593374472231245</v>
      </c>
      <c r="K74" s="73">
        <f t="shared" si="28"/>
        <v>11.337730061349694</v>
      </c>
      <c r="L74" s="73">
        <f t="shared" si="28"/>
        <v>11.472403056892158</v>
      </c>
      <c r="M74" s="73">
        <f t="shared" si="28"/>
        <v>12.182920400632579</v>
      </c>
      <c r="N74" s="73">
        <f t="shared" si="28"/>
        <v>12.662818662818662</v>
      </c>
      <c r="O74" s="73">
        <f t="shared" si="28"/>
        <v>12.342759407069556</v>
      </c>
      <c r="P74" s="73">
        <f t="shared" si="28"/>
        <v>14.414452949122017</v>
      </c>
      <c r="Q74" s="73">
        <f t="shared" si="28"/>
        <v>14.896856158484065</v>
      </c>
      <c r="R74" s="73">
        <f t="shared" si="28"/>
        <v>15.447013093289689</v>
      </c>
      <c r="S74" s="73">
        <f t="shared" si="28"/>
        <v>16.194966040751101</v>
      </c>
      <c r="T74" s="73">
        <f t="shared" si="28"/>
        <v>16.833677104819053</v>
      </c>
      <c r="U74" s="73">
        <f t="shared" si="28"/>
        <v>18.029786436867742</v>
      </c>
      <c r="V74" s="73">
        <f t="shared" si="28"/>
        <v>18.323082623193777</v>
      </c>
      <c r="W74" s="73">
        <f t="shared" si="28"/>
        <v>19.348789950120082</v>
      </c>
      <c r="X74" s="73">
        <f t="shared" si="28"/>
        <v>19.754038179148314</v>
      </c>
      <c r="Y74" s="73">
        <f t="shared" si="28"/>
        <v>21.446440773418434</v>
      </c>
      <c r="Z74" s="73">
        <f t="shared" si="28"/>
        <v>22.335053016453379</v>
      </c>
      <c r="AA74" s="73">
        <f t="shared" si="28"/>
        <v>23.749144927536232</v>
      </c>
      <c r="AB74" s="73">
        <f t="shared" si="28"/>
        <v>26.21124104177591</v>
      </c>
      <c r="AC74" s="73">
        <f t="shared" si="28"/>
        <v>28.041607524243535</v>
      </c>
      <c r="AD74" s="73">
        <f t="shared" si="28"/>
        <v>30.51928967642527</v>
      </c>
      <c r="AE74" s="73">
        <f t="shared" si="28"/>
        <v>30.945362397820169</v>
      </c>
      <c r="AF74" s="73">
        <f t="shared" si="28"/>
        <v>32.024457115127987</v>
      </c>
      <c r="AG74" s="73">
        <f t="shared" si="28"/>
        <v>30.44088816891967</v>
      </c>
      <c r="AH74" s="73">
        <f t="shared" si="28"/>
        <v>28.781278265358804</v>
      </c>
      <c r="AI74" s="73">
        <f t="shared" si="28"/>
        <v>27.293937336574299</v>
      </c>
      <c r="AJ74" s="73">
        <f t="shared" si="28"/>
        <v>27.217759943918395</v>
      </c>
      <c r="AK74" s="73">
        <f t="shared" si="28"/>
        <v>25.140448497664991</v>
      </c>
      <c r="AL74" s="73">
        <f t="shared" si="28"/>
        <v>24.042353131313131</v>
      </c>
      <c r="AM74" s="73">
        <f t="shared" si="28"/>
        <v>22.408507274346785</v>
      </c>
      <c r="AN74" s="73">
        <f t="shared" si="28"/>
        <v>22.144606933412518</v>
      </c>
      <c r="AO74" s="73">
        <f t="shared" si="28"/>
        <v>23.524395233989182</v>
      </c>
      <c r="AP74" s="73">
        <f t="shared" si="28"/>
        <v>23.570582475881565</v>
      </c>
      <c r="AQ74" s="73">
        <f t="shared" si="28"/>
        <v>24.812025617100687</v>
      </c>
      <c r="AR74" s="73">
        <f t="shared" si="28"/>
        <v>24.528622289907005</v>
      </c>
      <c r="AS74" s="73">
        <f t="shared" si="28"/>
        <v>25.866416567113813</v>
      </c>
      <c r="AT74" s="73">
        <f t="shared" si="28"/>
        <v>27.111555444472216</v>
      </c>
      <c r="AU74" s="73">
        <f t="shared" si="28"/>
        <v>28.044814822829967</v>
      </c>
      <c r="AV74" s="73">
        <f t="shared" si="28"/>
        <v>27.723488937967112</v>
      </c>
      <c r="AW74" s="73">
        <f t="shared" si="28"/>
        <v>26.486270655445665</v>
      </c>
      <c r="AX74" s="73">
        <f t="shared" si="28"/>
        <v>24.917501833292594</v>
      </c>
      <c r="AY74" s="73">
        <f t="shared" si="28"/>
        <v>26.263366574552446</v>
      </c>
      <c r="AZ74" s="73">
        <f t="shared" si="28"/>
        <v>27.216692858390083</v>
      </c>
      <c r="BA74" s="73">
        <f t="shared" si="28"/>
        <v>25.415976135233674</v>
      </c>
      <c r="BB74" s="73">
        <f t="shared" si="28"/>
        <v>24.922169424873012</v>
      </c>
      <c r="BC74" s="73">
        <f t="shared" si="28"/>
        <v>16.281118798415232</v>
      </c>
      <c r="BD74" s="74"/>
      <c r="BE74" s="74"/>
      <c r="BF74" s="74"/>
      <c r="BG74" s="74"/>
      <c r="BH74" s="74"/>
      <c r="BI74" s="74"/>
      <c r="BJ74" s="74"/>
      <c r="BK74" s="74"/>
      <c r="BL74" s="74"/>
      <c r="BM74" s="74"/>
      <c r="BN74" s="74"/>
      <c r="BO74" s="74"/>
      <c r="BP74" s="74"/>
      <c r="BQ74" s="74"/>
      <c r="BR74" s="74"/>
    </row>
    <row r="75" spans="1:70" s="67" customFormat="1" x14ac:dyDescent="0.25">
      <c r="A75" s="67" t="str">
        <f t="shared" si="17"/>
        <v>NSF</v>
      </c>
      <c r="B75" s="67" t="str">
        <f t="shared" si="17"/>
        <v>Agency</v>
      </c>
      <c r="C75" s="67" t="s">
        <v>245</v>
      </c>
      <c r="D75" s="67" t="str">
        <f t="shared" si="18"/>
        <v>National Science Foundation</v>
      </c>
      <c r="E75" s="73">
        <f t="shared" ref="E75" si="31">E11/E$24</f>
        <v>3.8097949886104785</v>
      </c>
      <c r="F75" s="73">
        <f t="shared" si="20"/>
        <v>3.6732623033992899</v>
      </c>
      <c r="G75" s="73">
        <f t="shared" si="28"/>
        <v>3.6076817558299044</v>
      </c>
      <c r="H75" s="73">
        <f t="shared" si="28"/>
        <v>3.4916666666666667</v>
      </c>
      <c r="I75" s="73">
        <f t="shared" si="28"/>
        <v>3.3007600434310529</v>
      </c>
      <c r="J75" s="73">
        <f t="shared" si="28"/>
        <v>3.108151997401754</v>
      </c>
      <c r="K75" s="73">
        <f t="shared" si="28"/>
        <v>2.9877300613496933</v>
      </c>
      <c r="L75" s="73">
        <f t="shared" si="28"/>
        <v>2.9974525898669686</v>
      </c>
      <c r="M75" s="73">
        <f t="shared" si="28"/>
        <v>3.2894043226146548</v>
      </c>
      <c r="N75" s="73">
        <f t="shared" si="28"/>
        <v>3.4131794131794133</v>
      </c>
      <c r="O75" s="73">
        <f t="shared" si="28"/>
        <v>3.1927023945267958</v>
      </c>
      <c r="P75" s="73">
        <f t="shared" si="28"/>
        <v>3.4376407023863127</v>
      </c>
      <c r="Q75" s="73">
        <f t="shared" si="28"/>
        <v>3.4175279931093883</v>
      </c>
      <c r="R75" s="73">
        <f t="shared" si="28"/>
        <v>3.6043371522094922</v>
      </c>
      <c r="S75" s="73">
        <f t="shared" si="28"/>
        <v>3.4534558529764281</v>
      </c>
      <c r="T75" s="73">
        <f t="shared" si="28"/>
        <v>3.550346896681043</v>
      </c>
      <c r="U75" s="73">
        <f t="shared" si="28"/>
        <v>3.6937055076807797</v>
      </c>
      <c r="V75" s="73">
        <f t="shared" si="28"/>
        <v>3.7300852167469438</v>
      </c>
      <c r="W75" s="73">
        <f t="shared" si="28"/>
        <v>4.1431738407537413</v>
      </c>
      <c r="X75" s="73">
        <f t="shared" si="28"/>
        <v>4.3979441997063144</v>
      </c>
      <c r="Y75" s="73">
        <f t="shared" si="28"/>
        <v>4.4886823025112852</v>
      </c>
      <c r="Z75" s="73">
        <f t="shared" si="28"/>
        <v>4.4321956124314443</v>
      </c>
      <c r="AA75" s="73">
        <f t="shared" si="28"/>
        <v>4.5304021739130436</v>
      </c>
      <c r="AB75" s="73">
        <f t="shared" si="28"/>
        <v>4.666618170639059</v>
      </c>
      <c r="AC75" s="73">
        <f t="shared" si="28"/>
        <v>4.7690920924178322</v>
      </c>
      <c r="AD75" s="73">
        <f t="shared" si="28"/>
        <v>5.1162353617919454</v>
      </c>
      <c r="AE75" s="73">
        <f t="shared" si="28"/>
        <v>4.8031257094193913</v>
      </c>
      <c r="AF75" s="73">
        <f t="shared" si="28"/>
        <v>4.7631967841898692</v>
      </c>
      <c r="AG75" s="73">
        <f t="shared" si="28"/>
        <v>4.6063057080398959</v>
      </c>
      <c r="AH75" s="73">
        <f t="shared" si="28"/>
        <v>4.2357890079169405</v>
      </c>
      <c r="AI75" s="73">
        <f t="shared" si="28"/>
        <v>4.1146552149475344</v>
      </c>
      <c r="AJ75" s="73">
        <f t="shared" si="28"/>
        <v>4.2626436682030553</v>
      </c>
      <c r="AK75" s="73">
        <f t="shared" si="28"/>
        <v>3.9707022645166976</v>
      </c>
      <c r="AL75" s="73">
        <f t="shared" si="28"/>
        <v>3.8522416161616166</v>
      </c>
      <c r="AM75" s="73">
        <f t="shared" si="28"/>
        <v>4.002360277611138</v>
      </c>
      <c r="AN75" s="73">
        <f t="shared" si="28"/>
        <v>4.0785880937709811</v>
      </c>
      <c r="AO75" s="73">
        <f t="shared" si="28"/>
        <v>4.4723289174570819</v>
      </c>
      <c r="AP75" s="73">
        <f t="shared" si="28"/>
        <v>4.4317864271457079</v>
      </c>
      <c r="AQ75" s="73">
        <f t="shared" si="28"/>
        <v>4.9200016964967341</v>
      </c>
      <c r="AR75" s="73">
        <f t="shared" si="28"/>
        <v>5.1102636293831596</v>
      </c>
      <c r="AS75" s="73">
        <f t="shared" si="28"/>
        <v>5.080806546865773</v>
      </c>
      <c r="AT75" s="73">
        <f t="shared" si="28"/>
        <v>4.95416145963509</v>
      </c>
      <c r="AU75" s="73">
        <f t="shared" si="28"/>
        <v>5.0400554894966305</v>
      </c>
      <c r="AV75" s="73">
        <f t="shared" si="28"/>
        <v>4.9688116591928253</v>
      </c>
      <c r="AW75" s="73">
        <f t="shared" si="28"/>
        <v>4.1377641876036613</v>
      </c>
      <c r="AX75" s="73">
        <f t="shared" si="28"/>
        <v>4.5924468345147886</v>
      </c>
      <c r="AY75" s="73">
        <f t="shared" si="28"/>
        <v>4.280908326324643</v>
      </c>
      <c r="AZ75" s="73">
        <f t="shared" si="28"/>
        <v>4.6493219253826901</v>
      </c>
      <c r="BA75" s="73">
        <f t="shared" si="28"/>
        <v>4.0061871616395974</v>
      </c>
      <c r="BB75" s="73">
        <f t="shared" si="28"/>
        <v>3.8352722704680757</v>
      </c>
      <c r="BC75" s="73">
        <f t="shared" si="28"/>
        <v>1.8550056176453198</v>
      </c>
      <c r="BD75" s="74"/>
      <c r="BE75" s="74"/>
      <c r="BF75" s="74"/>
      <c r="BG75" s="74"/>
      <c r="BH75" s="74"/>
      <c r="BI75" s="74"/>
      <c r="BJ75" s="74"/>
      <c r="BK75" s="74"/>
      <c r="BL75" s="74"/>
      <c r="BM75" s="74"/>
      <c r="BN75" s="74"/>
      <c r="BO75" s="74"/>
      <c r="BP75" s="74"/>
      <c r="BQ75" s="74"/>
      <c r="BR75" s="74"/>
    </row>
    <row r="76" spans="1:70" s="67" customFormat="1" x14ac:dyDescent="0.25">
      <c r="A76" s="67" t="str">
        <f t="shared" si="17"/>
        <v>USDA</v>
      </c>
      <c r="B76" s="67" t="str">
        <f t="shared" si="17"/>
        <v>Agency</v>
      </c>
      <c r="C76" s="67" t="s">
        <v>245</v>
      </c>
      <c r="D76" s="67" t="str">
        <f t="shared" si="18"/>
        <v>U.S. Department of Agriculture</v>
      </c>
      <c r="E76" s="73">
        <f t="shared" ref="E76" si="32">E12/E$24</f>
        <v>2.9498861047835994</v>
      </c>
      <c r="F76" s="73">
        <f t="shared" si="20"/>
        <v>2.7549467275494672</v>
      </c>
      <c r="G76" s="73">
        <f t="shared" ref="G76:BC79" si="33">G12/G$24</f>
        <v>2.8943758573388205</v>
      </c>
      <c r="H76" s="73">
        <f t="shared" si="33"/>
        <v>2.9833333333333334</v>
      </c>
      <c r="I76" s="73">
        <f t="shared" si="33"/>
        <v>2.5877669200144768</v>
      </c>
      <c r="J76" s="73">
        <f t="shared" si="33"/>
        <v>2.6534589152322186</v>
      </c>
      <c r="K76" s="73">
        <f t="shared" si="33"/>
        <v>2.5460122699386503</v>
      </c>
      <c r="L76" s="73">
        <f t="shared" si="33"/>
        <v>2.5049532974808941</v>
      </c>
      <c r="M76" s="73">
        <f t="shared" si="33"/>
        <v>2.573273589878756</v>
      </c>
      <c r="N76" s="73">
        <f t="shared" si="33"/>
        <v>2.4098124098124099</v>
      </c>
      <c r="O76" s="73">
        <f t="shared" si="33"/>
        <v>2.1890535917901937</v>
      </c>
      <c r="P76" s="73">
        <f t="shared" si="33"/>
        <v>2.4583520936515084</v>
      </c>
      <c r="Q76" s="73">
        <f t="shared" si="33"/>
        <v>2.4054694229112834</v>
      </c>
      <c r="R76" s="73">
        <f t="shared" si="33"/>
        <v>2.3301963993453354</v>
      </c>
      <c r="S76" s="73">
        <f t="shared" si="33"/>
        <v>2.4436675988813423</v>
      </c>
      <c r="T76" s="73">
        <f t="shared" si="33"/>
        <v>2.6084755297206077</v>
      </c>
      <c r="U76" s="73">
        <f t="shared" si="33"/>
        <v>2.8460097414762084</v>
      </c>
      <c r="V76" s="73">
        <f t="shared" si="33"/>
        <v>2.7174879585031495</v>
      </c>
      <c r="W76" s="73">
        <f t="shared" si="33"/>
        <v>2.8233881396637726</v>
      </c>
      <c r="X76" s="73">
        <f t="shared" si="33"/>
        <v>2.7294419970631427</v>
      </c>
      <c r="Y76" s="73">
        <f t="shared" si="33"/>
        <v>2.7925361366622865</v>
      </c>
      <c r="Z76" s="73">
        <f t="shared" si="33"/>
        <v>2.8453107861060327</v>
      </c>
      <c r="AA76" s="73">
        <f t="shared" si="33"/>
        <v>2.8279474637681159</v>
      </c>
      <c r="AB76" s="73">
        <f t="shared" si="33"/>
        <v>2.8753714385596925</v>
      </c>
      <c r="AC76" s="73">
        <f t="shared" si="33"/>
        <v>2.8890416531077121</v>
      </c>
      <c r="AD76" s="73">
        <f t="shared" si="33"/>
        <v>3.3606086286594761</v>
      </c>
      <c r="AE76" s="73">
        <f t="shared" si="33"/>
        <v>2.877384196185286</v>
      </c>
      <c r="AF76" s="73">
        <f t="shared" si="33"/>
        <v>2.8418876622588867</v>
      </c>
      <c r="AG76" s="73">
        <f t="shared" si="33"/>
        <v>2.4829527427103115</v>
      </c>
      <c r="AH76" s="73">
        <f t="shared" si="33"/>
        <v>2.4971151264842542</v>
      </c>
      <c r="AI76" s="73">
        <f t="shared" si="33"/>
        <v>2.398397599842613</v>
      </c>
      <c r="AJ76" s="73">
        <f t="shared" si="33"/>
        <v>2.184139784946237</v>
      </c>
      <c r="AK76" s="73">
        <f t="shared" si="33"/>
        <v>2.0548065908890649</v>
      </c>
      <c r="AL76" s="73">
        <f t="shared" si="33"/>
        <v>1.9692929292929293</v>
      </c>
      <c r="AM76" s="73">
        <f t="shared" si="33"/>
        <v>1.9380938242280283</v>
      </c>
      <c r="AN76" s="73">
        <f t="shared" si="33"/>
        <v>1.7556231905574939</v>
      </c>
      <c r="AO76" s="73">
        <f t="shared" si="33"/>
        <v>1.8272321078623499</v>
      </c>
      <c r="AP76" s="73">
        <f t="shared" si="33"/>
        <v>1.7598137059214902</v>
      </c>
      <c r="AQ76" s="73">
        <f t="shared" si="33"/>
        <v>2.0188311137501058</v>
      </c>
      <c r="AR76" s="73">
        <f t="shared" si="33"/>
        <v>2.0939962460540911</v>
      </c>
      <c r="AS76" s="73">
        <f t="shared" si="33"/>
        <v>2.2419412806884336</v>
      </c>
      <c r="AT76" s="73">
        <f t="shared" si="33"/>
        <v>2.1530925601932851</v>
      </c>
      <c r="AU76" s="73">
        <f t="shared" si="33"/>
        <v>2.0751145461751883</v>
      </c>
      <c r="AV76" s="73">
        <f t="shared" si="33"/>
        <v>2.260804932735426</v>
      </c>
      <c r="AW76" s="73">
        <f t="shared" si="33"/>
        <v>1.8357743104613304</v>
      </c>
      <c r="AX76" s="73">
        <f t="shared" si="33"/>
        <v>2.5048887802493276</v>
      </c>
      <c r="AY76" s="73">
        <f t="shared" si="33"/>
        <v>2.2533942088189356</v>
      </c>
      <c r="AZ76" s="73">
        <f t="shared" si="33"/>
        <v>1.9678714859437751</v>
      </c>
      <c r="BA76" s="73">
        <f t="shared" si="33"/>
        <v>1.8114020550215446</v>
      </c>
      <c r="BB76" s="73">
        <f t="shared" si="33"/>
        <v>1.8226009066579276</v>
      </c>
      <c r="BC76" s="73">
        <f t="shared" si="33"/>
        <v>1.4741883980840873</v>
      </c>
      <c r="BD76" s="74"/>
      <c r="BE76" s="74"/>
      <c r="BF76" s="74"/>
      <c r="BG76" s="74"/>
      <c r="BH76" s="74"/>
      <c r="BI76" s="74"/>
      <c r="BJ76" s="74"/>
      <c r="BK76" s="74"/>
      <c r="BL76" s="74"/>
      <c r="BM76" s="74"/>
      <c r="BN76" s="74"/>
      <c r="BO76" s="74"/>
      <c r="BP76" s="74"/>
      <c r="BQ76" s="74"/>
      <c r="BR76" s="74"/>
    </row>
    <row r="77" spans="1:70" s="67" customFormat="1" x14ac:dyDescent="0.25">
      <c r="A77" s="67" t="str">
        <f t="shared" si="17"/>
        <v>Interior</v>
      </c>
      <c r="B77" s="67" t="str">
        <f t="shared" si="17"/>
        <v>Agency</v>
      </c>
      <c r="C77" s="67" t="s">
        <v>245</v>
      </c>
      <c r="D77" s="67" t="str">
        <f t="shared" si="18"/>
        <v>Department of the Interior</v>
      </c>
      <c r="E77" s="73">
        <f t="shared" ref="E77" si="34">E13/E$24</f>
        <v>1.8507972665148065</v>
      </c>
      <c r="F77" s="73">
        <f t="shared" si="20"/>
        <v>1.6590563165905632</v>
      </c>
      <c r="G77" s="73">
        <f t="shared" si="33"/>
        <v>1.6598079561042525</v>
      </c>
      <c r="H77" s="73">
        <f t="shared" si="33"/>
        <v>1.7083333333333333</v>
      </c>
      <c r="I77" s="73">
        <f t="shared" si="33"/>
        <v>1.4838943177705393</v>
      </c>
      <c r="J77" s="73">
        <f t="shared" si="33"/>
        <v>1.3380967846703475</v>
      </c>
      <c r="K77" s="73">
        <f t="shared" si="33"/>
        <v>1.1809815950920246</v>
      </c>
      <c r="L77" s="73">
        <f t="shared" si="33"/>
        <v>1.0968015850551938</v>
      </c>
      <c r="M77" s="73">
        <f t="shared" si="33"/>
        <v>0.95861887190300477</v>
      </c>
      <c r="N77" s="73">
        <f t="shared" si="33"/>
        <v>0.93482443482443478</v>
      </c>
      <c r="O77" s="73">
        <f t="shared" si="33"/>
        <v>0.87411630558722919</v>
      </c>
      <c r="P77" s="73">
        <f t="shared" si="33"/>
        <v>0.91873030166591629</v>
      </c>
      <c r="Q77" s="73">
        <f t="shared" si="33"/>
        <v>0.9164513350559863</v>
      </c>
      <c r="R77" s="73">
        <f t="shared" si="33"/>
        <v>0.98117839607201307</v>
      </c>
      <c r="S77" s="73">
        <f t="shared" si="33"/>
        <v>1.0603276068717538</v>
      </c>
      <c r="T77" s="73">
        <f t="shared" si="33"/>
        <v>1.1625726607912996</v>
      </c>
      <c r="U77" s="73">
        <f t="shared" si="33"/>
        <v>1.2043836642937431</v>
      </c>
      <c r="V77" s="73">
        <f t="shared" si="33"/>
        <v>1.2024824008892183</v>
      </c>
      <c r="W77" s="73">
        <f t="shared" si="33"/>
        <v>1.3072233511915761</v>
      </c>
      <c r="X77" s="73">
        <f t="shared" si="33"/>
        <v>1.2261380323054334</v>
      </c>
      <c r="Y77" s="73">
        <f t="shared" si="33"/>
        <v>1.0720142669419936</v>
      </c>
      <c r="Z77" s="73">
        <f t="shared" si="33"/>
        <v>1.0808500914076782</v>
      </c>
      <c r="AA77" s="73">
        <f t="shared" si="33"/>
        <v>0.97028985507246379</v>
      </c>
      <c r="AB77" s="73">
        <f t="shared" si="33"/>
        <v>0.87222513546582758</v>
      </c>
      <c r="AC77" s="73">
        <f t="shared" si="33"/>
        <v>1.0057403189066059</v>
      </c>
      <c r="AD77" s="73">
        <f t="shared" si="33"/>
        <v>0.95709090909090899</v>
      </c>
      <c r="AE77" s="73">
        <f t="shared" si="33"/>
        <v>0.84877247956403268</v>
      </c>
      <c r="AF77" s="73">
        <f t="shared" si="33"/>
        <v>0.78034938735897119</v>
      </c>
      <c r="AG77" s="73">
        <f t="shared" si="33"/>
        <v>0.70017875097754445</v>
      </c>
      <c r="AH77" s="73">
        <f t="shared" si="33"/>
        <v>0.64142075374290142</v>
      </c>
      <c r="AI77" s="73">
        <f t="shared" si="33"/>
        <v>0.6290478064135353</v>
      </c>
      <c r="AJ77" s="73">
        <f t="shared" si="33"/>
        <v>0.62101190476190482</v>
      </c>
      <c r="AK77" s="73">
        <f t="shared" si="33"/>
        <v>0.60215789937439423</v>
      </c>
      <c r="AL77" s="73">
        <f t="shared" si="33"/>
        <v>0.56709090909090909</v>
      </c>
      <c r="AM77" s="73">
        <f t="shared" si="33"/>
        <v>0.57605403800475063</v>
      </c>
      <c r="AN77" s="73">
        <f t="shared" si="33"/>
        <v>0.56192190631727423</v>
      </c>
      <c r="AO77" s="73">
        <f t="shared" si="33"/>
        <v>0.64278435368817122</v>
      </c>
      <c r="AP77" s="73">
        <f t="shared" si="33"/>
        <v>0.65314620758483022</v>
      </c>
      <c r="AQ77" s="73">
        <f t="shared" si="33"/>
        <v>0.712923063873102</v>
      </c>
      <c r="AR77" s="73">
        <f t="shared" si="33"/>
        <v>0.73700622813753103</v>
      </c>
      <c r="AS77" s="73">
        <f t="shared" si="33"/>
        <v>0.82081667088500798</v>
      </c>
      <c r="AT77" s="73">
        <f t="shared" si="33"/>
        <v>0.78361826210114138</v>
      </c>
      <c r="AU77" s="73">
        <f t="shared" si="33"/>
        <v>0.69162346413000397</v>
      </c>
      <c r="AV77" s="73">
        <f t="shared" si="33"/>
        <v>0.71613976083707032</v>
      </c>
      <c r="AW77" s="73">
        <f t="shared" si="33"/>
        <v>0.64058910252472512</v>
      </c>
      <c r="AX77" s="73">
        <f t="shared" si="33"/>
        <v>0.61659740894646786</v>
      </c>
      <c r="AY77" s="73">
        <f t="shared" si="33"/>
        <v>0.68484921302415003</v>
      </c>
      <c r="AZ77" s="73">
        <f t="shared" si="33"/>
        <v>0.75432163436354116</v>
      </c>
      <c r="BA77" s="73">
        <f t="shared" si="33"/>
        <v>0.38890730306043531</v>
      </c>
      <c r="BB77" s="73">
        <f t="shared" si="33"/>
        <v>0.35010104320279645</v>
      </c>
      <c r="BC77" s="73">
        <f t="shared" si="33"/>
        <v>0.20933120454142276</v>
      </c>
      <c r="BD77" s="74"/>
      <c r="BE77" s="74"/>
      <c r="BF77" s="74"/>
      <c r="BG77" s="74"/>
      <c r="BH77" s="74"/>
      <c r="BI77" s="74"/>
      <c r="BJ77" s="74"/>
      <c r="BK77" s="74"/>
      <c r="BL77" s="74"/>
      <c r="BM77" s="74"/>
      <c r="BN77" s="74"/>
      <c r="BO77" s="74"/>
      <c r="BP77" s="74"/>
      <c r="BQ77" s="74"/>
      <c r="BR77" s="74"/>
    </row>
    <row r="78" spans="1:70" s="67" customFormat="1" x14ac:dyDescent="0.25">
      <c r="A78" s="67" t="str">
        <f t="shared" si="17"/>
        <v>DOT</v>
      </c>
      <c r="B78" s="67" t="str">
        <f t="shared" si="17"/>
        <v>Agency</v>
      </c>
      <c r="C78" s="67" t="s">
        <v>245</v>
      </c>
      <c r="D78" s="67" t="str">
        <f t="shared" si="18"/>
        <v>Department of Transportation</v>
      </c>
      <c r="E78" s="73">
        <f t="shared" ref="E78" si="35">E14/E$24</f>
        <v>1.8337129840546698</v>
      </c>
      <c r="F78" s="73">
        <f t="shared" si="20"/>
        <v>1.6793505834601725</v>
      </c>
      <c r="G78" s="73">
        <f t="shared" si="33"/>
        <v>1.7055326931870143</v>
      </c>
      <c r="H78" s="73">
        <f t="shared" si="33"/>
        <v>1.4583333333333333</v>
      </c>
      <c r="I78" s="73">
        <f t="shared" si="33"/>
        <v>1.4368440101339124</v>
      </c>
      <c r="J78" s="73">
        <f t="shared" si="33"/>
        <v>1.3218577460214356</v>
      </c>
      <c r="K78" s="73">
        <f t="shared" si="33"/>
        <v>0.95705521472392641</v>
      </c>
      <c r="L78" s="73">
        <f t="shared" si="33"/>
        <v>1.0512312482309651</v>
      </c>
      <c r="M78" s="73">
        <f t="shared" si="33"/>
        <v>1.2888771744860306</v>
      </c>
      <c r="N78" s="73">
        <f t="shared" si="33"/>
        <v>1.0560365560365561</v>
      </c>
      <c r="O78" s="73">
        <f t="shared" si="33"/>
        <v>0.86385404789053599</v>
      </c>
      <c r="P78" s="73">
        <f t="shared" si="33"/>
        <v>0.69495722647456104</v>
      </c>
      <c r="Q78" s="73">
        <f t="shared" si="33"/>
        <v>0.67700258397932811</v>
      </c>
      <c r="R78" s="73">
        <f t="shared" si="33"/>
        <v>0.66755319148936176</v>
      </c>
      <c r="S78" s="73">
        <f t="shared" si="33"/>
        <v>0.70655213743507783</v>
      </c>
      <c r="T78" s="73">
        <f t="shared" si="33"/>
        <v>0.77086067879242459</v>
      </c>
      <c r="U78" s="73">
        <f t="shared" si="33"/>
        <v>1.1635443986511804</v>
      </c>
      <c r="V78" s="73">
        <f t="shared" si="33"/>
        <v>1.1504260837347167</v>
      </c>
      <c r="W78" s="73">
        <f t="shared" si="33"/>
        <v>1.1838167374838353</v>
      </c>
      <c r="X78" s="73">
        <f t="shared" si="33"/>
        <v>1.222466960352423</v>
      </c>
      <c r="Y78" s="73">
        <f t="shared" si="33"/>
        <v>1.128214755021588</v>
      </c>
      <c r="Z78" s="73">
        <f t="shared" si="33"/>
        <v>1.1188299817184644</v>
      </c>
      <c r="AA78" s="73">
        <f t="shared" si="33"/>
        <v>1.0680380434782608</v>
      </c>
      <c r="AB78" s="73">
        <f t="shared" si="33"/>
        <v>1.0612497815067294</v>
      </c>
      <c r="AC78" s="73">
        <f t="shared" si="33"/>
        <v>0.98789944679466313</v>
      </c>
      <c r="AD78" s="73">
        <f t="shared" si="33"/>
        <v>1.1069876733436055</v>
      </c>
      <c r="AE78" s="73">
        <f t="shared" si="33"/>
        <v>1.0599455040871935</v>
      </c>
      <c r="AF78" s="73">
        <f t="shared" si="33"/>
        <v>0.84871284726434548</v>
      </c>
      <c r="AG78" s="73">
        <f t="shared" si="33"/>
        <v>0.7425539045916657</v>
      </c>
      <c r="AH78" s="73">
        <f t="shared" si="33"/>
        <v>0.72972018585441412</v>
      </c>
      <c r="AI78" s="73">
        <f t="shared" si="33"/>
        <v>0.80413535313791074</v>
      </c>
      <c r="AJ78" s="73">
        <f t="shared" si="33"/>
        <v>0.7363556067588326</v>
      </c>
      <c r="AK78" s="73">
        <f t="shared" si="33"/>
        <v>0.77099303903427607</v>
      </c>
      <c r="AL78" s="73">
        <f t="shared" si="33"/>
        <v>0.74741414141414153</v>
      </c>
      <c r="AM78" s="73">
        <f t="shared" si="33"/>
        <v>0.79664289675987399</v>
      </c>
      <c r="AN78" s="73">
        <f t="shared" si="33"/>
        <v>0.70813599584292197</v>
      </c>
      <c r="AO78" s="73">
        <f t="shared" si="33"/>
        <v>0.72072979540644355</v>
      </c>
      <c r="AP78" s="73">
        <f t="shared" si="33"/>
        <v>0.68033017298735865</v>
      </c>
      <c r="AQ78" s="73">
        <f t="shared" si="33"/>
        <v>0.67606497582492142</v>
      </c>
      <c r="AR78" s="73">
        <f t="shared" si="33"/>
        <v>0.75634075590819905</v>
      </c>
      <c r="AS78" s="73">
        <f t="shared" si="33"/>
        <v>0.74350628532860896</v>
      </c>
      <c r="AT78" s="73">
        <f t="shared" si="33"/>
        <v>0.76749146046821637</v>
      </c>
      <c r="AU78" s="73">
        <f t="shared" si="33"/>
        <v>0.80172810146650808</v>
      </c>
      <c r="AV78" s="73">
        <f t="shared" si="33"/>
        <v>0.77196113602391625</v>
      </c>
      <c r="AW78" s="73">
        <f t="shared" si="33"/>
        <v>0.67247803919159643</v>
      </c>
      <c r="AX78" s="73">
        <f t="shared" si="33"/>
        <v>0.65442984600342213</v>
      </c>
      <c r="AY78" s="73">
        <f t="shared" si="33"/>
        <v>0.93355761143818339</v>
      </c>
      <c r="AZ78" s="73">
        <f t="shared" si="33"/>
        <v>0.82125603864734309</v>
      </c>
      <c r="BA78" s="73">
        <f t="shared" si="33"/>
        <v>0.79107280963429449</v>
      </c>
      <c r="BB78" s="73">
        <f t="shared" si="33"/>
        <v>0.80179146867660711</v>
      </c>
      <c r="BC78" s="73">
        <f t="shared" si="33"/>
        <v>0.83850748033824141</v>
      </c>
      <c r="BD78" s="74"/>
      <c r="BE78" s="74"/>
      <c r="BF78" s="74"/>
      <c r="BG78" s="74"/>
      <c r="BH78" s="74"/>
      <c r="BI78" s="74"/>
      <c r="BJ78" s="74"/>
      <c r="BK78" s="74"/>
      <c r="BL78" s="74"/>
      <c r="BM78" s="74"/>
      <c r="BN78" s="74"/>
      <c r="BO78" s="74"/>
      <c r="BP78" s="74"/>
      <c r="BQ78" s="74"/>
      <c r="BR78" s="74"/>
    </row>
    <row r="79" spans="1:70" s="67" customFormat="1" x14ac:dyDescent="0.25">
      <c r="A79" s="67" t="str">
        <f t="shared" si="17"/>
        <v>EPA</v>
      </c>
      <c r="B79" s="67" t="str">
        <f t="shared" si="17"/>
        <v>Agency</v>
      </c>
      <c r="C79" s="67" t="s">
        <v>245</v>
      </c>
      <c r="D79" s="67" t="str">
        <f t="shared" si="18"/>
        <v>Environmental Protection Agency</v>
      </c>
      <c r="E79" s="73">
        <f t="shared" ref="E79" si="36">E15/E$24</f>
        <v>1.5546697038724373</v>
      </c>
      <c r="F79" s="73">
        <f t="shared" si="20"/>
        <v>1.4814814814814816</v>
      </c>
      <c r="G79" s="73">
        <f t="shared" si="33"/>
        <v>1.7329675354366714</v>
      </c>
      <c r="H79" s="73">
        <f t="shared" si="33"/>
        <v>1.6</v>
      </c>
      <c r="I79" s="73">
        <f t="shared" si="33"/>
        <v>1.2377850162866448</v>
      </c>
      <c r="J79" s="73">
        <f t="shared" si="33"/>
        <v>1.217927898668399</v>
      </c>
      <c r="K79" s="73">
        <f t="shared" si="33"/>
        <v>0.87423312883435578</v>
      </c>
      <c r="L79" s="73">
        <f t="shared" si="33"/>
        <v>0.65751485989244274</v>
      </c>
      <c r="M79" s="73">
        <f t="shared" si="33"/>
        <v>0.65577227200843446</v>
      </c>
      <c r="N79" s="73">
        <f t="shared" si="33"/>
        <v>0.73472823472823467</v>
      </c>
      <c r="O79" s="73">
        <f t="shared" si="33"/>
        <v>0.73797035347776518</v>
      </c>
      <c r="P79" s="73">
        <f t="shared" si="33"/>
        <v>0.77600180099054483</v>
      </c>
      <c r="Q79" s="73">
        <f t="shared" si="33"/>
        <v>0.8051248923341946</v>
      </c>
      <c r="R79" s="73">
        <f t="shared" si="33"/>
        <v>0.81280687397708673</v>
      </c>
      <c r="S79" s="73">
        <f t="shared" si="33"/>
        <v>0.8473831402317219</v>
      </c>
      <c r="T79" s="73">
        <f t="shared" si="33"/>
        <v>0.8604912807050441</v>
      </c>
      <c r="U79" s="73">
        <f t="shared" si="33"/>
        <v>0.92263019857624584</v>
      </c>
      <c r="V79" s="73">
        <f t="shared" si="33"/>
        <v>0.92015561319007044</v>
      </c>
      <c r="W79" s="73">
        <f t="shared" si="33"/>
        <v>1.0864585257712915</v>
      </c>
      <c r="X79" s="73">
        <f t="shared" si="33"/>
        <v>1.0168869309838473</v>
      </c>
      <c r="Y79" s="73">
        <f t="shared" si="33"/>
        <v>0.90575708654026654</v>
      </c>
      <c r="Z79" s="73">
        <f t="shared" si="33"/>
        <v>1.0877513711151736</v>
      </c>
      <c r="AA79" s="73">
        <f t="shared" si="33"/>
        <v>1.1541666666666668</v>
      </c>
      <c r="AB79" s="73">
        <f t="shared" si="33"/>
        <v>1.1690263939870651</v>
      </c>
      <c r="AC79" s="73">
        <f t="shared" si="33"/>
        <v>0.90758216726326058</v>
      </c>
      <c r="AD79" s="73">
        <f t="shared" si="33"/>
        <v>0.88366718027734981</v>
      </c>
      <c r="AE79" s="73">
        <f t="shared" si="33"/>
        <v>0.80633787465940054</v>
      </c>
      <c r="AF79" s="73">
        <f t="shared" si="33"/>
        <v>0.68797767802984355</v>
      </c>
      <c r="AG79" s="73">
        <f t="shared" si="33"/>
        <v>0.73947045022902469</v>
      </c>
      <c r="AH79" s="73">
        <f t="shared" si="33"/>
        <v>0.661744966442953</v>
      </c>
      <c r="AI79" s="73">
        <f t="shared" si="33"/>
        <v>0.61135156403698598</v>
      </c>
      <c r="AJ79" s="73">
        <f t="shared" si="33"/>
        <v>0.53427419354838712</v>
      </c>
      <c r="AK79" s="73">
        <f t="shared" si="33"/>
        <v>0.48250947220019386</v>
      </c>
      <c r="AL79" s="73">
        <f t="shared" si="33"/>
        <v>0.45470707070707067</v>
      </c>
      <c r="AM79" s="73">
        <f t="shared" si="33"/>
        <v>0.44284441805225644</v>
      </c>
      <c r="AN79" s="73">
        <f t="shared" si="33"/>
        <v>0.43184451693645992</v>
      </c>
      <c r="AO79" s="73">
        <f t="shared" si="33"/>
        <v>0.445245747432782</v>
      </c>
      <c r="AP79" s="73">
        <f t="shared" si="33"/>
        <v>0.44047737857618091</v>
      </c>
      <c r="AQ79" s="73">
        <f t="shared" si="33"/>
        <v>0.45635762151157855</v>
      </c>
      <c r="AR79" s="73">
        <f t="shared" si="33"/>
        <v>0.44416005460284963</v>
      </c>
      <c r="AS79" s="73">
        <f t="shared" si="33"/>
        <v>0.43305492280435331</v>
      </c>
      <c r="AT79" s="73">
        <f t="shared" si="33"/>
        <v>0.41531283845705241</v>
      </c>
      <c r="AU79" s="73">
        <f t="shared" si="33"/>
        <v>0.39015774871185094</v>
      </c>
      <c r="AV79" s="73">
        <f t="shared" si="33"/>
        <v>0.36621823617339311</v>
      </c>
      <c r="AW79" s="73">
        <f t="shared" si="33"/>
        <v>0.31955279808342035</v>
      </c>
      <c r="AX79" s="73">
        <f t="shared" si="33"/>
        <v>0.32148924468345147</v>
      </c>
      <c r="AY79" s="73">
        <f t="shared" si="33"/>
        <v>0.316592574792743</v>
      </c>
      <c r="AZ79" s="73">
        <f t="shared" si="33"/>
        <v>0.33059775333216929</v>
      </c>
      <c r="BA79" s="73">
        <f t="shared" si="33"/>
        <v>0.29681803115677824</v>
      </c>
      <c r="BB79" s="73">
        <f t="shared" si="33"/>
        <v>0.29209678300289471</v>
      </c>
      <c r="BC79" s="73">
        <f t="shared" si="33"/>
        <v>0.17899591981550469</v>
      </c>
      <c r="BD79" s="74"/>
      <c r="BE79" s="74"/>
      <c r="BF79" s="74"/>
      <c r="BG79" s="74"/>
      <c r="BH79" s="74"/>
      <c r="BI79" s="74"/>
      <c r="BJ79" s="74"/>
      <c r="BK79" s="74"/>
      <c r="BL79" s="74"/>
      <c r="BM79" s="74"/>
      <c r="BN79" s="74"/>
      <c r="BO79" s="74"/>
      <c r="BP79" s="74"/>
      <c r="BQ79" s="74"/>
      <c r="BR79" s="74"/>
    </row>
    <row r="80" spans="1:70" s="67" customFormat="1" x14ac:dyDescent="0.25">
      <c r="A80" s="67" t="str">
        <f>A16</f>
        <v>Commerce</v>
      </c>
      <c r="B80" s="67" t="str">
        <f>B16</f>
        <v>Agency</v>
      </c>
      <c r="C80" s="67" t="s">
        <v>245</v>
      </c>
      <c r="D80" s="67" t="str">
        <f t="shared" si="18"/>
        <v>Department of Commerce</v>
      </c>
      <c r="E80" s="73">
        <f t="shared" ref="E80" si="37">E16/E$24</f>
        <v>1.315489749430524</v>
      </c>
      <c r="F80" s="73">
        <f t="shared" si="20"/>
        <v>1.2836123795027905</v>
      </c>
      <c r="G80" s="73">
        <f t="shared" ref="G80:BC83" si="38">G16/G$24</f>
        <v>1.2848651120256058</v>
      </c>
      <c r="H80" s="73">
        <f t="shared" si="38"/>
        <v>1.3833333333333333</v>
      </c>
      <c r="I80" s="73">
        <f t="shared" si="38"/>
        <v>1.2956930872240318</v>
      </c>
      <c r="J80" s="73">
        <f t="shared" si="38"/>
        <v>1.120493666774927</v>
      </c>
      <c r="K80" s="73">
        <f t="shared" si="38"/>
        <v>0.94478527607361962</v>
      </c>
      <c r="L80" s="73">
        <f t="shared" si="38"/>
        <v>0.91989810359467872</v>
      </c>
      <c r="M80" s="73">
        <f t="shared" si="38"/>
        <v>0.95651027938850819</v>
      </c>
      <c r="N80" s="73">
        <f t="shared" si="38"/>
        <v>0.94155844155844148</v>
      </c>
      <c r="O80" s="73">
        <f t="shared" si="38"/>
        <v>0.90079817559863173</v>
      </c>
      <c r="P80" s="73">
        <f t="shared" si="38"/>
        <v>0.93944169293111213</v>
      </c>
      <c r="Q80" s="73">
        <f t="shared" si="38"/>
        <v>0.88199827734711467</v>
      </c>
      <c r="R80" s="73">
        <f t="shared" si="38"/>
        <v>0.87274959083469728</v>
      </c>
      <c r="S80" s="73">
        <f t="shared" si="38"/>
        <v>0.90411506192568913</v>
      </c>
      <c r="T80" s="73">
        <f t="shared" si="38"/>
        <v>1.0065629101818863</v>
      </c>
      <c r="U80" s="73">
        <f t="shared" si="38"/>
        <v>1.0927313600599475</v>
      </c>
      <c r="V80" s="73">
        <f t="shared" si="38"/>
        <v>1.4696183771767322</v>
      </c>
      <c r="W80" s="73">
        <f t="shared" si="38"/>
        <v>1.8878625531128765</v>
      </c>
      <c r="X80" s="73">
        <f t="shared" si="38"/>
        <v>2.0521292217327463</v>
      </c>
      <c r="Y80" s="73">
        <f t="shared" si="38"/>
        <v>1.8622113760090104</v>
      </c>
      <c r="Z80" s="73">
        <f t="shared" si="38"/>
        <v>1.7621773308957951</v>
      </c>
      <c r="AA80" s="73">
        <f t="shared" si="38"/>
        <v>1.9762101449275362</v>
      </c>
      <c r="AB80" s="73">
        <f t="shared" si="38"/>
        <v>1.8943314105925537</v>
      </c>
      <c r="AC80" s="73">
        <f t="shared" si="38"/>
        <v>1.909868206963879</v>
      </c>
      <c r="AD80" s="73">
        <f t="shared" si="38"/>
        <v>1.5869537750385208</v>
      </c>
      <c r="AE80" s="73">
        <f t="shared" si="38"/>
        <v>1.6713610354223434</v>
      </c>
      <c r="AF80" s="73">
        <f t="shared" si="38"/>
        <v>1.4526519471066361</v>
      </c>
      <c r="AG80" s="73">
        <f t="shared" si="38"/>
        <v>1.2513451011060215</v>
      </c>
      <c r="AH80" s="73">
        <f t="shared" si="38"/>
        <v>1.1579194630872482</v>
      </c>
      <c r="AI80" s="73">
        <f t="shared" si="38"/>
        <v>1.044967538855007</v>
      </c>
      <c r="AJ80" s="73">
        <f t="shared" si="38"/>
        <v>1.0299164746543779</v>
      </c>
      <c r="AK80" s="73">
        <f t="shared" si="38"/>
        <v>1.046551237994537</v>
      </c>
      <c r="AL80" s="73">
        <f t="shared" si="38"/>
        <v>1.1221082828282827</v>
      </c>
      <c r="AM80" s="73">
        <f t="shared" si="38"/>
        <v>0.99234115201900241</v>
      </c>
      <c r="AN80" s="73">
        <f t="shared" si="38"/>
        <v>0.90366862148318605</v>
      </c>
      <c r="AO80" s="73">
        <f t="shared" si="38"/>
        <v>0.98294113035980235</v>
      </c>
      <c r="AP80" s="73">
        <f t="shared" si="38"/>
        <v>1.0787300399201596</v>
      </c>
      <c r="AQ80" s="73">
        <f t="shared" si="38"/>
        <v>1.3164441428450249</v>
      </c>
      <c r="AR80" s="73">
        <f t="shared" si="38"/>
        <v>1.3026149645934648</v>
      </c>
      <c r="AS80" s="73">
        <f t="shared" si="38"/>
        <v>1.4129157175398632</v>
      </c>
      <c r="AT80" s="73">
        <f t="shared" si="38"/>
        <v>1.4962634341414649</v>
      </c>
      <c r="AU80" s="73">
        <f t="shared" si="38"/>
        <v>1.6361743955608403</v>
      </c>
      <c r="AV80" s="73">
        <f t="shared" si="38"/>
        <v>1.4629754260089685</v>
      </c>
      <c r="AW80" s="73">
        <f t="shared" si="38"/>
        <v>1.2029649289084094</v>
      </c>
      <c r="AX80" s="73">
        <f t="shared" si="38"/>
        <v>1.2893644585675874</v>
      </c>
      <c r="AY80" s="73">
        <f t="shared" si="38"/>
        <v>4.8315276943409833</v>
      </c>
      <c r="AZ80" s="73">
        <f t="shared" si="38"/>
        <v>2.9922588906350041</v>
      </c>
      <c r="BA80" s="73">
        <f t="shared" si="38"/>
        <v>2.379295105513203</v>
      </c>
      <c r="BB80" s="73">
        <f t="shared" si="38"/>
        <v>2.1208148997760663</v>
      </c>
      <c r="BC80" s="73">
        <f t="shared" si="38"/>
        <v>1.8555969487315949</v>
      </c>
      <c r="BD80" s="74"/>
      <c r="BE80" s="74"/>
      <c r="BF80" s="74"/>
      <c r="BG80" s="74"/>
      <c r="BH80" s="74"/>
      <c r="BI80" s="74"/>
      <c r="BJ80" s="74"/>
      <c r="BK80" s="74"/>
      <c r="BL80" s="74"/>
      <c r="BM80" s="74"/>
      <c r="BN80" s="74"/>
      <c r="BO80" s="74"/>
      <c r="BP80" s="74"/>
      <c r="BQ80" s="74"/>
      <c r="BR80" s="74"/>
    </row>
    <row r="81" spans="1:70" s="67" customFormat="1" x14ac:dyDescent="0.25">
      <c r="A81" s="67" t="str">
        <f t="shared" si="17"/>
        <v>DHS</v>
      </c>
      <c r="B81" s="67" t="str">
        <f t="shared" si="17"/>
        <v>Agency</v>
      </c>
      <c r="C81" s="67" t="s">
        <v>245</v>
      </c>
      <c r="D81" s="67" t="str">
        <f t="shared" si="18"/>
        <v>Department of Homeland Security</v>
      </c>
      <c r="E81" s="73">
        <f t="shared" ref="E81" si="39">E17/E$24</f>
        <v>0</v>
      </c>
      <c r="F81" s="73">
        <f t="shared" si="20"/>
        <v>0</v>
      </c>
      <c r="G81" s="73">
        <f t="shared" si="38"/>
        <v>0</v>
      </c>
      <c r="H81" s="73">
        <f t="shared" si="38"/>
        <v>0</v>
      </c>
      <c r="I81" s="73">
        <f t="shared" si="38"/>
        <v>0</v>
      </c>
      <c r="J81" s="73">
        <f t="shared" si="38"/>
        <v>0</v>
      </c>
      <c r="K81" s="73">
        <f t="shared" si="38"/>
        <v>0</v>
      </c>
      <c r="L81" s="73">
        <f t="shared" si="38"/>
        <v>0</v>
      </c>
      <c r="M81" s="73">
        <f t="shared" si="38"/>
        <v>0</v>
      </c>
      <c r="N81" s="73">
        <f t="shared" si="38"/>
        <v>0</v>
      </c>
      <c r="O81" s="73">
        <f t="shared" si="38"/>
        <v>0</v>
      </c>
      <c r="P81" s="73">
        <f t="shared" si="38"/>
        <v>0</v>
      </c>
      <c r="Q81" s="73">
        <f t="shared" si="38"/>
        <v>0</v>
      </c>
      <c r="R81" s="73">
        <f t="shared" si="38"/>
        <v>0</v>
      </c>
      <c r="S81" s="73">
        <f t="shared" si="38"/>
        <v>0</v>
      </c>
      <c r="T81" s="73">
        <f t="shared" si="38"/>
        <v>0</v>
      </c>
      <c r="U81" s="73">
        <f t="shared" si="38"/>
        <v>0</v>
      </c>
      <c r="V81" s="73">
        <f t="shared" si="38"/>
        <v>0</v>
      </c>
      <c r="W81" s="73">
        <f t="shared" si="38"/>
        <v>0</v>
      </c>
      <c r="X81" s="73">
        <f t="shared" si="38"/>
        <v>0</v>
      </c>
      <c r="Y81" s="73">
        <f t="shared" si="38"/>
        <v>0</v>
      </c>
      <c r="Z81" s="73">
        <f t="shared" si="38"/>
        <v>0</v>
      </c>
      <c r="AA81" s="73">
        <f t="shared" si="38"/>
        <v>0</v>
      </c>
      <c r="AB81" s="73">
        <f t="shared" si="38"/>
        <v>0</v>
      </c>
      <c r="AC81" s="73">
        <f t="shared" si="38"/>
        <v>0</v>
      </c>
      <c r="AD81" s="73">
        <f t="shared" si="38"/>
        <v>0</v>
      </c>
      <c r="AE81" s="73">
        <f t="shared" si="38"/>
        <v>0.36239782016348776</v>
      </c>
      <c r="AF81" s="73">
        <f t="shared" si="38"/>
        <v>0.89409195681184039</v>
      </c>
      <c r="AG81" s="73">
        <f t="shared" si="38"/>
        <v>1.1489531895877554</v>
      </c>
      <c r="AH81" s="73">
        <f t="shared" si="38"/>
        <v>1.2803304078471864</v>
      </c>
      <c r="AI81" s="73">
        <f t="shared" si="38"/>
        <v>1.2786474522919535</v>
      </c>
      <c r="AJ81" s="73">
        <f t="shared" si="38"/>
        <v>0.95647081413210455</v>
      </c>
      <c r="AK81" s="73">
        <f t="shared" si="38"/>
        <v>0.87672922724469105</v>
      </c>
      <c r="AL81" s="73">
        <f t="shared" si="38"/>
        <v>0.8856565656565657</v>
      </c>
      <c r="AM81" s="73">
        <f t="shared" si="38"/>
        <v>0.65840261282660328</v>
      </c>
      <c r="AN81" s="73">
        <f t="shared" si="38"/>
        <v>0.56441689555341112</v>
      </c>
      <c r="AO81" s="73">
        <f t="shared" si="38"/>
        <v>0.37704789527318333</v>
      </c>
      <c r="AP81" s="73">
        <f t="shared" si="38"/>
        <v>0.56886227544910173</v>
      </c>
      <c r="AQ81" s="73">
        <f t="shared" si="38"/>
        <v>0.87539231486979385</v>
      </c>
      <c r="AR81" s="73">
        <f t="shared" si="38"/>
        <v>0.78406279327702422</v>
      </c>
      <c r="AS81" s="73">
        <f t="shared" si="38"/>
        <v>0.49122584999578167</v>
      </c>
      <c r="AT81" s="73">
        <f t="shared" si="38"/>
        <v>0.60274014829625933</v>
      </c>
      <c r="AU81" s="73">
        <f t="shared" si="38"/>
        <v>0.57321521997621883</v>
      </c>
      <c r="AV81" s="73">
        <f t="shared" si="38"/>
        <v>0.44825485799701048</v>
      </c>
      <c r="AW81" s="73">
        <f t="shared" si="38"/>
        <v>0.3272854597948277</v>
      </c>
      <c r="AX81" s="73">
        <f t="shared" si="38"/>
        <v>0.36043693473478372</v>
      </c>
      <c r="AY81" s="73">
        <f t="shared" si="38"/>
        <v>0.49861828667547764</v>
      </c>
      <c r="AZ81" s="73">
        <f t="shared" si="38"/>
        <v>0.36901228100809036</v>
      </c>
      <c r="BA81" s="73">
        <f t="shared" si="38"/>
        <v>0.25577284277980333</v>
      </c>
      <c r="BB81" s="73">
        <f t="shared" si="38"/>
        <v>0.25178873777923422</v>
      </c>
      <c r="BC81" s="73">
        <f t="shared" si="38"/>
        <v>0.29448288096505237</v>
      </c>
      <c r="BD81" s="74"/>
      <c r="BE81" s="74"/>
      <c r="BF81" s="74"/>
      <c r="BG81" s="74"/>
      <c r="BH81" s="74"/>
      <c r="BI81" s="74"/>
      <c r="BJ81" s="74"/>
      <c r="BK81" s="74"/>
      <c r="BL81" s="74"/>
      <c r="BM81" s="74"/>
      <c r="BN81" s="74"/>
      <c r="BO81" s="74"/>
      <c r="BP81" s="74"/>
      <c r="BQ81" s="74"/>
      <c r="BR81" s="74"/>
    </row>
    <row r="82" spans="1:70" s="67" customFormat="1" x14ac:dyDescent="0.25">
      <c r="A82" s="67" t="str">
        <f t="shared" si="17"/>
        <v>VA</v>
      </c>
      <c r="B82" s="67" t="str">
        <f t="shared" si="17"/>
        <v>Agency</v>
      </c>
      <c r="C82" s="67" t="s">
        <v>245</v>
      </c>
      <c r="D82" s="67" t="str">
        <f t="shared" si="18"/>
        <v>Veteran's Affairs</v>
      </c>
      <c r="E82" s="73">
        <f t="shared" ref="E82" si="40">E18/E$24</f>
        <v>0.64920273348519364</v>
      </c>
      <c r="F82" s="73">
        <f t="shared" si="20"/>
        <v>0.57331303906646369</v>
      </c>
      <c r="G82" s="73">
        <f t="shared" si="38"/>
        <v>0.5258344764517604</v>
      </c>
      <c r="H82" s="73">
        <f t="shared" si="38"/>
        <v>0.51249999999999996</v>
      </c>
      <c r="I82" s="73">
        <f t="shared" si="38"/>
        <v>0.49221860296778863</v>
      </c>
      <c r="J82" s="73">
        <f t="shared" si="38"/>
        <v>0.51640142903540109</v>
      </c>
      <c r="K82" s="73">
        <f t="shared" si="38"/>
        <v>0.42638036809815949</v>
      </c>
      <c r="L82" s="73">
        <f t="shared" si="38"/>
        <v>0.45570336824228697</v>
      </c>
      <c r="M82" s="73">
        <f t="shared" si="38"/>
        <v>0.51924090669478129</v>
      </c>
      <c r="N82" s="73">
        <f t="shared" si="38"/>
        <v>0.51467051467051461</v>
      </c>
      <c r="O82" s="73">
        <f t="shared" si="38"/>
        <v>0.42234891676168757</v>
      </c>
      <c r="P82" s="73">
        <f t="shared" si="38"/>
        <v>0.50202611436289957</v>
      </c>
      <c r="Q82" s="73">
        <f t="shared" si="38"/>
        <v>0.42506459948320419</v>
      </c>
      <c r="R82" s="73">
        <f t="shared" si="38"/>
        <v>0.44599018003273322</v>
      </c>
      <c r="S82" s="73">
        <f t="shared" si="38"/>
        <v>0.4358769476628046</v>
      </c>
      <c r="T82" s="73">
        <f t="shared" si="38"/>
        <v>0.42040127507969249</v>
      </c>
      <c r="U82" s="73">
        <f t="shared" si="38"/>
        <v>0.46740352191832152</v>
      </c>
      <c r="V82" s="73">
        <f t="shared" si="38"/>
        <v>0.46850685439051504</v>
      </c>
      <c r="W82" s="73">
        <f t="shared" si="38"/>
        <v>0.51080731572141147</v>
      </c>
      <c r="X82" s="73">
        <f t="shared" si="38"/>
        <v>0.48274596182085172</v>
      </c>
      <c r="Y82" s="73">
        <f t="shared" si="38"/>
        <v>0.49371128214755017</v>
      </c>
      <c r="Z82" s="73">
        <f t="shared" si="38"/>
        <v>1.0749542961608776</v>
      </c>
      <c r="AA82" s="73">
        <f t="shared" si="38"/>
        <v>1.0634057971014492</v>
      </c>
      <c r="AB82" s="73">
        <f t="shared" si="38"/>
        <v>1.1256773291382625</v>
      </c>
      <c r="AC82" s="73">
        <f t="shared" si="38"/>
        <v>1.0494630654083956</v>
      </c>
      <c r="AD82" s="73">
        <f t="shared" si="38"/>
        <v>1.1078582434514639</v>
      </c>
      <c r="AE82" s="73">
        <f t="shared" si="38"/>
        <v>1.0299727520435968</v>
      </c>
      <c r="AF82" s="73">
        <f t="shared" si="38"/>
        <v>0.99114400097052047</v>
      </c>
      <c r="AG82" s="73">
        <f t="shared" si="38"/>
        <v>0.96748966595911068</v>
      </c>
      <c r="AH82" s="73">
        <f t="shared" si="38"/>
        <v>0.76613319566339699</v>
      </c>
      <c r="AI82" s="73">
        <f t="shared" si="38"/>
        <v>0.75688176273854024</v>
      </c>
      <c r="AJ82" s="73">
        <f t="shared" si="38"/>
        <v>0.7867204301075269</v>
      </c>
      <c r="AK82" s="73">
        <f t="shared" si="38"/>
        <v>0.78068552295356408</v>
      </c>
      <c r="AL82" s="73">
        <f t="shared" si="38"/>
        <v>0.76202020202020204</v>
      </c>
      <c r="AM82" s="73">
        <f t="shared" si="38"/>
        <v>0.76751781472684077</v>
      </c>
      <c r="AN82" s="73">
        <f t="shared" si="38"/>
        <v>0.86110904906836916</v>
      </c>
      <c r="AO82" s="73">
        <f t="shared" si="38"/>
        <v>0.90930469546131532</v>
      </c>
      <c r="AP82" s="73">
        <f t="shared" si="38"/>
        <v>0.96798486360612102</v>
      </c>
      <c r="AQ82" s="73">
        <f t="shared" si="38"/>
        <v>0.93392145220120448</v>
      </c>
      <c r="AR82" s="73">
        <f t="shared" si="38"/>
        <v>1.0050337001962291</v>
      </c>
      <c r="AS82" s="73">
        <f t="shared" si="38"/>
        <v>1.0309626254956552</v>
      </c>
      <c r="AT82" s="73">
        <f t="shared" si="38"/>
        <v>1.121386320086645</v>
      </c>
      <c r="AU82" s="73">
        <f t="shared" si="38"/>
        <v>1.0194213238208483</v>
      </c>
      <c r="AV82" s="73">
        <f t="shared" si="38"/>
        <v>1.0239162929745889</v>
      </c>
      <c r="AW82" s="73">
        <f t="shared" si="38"/>
        <v>0.83911788193377967</v>
      </c>
      <c r="AX82" s="73">
        <f t="shared" si="38"/>
        <v>0.88303593253483248</v>
      </c>
      <c r="AY82" s="73">
        <f t="shared" si="38"/>
        <v>0.95398293884416685</v>
      </c>
      <c r="AZ82" s="73">
        <f t="shared" si="38"/>
        <v>0.98015249403410754</v>
      </c>
      <c r="BA82" s="73">
        <f t="shared" si="38"/>
        <v>1.0087283173130042</v>
      </c>
      <c r="BB82" s="73">
        <f t="shared" si="38"/>
        <v>1.0044240537440603</v>
      </c>
      <c r="BC82" s="73">
        <f t="shared" si="38"/>
        <v>1.1022411448169831</v>
      </c>
      <c r="BD82" s="74"/>
      <c r="BE82" s="74"/>
      <c r="BF82" s="74"/>
      <c r="BG82" s="74"/>
      <c r="BH82" s="74"/>
      <c r="BI82" s="74"/>
      <c r="BJ82" s="74"/>
      <c r="BK82" s="74"/>
      <c r="BL82" s="74"/>
      <c r="BM82" s="74"/>
      <c r="BN82" s="74"/>
      <c r="BO82" s="74"/>
      <c r="BP82" s="74"/>
      <c r="BQ82" s="74"/>
      <c r="BR82" s="74"/>
    </row>
    <row r="83" spans="1:70" s="67" customFormat="1" x14ac:dyDescent="0.25">
      <c r="A83" s="67" t="str">
        <f t="shared" si="17"/>
        <v>All Other</v>
      </c>
      <c r="B83" s="67" t="str">
        <f t="shared" si="17"/>
        <v>Agency</v>
      </c>
      <c r="C83" s="67" t="s">
        <v>245</v>
      </c>
      <c r="D83" s="67">
        <f t="shared" si="18"/>
        <v>0</v>
      </c>
      <c r="E83" s="73">
        <f t="shared" ref="E83" si="41">E19/E$24</f>
        <v>1.9134396355353154</v>
      </c>
      <c r="F83" s="73">
        <f t="shared" ref="F83" si="42">F19/F$24</f>
        <v>1.9634703196347125</v>
      </c>
      <c r="G83" s="73">
        <f t="shared" si="38"/>
        <v>1.8244170096022012</v>
      </c>
      <c r="H83" s="73">
        <f t="shared" si="38"/>
        <v>3.3708333333333331</v>
      </c>
      <c r="I83" s="73">
        <f t="shared" si="38"/>
        <v>3.3840028954035417</v>
      </c>
      <c r="J83" s="73">
        <f t="shared" si="38"/>
        <v>2.6014939915557047</v>
      </c>
      <c r="K83" s="73">
        <f t="shared" si="38"/>
        <v>2.2177914110429504</v>
      </c>
      <c r="L83" s="73">
        <f t="shared" si="38"/>
        <v>1.9142371921879375</v>
      </c>
      <c r="M83" s="73">
        <f t="shared" si="38"/>
        <v>1.7959936742224676</v>
      </c>
      <c r="N83" s="73">
        <f t="shared" si="38"/>
        <v>1.3328523328523498</v>
      </c>
      <c r="O83" s="73">
        <f t="shared" si="38"/>
        <v>1.5354618015963184</v>
      </c>
      <c r="P83" s="73">
        <f t="shared" si="38"/>
        <v>1.7226474561008449</v>
      </c>
      <c r="Q83" s="73">
        <f t="shared" si="38"/>
        <v>1.6255383290267376</v>
      </c>
      <c r="R83" s="73">
        <f t="shared" si="38"/>
        <v>1.6751227495907959</v>
      </c>
      <c r="S83" s="73">
        <f t="shared" si="38"/>
        <v>2.0225729125050012</v>
      </c>
      <c r="T83" s="73">
        <f t="shared" si="38"/>
        <v>1.8256141008813265</v>
      </c>
      <c r="U83" s="73">
        <f t="shared" si="38"/>
        <v>2.2933683027350948</v>
      </c>
      <c r="V83" s="73">
        <f t="shared" si="38"/>
        <v>1.9547980733605188</v>
      </c>
      <c r="W83" s="73">
        <f t="shared" si="38"/>
        <v>1.9549233327175266</v>
      </c>
      <c r="X83" s="73">
        <f t="shared" si="38"/>
        <v>1.9364904552129223</v>
      </c>
      <c r="Y83" s="73">
        <f t="shared" si="38"/>
        <v>1.6822019898629288</v>
      </c>
      <c r="Z83" s="73">
        <f t="shared" si="38"/>
        <v>1.6147605118830237</v>
      </c>
      <c r="AA83" s="73">
        <f t="shared" si="38"/>
        <v>1.6802463768115565</v>
      </c>
      <c r="AB83" s="73">
        <f t="shared" si="38"/>
        <v>1.6735728019576472</v>
      </c>
      <c r="AC83" s="73">
        <f t="shared" si="38"/>
        <v>1.4129059297105298</v>
      </c>
      <c r="AD83" s="73">
        <f t="shared" si="38"/>
        <v>1.4875531587056654</v>
      </c>
      <c r="AE83" s="73">
        <f t="shared" si="38"/>
        <v>1.3966539509537532</v>
      </c>
      <c r="AF83" s="73">
        <f t="shared" si="38"/>
        <v>1.290792187310432</v>
      </c>
      <c r="AG83" s="73">
        <f t="shared" si="38"/>
        <v>1.1428890626745656</v>
      </c>
      <c r="AH83" s="73">
        <f t="shared" si="38"/>
        <v>1.0707279297883288</v>
      </c>
      <c r="AI83" s="73">
        <f t="shared" si="38"/>
        <v>1.070234113712389</v>
      </c>
      <c r="AJ83" s="73">
        <f t="shared" si="38"/>
        <v>1.0685483870967638</v>
      </c>
      <c r="AK83" s="73">
        <f t="shared" si="38"/>
        <v>0.93955414573971208</v>
      </c>
      <c r="AL83" s="73">
        <f t="shared" si="38"/>
        <v>0.93171717171716295</v>
      </c>
      <c r="AM83" s="73">
        <f t="shared" si="38"/>
        <v>0.83951900237554267</v>
      </c>
      <c r="AN83" s="73">
        <f t="shared" si="38"/>
        <v>0.75124341177346088</v>
      </c>
      <c r="AO83" s="73">
        <f t="shared" si="38"/>
        <v>1.0362937994826626</v>
      </c>
      <c r="AP83" s="73">
        <f t="shared" si="38"/>
        <v>1.4254823685961651</v>
      </c>
      <c r="AQ83" s="73">
        <f t="shared" si="38"/>
        <v>1.3605903808635198</v>
      </c>
      <c r="AR83" s="73">
        <f t="shared" si="38"/>
        <v>1.2720757614538165</v>
      </c>
      <c r="AS83" s="73">
        <f t="shared" si="38"/>
        <v>1.3498692314182217</v>
      </c>
      <c r="AT83" s="73">
        <f t="shared" si="38"/>
        <v>1.2738482046155251</v>
      </c>
      <c r="AU83" s="73">
        <f t="shared" si="38"/>
        <v>1.4229092350376304</v>
      </c>
      <c r="AV83" s="73">
        <f t="shared" si="38"/>
        <v>1.3321905829596341</v>
      </c>
      <c r="AW83" s="73">
        <f t="shared" si="38"/>
        <v>0.71441734750289998</v>
      </c>
      <c r="AX83" s="73">
        <f t="shared" si="38"/>
        <v>0.66854069909559344</v>
      </c>
      <c r="AY83" s="73">
        <f t="shared" si="38"/>
        <v>0.73891625615763545</v>
      </c>
      <c r="AZ83" s="73">
        <f t="shared" si="38"/>
        <v>0.83638903439846346</v>
      </c>
      <c r="BA83" s="73">
        <f t="shared" si="38"/>
        <v>0.87338415644680145</v>
      </c>
      <c r="BB83" s="73">
        <f t="shared" si="38"/>
        <v>0.82090775028674423</v>
      </c>
      <c r="BC83" s="73">
        <f t="shared" si="38"/>
        <v>0.63508958665957072</v>
      </c>
      <c r="BD83" s="74"/>
      <c r="BE83" s="74"/>
      <c r="BF83" s="74"/>
      <c r="BG83" s="74"/>
      <c r="BH83" s="74"/>
      <c r="BI83" s="74"/>
      <c r="BJ83" s="74"/>
      <c r="BK83" s="74"/>
      <c r="BL83" s="74"/>
      <c r="BM83" s="74"/>
      <c r="BN83" s="74"/>
      <c r="BO83" s="74"/>
      <c r="BP83" s="74"/>
      <c r="BQ83" s="74"/>
      <c r="BR83" s="74"/>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56A2-59EB-4082-915F-DCD7E67FEBB7}">
  <dimension ref="A1:BU350"/>
  <sheetViews>
    <sheetView tabSelected="1" zoomScale="55" zoomScaleNormal="55" workbookViewId="0">
      <pane xSplit="5" ySplit="1" topLeftCell="U139" activePane="bottomRight" state="frozen"/>
      <selection pane="topRight" activeCell="E1" sqref="E1"/>
      <selection pane="bottomLeft" activeCell="A2" sqref="A2"/>
      <selection pane="bottomRight" activeCell="AV153" sqref="AV153"/>
    </sheetView>
  </sheetViews>
  <sheetFormatPr defaultRowHeight="11.5" x14ac:dyDescent="0.25"/>
  <cols>
    <col min="1" max="1" width="8.81640625" style="3" customWidth="1"/>
    <col min="2" max="3" width="8.81640625" style="3" bestFit="1" customWidth="1"/>
    <col min="4" max="4" width="8.90625" style="3" bestFit="1" customWidth="1"/>
    <col min="5" max="5" width="14.81640625" style="3" bestFit="1" customWidth="1"/>
    <col min="6" max="8" width="8.7265625" style="3"/>
    <col min="9" max="23" width="8.81640625" style="3" customWidth="1"/>
    <col min="24" max="42" width="8.90625" style="3" bestFit="1" customWidth="1"/>
    <col min="43" max="44" width="10.81640625" style="3" bestFit="1" customWidth="1"/>
    <col min="45" max="52" width="8.90625" style="3" bestFit="1" customWidth="1"/>
    <col min="53" max="54" width="9.26953125" style="3" bestFit="1" customWidth="1"/>
    <col min="55" max="55" width="9.54296875" style="3" bestFit="1" customWidth="1"/>
    <col min="56" max="60" width="9.26953125" style="3" bestFit="1" customWidth="1"/>
    <col min="61" max="62" width="8.90625" style="3" bestFit="1" customWidth="1"/>
    <col min="63" max="16384" width="8.7265625" style="3"/>
  </cols>
  <sheetData>
    <row r="1" spans="1:66" s="109" customFormat="1" x14ac:dyDescent="0.25">
      <c r="A1" s="108" t="s">
        <v>58</v>
      </c>
      <c r="B1" s="108" t="s">
        <v>59</v>
      </c>
      <c r="C1" s="108" t="s">
        <v>60</v>
      </c>
      <c r="D1" s="108" t="s">
        <v>85</v>
      </c>
      <c r="E1" s="108" t="s">
        <v>75</v>
      </c>
      <c r="F1" s="108" t="s">
        <v>87</v>
      </c>
      <c r="G1" s="108" t="s">
        <v>292</v>
      </c>
      <c r="H1" s="107" t="s">
        <v>121</v>
      </c>
      <c r="I1" s="109">
        <v>1975</v>
      </c>
      <c r="J1" s="109">
        <v>1976</v>
      </c>
      <c r="K1" s="109">
        <v>1977</v>
      </c>
      <c r="L1" s="109">
        <v>1978</v>
      </c>
      <c r="M1" s="109">
        <v>1979</v>
      </c>
      <c r="N1" s="109">
        <v>1980</v>
      </c>
      <c r="O1" s="109">
        <v>1981</v>
      </c>
      <c r="P1" s="109">
        <v>1982</v>
      </c>
      <c r="Q1" s="109">
        <v>1983</v>
      </c>
      <c r="R1" s="109">
        <v>1984</v>
      </c>
      <c r="S1" s="109">
        <v>1985</v>
      </c>
      <c r="T1" s="109">
        <v>1986</v>
      </c>
      <c r="U1" s="109">
        <v>1987</v>
      </c>
      <c r="V1" s="109">
        <v>1988</v>
      </c>
      <c r="W1" s="109">
        <v>1989</v>
      </c>
      <c r="X1" s="109">
        <v>1990</v>
      </c>
      <c r="Y1" s="109">
        <v>1991</v>
      </c>
      <c r="Z1" s="109">
        <v>1992</v>
      </c>
      <c r="AA1" s="109">
        <v>1993</v>
      </c>
      <c r="AB1" s="109">
        <v>1994</v>
      </c>
      <c r="AC1" s="109">
        <v>1995</v>
      </c>
      <c r="AD1" s="109">
        <v>1996</v>
      </c>
      <c r="AE1" s="109">
        <v>1997</v>
      </c>
      <c r="AF1" s="109">
        <v>1998</v>
      </c>
      <c r="AG1" s="109">
        <v>1999</v>
      </c>
      <c r="AH1" s="109">
        <v>2000</v>
      </c>
      <c r="AI1" s="109">
        <v>2001</v>
      </c>
      <c r="AJ1" s="109">
        <v>2002</v>
      </c>
      <c r="AK1" s="109">
        <v>2003</v>
      </c>
      <c r="AL1" s="109">
        <v>2004</v>
      </c>
      <c r="AM1" s="109">
        <v>2005</v>
      </c>
      <c r="AN1" s="109">
        <v>2006</v>
      </c>
      <c r="AO1" s="109">
        <v>2007</v>
      </c>
      <c r="AP1" s="109">
        <v>2008</v>
      </c>
      <c r="AQ1" s="109">
        <v>2009</v>
      </c>
      <c r="AR1" s="109">
        <v>2010</v>
      </c>
      <c r="AS1" s="109">
        <v>2011</v>
      </c>
      <c r="AT1" s="109">
        <v>2012</v>
      </c>
      <c r="AU1" s="109">
        <v>2013</v>
      </c>
      <c r="AV1" s="109">
        <v>2014</v>
      </c>
      <c r="AW1" s="109">
        <v>2015</v>
      </c>
      <c r="AX1" s="109">
        <v>2016</v>
      </c>
      <c r="AY1" s="109">
        <v>2017</v>
      </c>
      <c r="AZ1" s="109">
        <v>2018</v>
      </c>
      <c r="BA1" s="109">
        <v>2019</v>
      </c>
      <c r="BB1" s="109">
        <v>2020</v>
      </c>
      <c r="BC1" s="109">
        <v>2021</v>
      </c>
      <c r="BD1" s="109">
        <v>2022</v>
      </c>
      <c r="BE1" s="109">
        <v>2023</v>
      </c>
      <c r="BF1" s="109">
        <v>2024</v>
      </c>
      <c r="BG1" s="109">
        <v>2025</v>
      </c>
      <c r="BH1" s="109">
        <v>2026</v>
      </c>
      <c r="BL1" s="129"/>
      <c r="BM1" s="129"/>
      <c r="BN1" s="129"/>
    </row>
    <row r="2" spans="1:66" x14ac:dyDescent="0.25">
      <c r="A2" s="3" t="s">
        <v>0</v>
      </c>
      <c r="B2" s="3" t="s">
        <v>10</v>
      </c>
      <c r="C2" s="3" t="s">
        <v>10</v>
      </c>
      <c r="D2" s="3" t="s">
        <v>114</v>
      </c>
      <c r="E2" s="3" t="s">
        <v>60</v>
      </c>
      <c r="F2" s="3" t="s">
        <v>91</v>
      </c>
      <c r="H2" s="3" t="s">
        <v>329</v>
      </c>
      <c r="I2" s="3">
        <v>766.173</v>
      </c>
      <c r="J2" s="3">
        <v>738.92100000000005</v>
      </c>
      <c r="K2" s="3">
        <v>721.02300000000002</v>
      </c>
      <c r="L2" s="3">
        <v>796.154</v>
      </c>
      <c r="M2" s="3">
        <v>847.60599999999999</v>
      </c>
      <c r="N2" s="3">
        <v>911.50199999999995</v>
      </c>
      <c r="O2" s="3">
        <v>968.25599999999997</v>
      </c>
      <c r="P2" s="3">
        <v>977.39700000000005</v>
      </c>
      <c r="Q2" s="3">
        <v>1067.6949999999999</v>
      </c>
      <c r="R2" s="3">
        <v>1146.528</v>
      </c>
      <c r="S2" s="3">
        <v>1311.703</v>
      </c>
      <c r="T2" s="3">
        <v>1298.896</v>
      </c>
      <c r="U2" s="3">
        <v>1412.1</v>
      </c>
      <c r="V2" s="3">
        <v>1459.03</v>
      </c>
      <c r="W2" s="3">
        <v>1621.68</v>
      </c>
      <c r="X2" s="3">
        <v>1876.7829999999999</v>
      </c>
      <c r="Y2" s="3">
        <v>1889.654</v>
      </c>
      <c r="Z2" s="3">
        <v>1993</v>
      </c>
      <c r="AA2" s="3">
        <v>2131.36</v>
      </c>
      <c r="AB2" s="3">
        <v>2320.6999999999998</v>
      </c>
      <c r="AC2" s="3">
        <v>2398.92</v>
      </c>
      <c r="AD2" s="3">
        <v>2398.6940000000004</v>
      </c>
      <c r="AE2" s="3">
        <v>2463.9490000000001</v>
      </c>
      <c r="AF2" s="3">
        <v>2572.6210000000001</v>
      </c>
      <c r="AG2" s="3">
        <v>2821.6080000000002</v>
      </c>
      <c r="AH2" s="3">
        <v>2979.904</v>
      </c>
      <c r="AI2" s="3">
        <v>3372.3009999999999</v>
      </c>
      <c r="AJ2" s="3">
        <v>3615.97</v>
      </c>
      <c r="AK2" s="3">
        <v>4054.43</v>
      </c>
      <c r="AL2" s="3">
        <v>4293.34</v>
      </c>
      <c r="AM2" s="3">
        <v>4234.82</v>
      </c>
      <c r="AN2" s="3">
        <v>4351.03</v>
      </c>
      <c r="AO2" s="3">
        <v>4656.33</v>
      </c>
      <c r="AP2" s="3">
        <v>4853.24</v>
      </c>
      <c r="AQ2" s="3">
        <v>5152.3900000000003</v>
      </c>
      <c r="AR2" s="3">
        <v>5615.33</v>
      </c>
      <c r="AS2" s="3">
        <v>5608.3899999999994</v>
      </c>
      <c r="AT2" s="3">
        <v>5758.2999999999993</v>
      </c>
      <c r="AU2" s="3">
        <v>5558.92</v>
      </c>
      <c r="AV2" s="3">
        <v>5775.3200000000006</v>
      </c>
      <c r="AW2" s="3">
        <v>6041.5899999999992</v>
      </c>
      <c r="AX2" s="3">
        <v>5998.0599999999995</v>
      </c>
      <c r="AY2" s="3">
        <v>6006.51</v>
      </c>
      <c r="AZ2" s="3">
        <v>6380.3600000000006</v>
      </c>
      <c r="BA2" s="3">
        <v>6578.14</v>
      </c>
      <c r="BB2" s="3">
        <v>6602.7029999999995</v>
      </c>
      <c r="BC2" s="3">
        <v>6909.77</v>
      </c>
      <c r="BD2" s="130">
        <v>7866.6459999999997</v>
      </c>
      <c r="BE2" s="130">
        <v>7608.2870000000003</v>
      </c>
      <c r="BF2" s="130">
        <v>7176.5</v>
      </c>
      <c r="BG2" s="130">
        <v>7176.5</v>
      </c>
      <c r="BH2" s="130">
        <v>3276.15</v>
      </c>
    </row>
    <row r="3" spans="1:66" x14ac:dyDescent="0.25">
      <c r="A3" s="3" t="s">
        <v>0</v>
      </c>
      <c r="B3" s="3" t="s">
        <v>331</v>
      </c>
      <c r="C3" s="3" t="s">
        <v>331</v>
      </c>
      <c r="D3" s="3" t="s">
        <v>114</v>
      </c>
      <c r="E3" s="3" t="s">
        <v>60</v>
      </c>
      <c r="F3" s="3" t="s">
        <v>91</v>
      </c>
      <c r="G3" s="3" t="s">
        <v>332</v>
      </c>
      <c r="H3" s="3" t="s">
        <v>330</v>
      </c>
      <c r="I3" s="3">
        <v>60.835000000000001</v>
      </c>
      <c r="J3" s="3">
        <v>52.481000000000002</v>
      </c>
      <c r="K3" s="3">
        <v>75.22</v>
      </c>
      <c r="L3" s="3">
        <v>74.311999999999998</v>
      </c>
      <c r="M3" s="3">
        <v>80.009</v>
      </c>
      <c r="N3" s="3">
        <v>77.239000000000004</v>
      </c>
      <c r="O3" s="3">
        <v>70.703999999999994</v>
      </c>
      <c r="P3" s="3">
        <v>20.9</v>
      </c>
      <c r="Q3" s="3">
        <v>30</v>
      </c>
      <c r="R3" s="3">
        <v>88.972999999999999</v>
      </c>
      <c r="S3" s="3">
        <v>82.037000000000006</v>
      </c>
      <c r="T3" s="3">
        <v>84.676000000000002</v>
      </c>
      <c r="U3" s="3">
        <v>139.63</v>
      </c>
      <c r="V3" s="3">
        <v>139.69999999999999</v>
      </c>
      <c r="W3" s="3">
        <v>171.23</v>
      </c>
      <c r="X3" s="3">
        <v>204.26499999999999</v>
      </c>
      <c r="Y3" s="3">
        <v>322.346</v>
      </c>
      <c r="Z3" s="3">
        <v>465</v>
      </c>
      <c r="AA3" s="3">
        <v>487.5</v>
      </c>
      <c r="AB3" s="3">
        <v>569.6</v>
      </c>
      <c r="AC3" s="3">
        <v>611.88</v>
      </c>
      <c r="AD3" s="3">
        <v>601.16099999999994</v>
      </c>
      <c r="AE3" s="3">
        <v>619.13800000000003</v>
      </c>
      <c r="AF3" s="3">
        <v>633.15899999999999</v>
      </c>
      <c r="AG3" s="3">
        <v>662.47699999999998</v>
      </c>
      <c r="AH3" s="3">
        <v>683.58299999999997</v>
      </c>
      <c r="AI3" s="3">
        <v>795.41700000000003</v>
      </c>
      <c r="AJ3" s="3">
        <v>866.11</v>
      </c>
      <c r="AK3" s="3">
        <v>934.88</v>
      </c>
      <c r="AL3" s="3">
        <v>944.1</v>
      </c>
      <c r="AM3" s="3">
        <v>843.54</v>
      </c>
      <c r="AN3" s="3">
        <v>798.48</v>
      </c>
      <c r="AO3" s="3">
        <v>797.76</v>
      </c>
      <c r="AP3" s="3">
        <v>766.26</v>
      </c>
      <c r="AQ3" s="3">
        <v>845.52</v>
      </c>
      <c r="AR3" s="3">
        <v>872.77</v>
      </c>
      <c r="AS3" s="3">
        <v>861.03399999999999</v>
      </c>
      <c r="AT3" s="3">
        <v>830.54</v>
      </c>
      <c r="AU3" s="3">
        <v>834.62000000000012</v>
      </c>
      <c r="AV3" s="3">
        <v>832.02</v>
      </c>
      <c r="AW3" s="3">
        <v>886.31999999999994</v>
      </c>
      <c r="AX3" s="3">
        <v>884.1099999999999</v>
      </c>
      <c r="AY3" s="3">
        <v>873.37</v>
      </c>
      <c r="AZ3" s="3">
        <v>903.87</v>
      </c>
      <c r="BA3" s="3">
        <v>934.53</v>
      </c>
      <c r="BB3" s="3">
        <v>1084.2370410000001</v>
      </c>
      <c r="BC3" s="3">
        <v>968</v>
      </c>
      <c r="BD3" s="130">
        <v>1006</v>
      </c>
      <c r="BE3" s="130">
        <v>1228</v>
      </c>
      <c r="BF3" s="130">
        <v>1172</v>
      </c>
      <c r="BG3" s="130">
        <v>1172</v>
      </c>
      <c r="BH3" s="130">
        <v>288.43</v>
      </c>
    </row>
    <row r="4" spans="1:66" x14ac:dyDescent="0.25">
      <c r="A4" s="3" t="s">
        <v>0</v>
      </c>
      <c r="B4" s="3" t="s">
        <v>11</v>
      </c>
      <c r="C4" s="3" t="s">
        <v>11</v>
      </c>
      <c r="D4" s="3" t="s">
        <v>114</v>
      </c>
      <c r="E4" s="3" t="s">
        <v>60</v>
      </c>
      <c r="F4" s="3" t="s">
        <v>91</v>
      </c>
      <c r="H4" s="3" t="s">
        <v>333</v>
      </c>
      <c r="AA4" s="3">
        <v>34.07</v>
      </c>
      <c r="AB4" s="3">
        <v>170.4</v>
      </c>
      <c r="AC4" s="3">
        <v>126</v>
      </c>
      <c r="AD4" s="3">
        <v>70</v>
      </c>
      <c r="AE4" s="3">
        <v>76.126000000000005</v>
      </c>
      <c r="AF4" s="3">
        <v>78.206000000000003</v>
      </c>
      <c r="AG4" s="3">
        <v>56.704999999999998</v>
      </c>
      <c r="AH4" s="3">
        <v>105</v>
      </c>
      <c r="AI4" s="3">
        <v>119.242</v>
      </c>
      <c r="AJ4" s="3">
        <v>115.35</v>
      </c>
      <c r="AK4" s="3">
        <v>179.03</v>
      </c>
      <c r="AL4" s="3">
        <v>183.96</v>
      </c>
      <c r="AM4" s="3">
        <v>165.14</v>
      </c>
      <c r="AN4" s="3">
        <v>233.81</v>
      </c>
      <c r="AO4" s="3">
        <v>166.21</v>
      </c>
      <c r="AP4" s="3">
        <v>166.85</v>
      </c>
      <c r="AQ4" s="3">
        <v>160.76</v>
      </c>
      <c r="AR4" s="3">
        <v>165.9</v>
      </c>
      <c r="AS4" s="3">
        <v>125.37</v>
      </c>
      <c r="AT4" s="3">
        <v>198.08</v>
      </c>
      <c r="AU4" s="3">
        <v>196.49</v>
      </c>
      <c r="AV4" s="3">
        <v>200</v>
      </c>
      <c r="AW4" s="3">
        <v>144.76</v>
      </c>
      <c r="AX4" s="3">
        <v>241.5</v>
      </c>
      <c r="AY4" s="3">
        <v>222.78</v>
      </c>
      <c r="AZ4" s="3">
        <v>186.3</v>
      </c>
      <c r="BA4" s="3">
        <v>285.27</v>
      </c>
      <c r="BB4" s="3">
        <v>154.836321</v>
      </c>
      <c r="BC4" s="3">
        <v>241</v>
      </c>
      <c r="BD4" s="130">
        <v>254</v>
      </c>
      <c r="BE4" s="130">
        <v>187.23</v>
      </c>
      <c r="BF4" s="130">
        <v>234</v>
      </c>
      <c r="BG4" s="130">
        <v>234</v>
      </c>
      <c r="BH4" s="130">
        <v>251</v>
      </c>
    </row>
    <row r="5" spans="1:66" x14ac:dyDescent="0.25">
      <c r="A5" s="3" t="s">
        <v>0</v>
      </c>
      <c r="B5" s="3" t="s">
        <v>21</v>
      </c>
      <c r="C5" s="3" t="s">
        <v>21</v>
      </c>
      <c r="D5" s="3" t="s">
        <v>113</v>
      </c>
      <c r="E5" s="3" t="s">
        <v>60</v>
      </c>
      <c r="F5" s="3" t="s">
        <v>91</v>
      </c>
      <c r="H5" s="3" t="s">
        <v>363</v>
      </c>
      <c r="AQ5" s="3">
        <v>3001.96</v>
      </c>
      <c r="BD5" s="130"/>
      <c r="BE5" s="130"/>
      <c r="BF5" s="130"/>
      <c r="BG5" s="130"/>
      <c r="BH5" s="130"/>
    </row>
    <row r="6" spans="1:66" x14ac:dyDescent="0.25">
      <c r="A6" s="3" t="s">
        <v>0</v>
      </c>
      <c r="B6" s="3" t="s">
        <v>12</v>
      </c>
      <c r="C6" s="3" t="s">
        <v>12</v>
      </c>
      <c r="D6" s="3" t="s">
        <v>113</v>
      </c>
      <c r="E6" s="3" t="s">
        <v>60</v>
      </c>
      <c r="F6" s="3" t="s">
        <v>91</v>
      </c>
      <c r="H6" s="3" t="s">
        <v>364</v>
      </c>
      <c r="BB6" s="3">
        <v>76</v>
      </c>
      <c r="BD6" s="130"/>
      <c r="BE6" s="130"/>
      <c r="BF6" s="130"/>
      <c r="BG6" s="130"/>
      <c r="BH6" s="130"/>
    </row>
    <row r="7" spans="1:66" x14ac:dyDescent="0.25">
      <c r="A7" s="3" t="s">
        <v>0</v>
      </c>
      <c r="B7" s="3" t="s">
        <v>13</v>
      </c>
      <c r="C7" s="3" t="s">
        <v>13</v>
      </c>
      <c r="D7" s="3" t="s">
        <v>114</v>
      </c>
      <c r="E7" s="3" t="s">
        <v>60</v>
      </c>
      <c r="F7" s="3" t="s">
        <v>91</v>
      </c>
      <c r="H7" s="3" t="s">
        <v>334</v>
      </c>
      <c r="X7" s="3">
        <v>0</v>
      </c>
      <c r="Y7" s="3">
        <v>100.999</v>
      </c>
      <c r="Z7" s="3">
        <v>111.208</v>
      </c>
      <c r="AA7" s="3">
        <v>111</v>
      </c>
      <c r="AB7" s="3">
        <v>123.5</v>
      </c>
      <c r="AC7" s="3">
        <v>129.01400000000001</v>
      </c>
      <c r="AD7" s="3">
        <v>132.49600000000001</v>
      </c>
      <c r="AE7" s="3">
        <v>134.26900000000001</v>
      </c>
      <c r="AF7" s="3">
        <v>136.94499999999999</v>
      </c>
      <c r="AG7" s="3">
        <v>144.08000000000001</v>
      </c>
      <c r="AH7" s="3">
        <v>149.28</v>
      </c>
      <c r="AI7" s="3">
        <v>160.52799999999999</v>
      </c>
      <c r="AJ7" s="3">
        <v>169.93</v>
      </c>
      <c r="AK7" s="3">
        <v>189.42</v>
      </c>
      <c r="AL7" s="3">
        <v>218.92</v>
      </c>
      <c r="AM7" s="3">
        <v>223.45</v>
      </c>
      <c r="AN7" s="3">
        <v>247.06</v>
      </c>
      <c r="AO7" s="3">
        <v>248.49</v>
      </c>
      <c r="AP7" s="3">
        <v>282.04000000000002</v>
      </c>
      <c r="AQ7" s="3">
        <v>294.08999999999997</v>
      </c>
      <c r="AR7" s="3">
        <v>299.85000000000002</v>
      </c>
      <c r="AS7" s="3">
        <v>299.29000000000002</v>
      </c>
      <c r="AT7" s="3">
        <v>299.3</v>
      </c>
      <c r="AU7" s="3">
        <v>293.5</v>
      </c>
      <c r="AV7" s="3">
        <v>305.95</v>
      </c>
      <c r="AW7" s="3">
        <v>306.56</v>
      </c>
      <c r="AX7" s="3">
        <v>351.11</v>
      </c>
      <c r="AY7" s="3">
        <v>382.06</v>
      </c>
      <c r="AZ7" s="3">
        <v>328.51</v>
      </c>
      <c r="BA7" s="3">
        <v>332.69</v>
      </c>
      <c r="BB7" s="3">
        <v>347.58299799999998</v>
      </c>
      <c r="BC7" s="3">
        <v>345.64</v>
      </c>
      <c r="BD7" s="130">
        <v>427</v>
      </c>
      <c r="BE7" s="130">
        <v>452</v>
      </c>
      <c r="BF7" s="130">
        <v>448</v>
      </c>
      <c r="BG7" s="130">
        <v>448</v>
      </c>
      <c r="BH7" s="130">
        <v>355</v>
      </c>
    </row>
    <row r="8" spans="1:66" x14ac:dyDescent="0.25">
      <c r="A8" s="3" t="s">
        <v>0</v>
      </c>
      <c r="B8" s="3" t="s">
        <v>14</v>
      </c>
      <c r="C8" s="3" t="s">
        <v>14</v>
      </c>
      <c r="D8" s="3" t="s">
        <v>114</v>
      </c>
      <c r="E8" s="3" t="s">
        <v>60</v>
      </c>
      <c r="F8" s="3" t="s">
        <v>91</v>
      </c>
      <c r="H8" s="3" t="s">
        <v>335</v>
      </c>
      <c r="X8" s="3">
        <v>2.56</v>
      </c>
      <c r="Y8" s="3">
        <v>3</v>
      </c>
      <c r="Z8" s="3">
        <v>3.5</v>
      </c>
      <c r="AA8" s="3">
        <v>3.6880000000000002</v>
      </c>
      <c r="AB8" s="3">
        <v>3.9969999999999999</v>
      </c>
      <c r="AC8" s="3">
        <v>4.46</v>
      </c>
      <c r="AD8" s="3">
        <v>3.9750000000000001</v>
      </c>
      <c r="AE8" s="3">
        <v>5.3259999999999996</v>
      </c>
      <c r="AF8" s="3">
        <v>4.798</v>
      </c>
      <c r="AG8" s="3">
        <v>5.41</v>
      </c>
      <c r="AH8" s="3">
        <v>5.6</v>
      </c>
      <c r="AI8" s="3">
        <v>6.3170000000000002</v>
      </c>
      <c r="AJ8" s="3">
        <v>6.7</v>
      </c>
      <c r="AK8" s="3">
        <v>8.6999999999999993</v>
      </c>
      <c r="AL8" s="3">
        <v>9.4700000000000006</v>
      </c>
      <c r="AM8" s="3">
        <v>10.17</v>
      </c>
      <c r="AN8" s="3">
        <v>11.47</v>
      </c>
      <c r="AO8" s="3">
        <v>11.92</v>
      </c>
      <c r="AP8" s="3">
        <v>11.83</v>
      </c>
      <c r="AQ8" s="3">
        <v>11.99</v>
      </c>
      <c r="AR8" s="3">
        <v>13.97</v>
      </c>
      <c r="AS8" s="3">
        <v>13.92</v>
      </c>
      <c r="AT8" s="3">
        <v>14.12</v>
      </c>
      <c r="AU8" s="3">
        <v>13.17</v>
      </c>
      <c r="AV8" s="3">
        <v>13.84</v>
      </c>
      <c r="AW8" s="3">
        <v>14.6</v>
      </c>
      <c r="AX8" s="3">
        <v>14.76</v>
      </c>
      <c r="AY8" s="3">
        <v>15.2</v>
      </c>
      <c r="AZ8" s="3">
        <v>15.35</v>
      </c>
      <c r="BA8" s="3">
        <v>15.28</v>
      </c>
      <c r="BB8" s="3">
        <v>16.304351</v>
      </c>
      <c r="BC8" s="3">
        <v>17.850000000000001</v>
      </c>
      <c r="BD8" s="130">
        <v>19</v>
      </c>
      <c r="BE8" s="130">
        <v>23.393000000000001</v>
      </c>
      <c r="BF8" s="130">
        <v>24.41</v>
      </c>
      <c r="BG8" s="130">
        <v>24.41</v>
      </c>
      <c r="BH8" s="130">
        <v>18</v>
      </c>
    </row>
    <row r="9" spans="1:66" x14ac:dyDescent="0.25">
      <c r="A9" s="3" t="s">
        <v>0</v>
      </c>
      <c r="B9" s="3" t="s">
        <v>15</v>
      </c>
      <c r="C9" s="3" t="s">
        <v>15</v>
      </c>
      <c r="D9" s="3" t="s">
        <v>114</v>
      </c>
      <c r="E9" s="3" t="s">
        <v>60</v>
      </c>
      <c r="F9" s="3" t="s">
        <v>91</v>
      </c>
      <c r="H9" s="3" t="s">
        <v>336</v>
      </c>
      <c r="AK9" s="3">
        <v>2.88</v>
      </c>
      <c r="AL9" s="3">
        <v>2.2200000000000002</v>
      </c>
      <c r="AM9" s="3">
        <v>3.65</v>
      </c>
      <c r="AN9" s="3">
        <v>3.94</v>
      </c>
      <c r="AO9" s="3">
        <v>3.65</v>
      </c>
      <c r="AP9" s="3">
        <v>3.82</v>
      </c>
      <c r="AQ9" s="3">
        <v>4.0199999999999996</v>
      </c>
      <c r="AR9" s="3">
        <v>4.38</v>
      </c>
      <c r="AS9" s="3">
        <v>4.47</v>
      </c>
      <c r="AT9" s="3">
        <v>5.07</v>
      </c>
      <c r="AU9" s="3">
        <v>4.0999999999999996</v>
      </c>
      <c r="AV9" s="3">
        <v>4.25</v>
      </c>
      <c r="AW9" s="3">
        <v>4.1500000000000004</v>
      </c>
      <c r="AX9" s="3">
        <v>4.3099999999999996</v>
      </c>
      <c r="AY9" s="3">
        <v>4.37</v>
      </c>
      <c r="AZ9" s="3">
        <v>4.37</v>
      </c>
      <c r="BA9" s="3">
        <v>4.32</v>
      </c>
      <c r="BB9" s="3">
        <v>4.4256180000000001</v>
      </c>
      <c r="BC9" s="3">
        <v>4.5</v>
      </c>
      <c r="BD9" s="130">
        <v>4.5999999999999996</v>
      </c>
      <c r="BE9" s="130">
        <v>5.0990000000000002</v>
      </c>
      <c r="BF9" s="130">
        <v>5.09</v>
      </c>
      <c r="BG9" s="130">
        <v>5.09</v>
      </c>
      <c r="BH9" s="130">
        <v>3</v>
      </c>
    </row>
    <row r="10" spans="1:66" x14ac:dyDescent="0.25">
      <c r="A10" s="3" t="s">
        <v>0</v>
      </c>
      <c r="B10" s="3" t="s">
        <v>0</v>
      </c>
      <c r="C10" s="3" t="s">
        <v>0</v>
      </c>
      <c r="D10" s="3" t="s">
        <v>114</v>
      </c>
      <c r="E10" s="3" t="s">
        <v>75</v>
      </c>
      <c r="F10" s="3" t="s">
        <v>91</v>
      </c>
      <c r="H10" s="3" t="s">
        <v>337</v>
      </c>
      <c r="I10" s="3">
        <v>660.44899999999996</v>
      </c>
      <c r="J10" s="3">
        <v>731.19</v>
      </c>
      <c r="K10" s="3">
        <v>746.88699999999994</v>
      </c>
      <c r="L10" s="3">
        <v>796.68299999999999</v>
      </c>
      <c r="M10" s="3">
        <v>868.03700000000003</v>
      </c>
      <c r="N10" s="3">
        <v>911.33500000000004</v>
      </c>
      <c r="O10" s="3">
        <v>968.00699999999995</v>
      </c>
      <c r="P10" s="3">
        <v>1084.1590000000001</v>
      </c>
      <c r="Q10" s="3">
        <v>1049.2239999999999</v>
      </c>
      <c r="R10" s="3">
        <v>1189.2260000000001</v>
      </c>
      <c r="S10" s="3">
        <v>1315.7239999999999</v>
      </c>
      <c r="T10" s="3">
        <v>1542.1320000000001</v>
      </c>
      <c r="U10" s="3">
        <v>1546.491</v>
      </c>
      <c r="V10" s="3">
        <v>1645.2260000000001</v>
      </c>
      <c r="W10" s="3">
        <v>1738.0360000000001</v>
      </c>
      <c r="X10" s="3">
        <v>2083.6079999999997</v>
      </c>
      <c r="Y10" s="3">
        <v>2315.9989999999998</v>
      </c>
      <c r="Z10" s="3">
        <v>2572.7080000000001</v>
      </c>
      <c r="AA10" s="3">
        <v>2733.5480000000002</v>
      </c>
      <c r="AB10" s="3">
        <v>3017.7969999999996</v>
      </c>
      <c r="AC10" s="3">
        <v>3270.2740000000003</v>
      </c>
      <c r="AD10" s="3">
        <v>3206.3260000000005</v>
      </c>
      <c r="AE10" s="3">
        <v>3298.808</v>
      </c>
      <c r="AF10" s="3">
        <v>3425.7290000000003</v>
      </c>
      <c r="AG10" s="3">
        <v>3690.2799999999997</v>
      </c>
      <c r="AH10" s="3">
        <v>3923.3670000000002</v>
      </c>
      <c r="AI10" s="3">
        <v>4453.8050000000003</v>
      </c>
      <c r="AJ10" s="3">
        <v>4774.0600000000004</v>
      </c>
      <c r="AK10" s="3">
        <v>5369.34</v>
      </c>
      <c r="AL10" s="3">
        <v>5652.01</v>
      </c>
      <c r="AM10" s="3">
        <v>5480.77</v>
      </c>
      <c r="AN10" s="3">
        <v>5645.79</v>
      </c>
      <c r="AO10" s="3">
        <v>5884.3600000000006</v>
      </c>
      <c r="AP10" s="3">
        <v>6084.04</v>
      </c>
      <c r="AQ10" s="3">
        <v>6468.77</v>
      </c>
      <c r="AR10" s="3">
        <v>6972.1999999999989</v>
      </c>
      <c r="AS10" s="3">
        <v>6912.4739999999993</v>
      </c>
      <c r="AT10" s="3">
        <v>7105.4099999999989</v>
      </c>
      <c r="AU10" s="3">
        <v>6900.8</v>
      </c>
      <c r="AV10" s="3">
        <v>6931.38</v>
      </c>
      <c r="AW10" s="3">
        <v>7253.2199999999993</v>
      </c>
      <c r="AX10" s="3">
        <v>7493.8499999999995</v>
      </c>
      <c r="AY10" s="3">
        <v>7504.29</v>
      </c>
      <c r="AZ10" s="3">
        <v>7818.76</v>
      </c>
      <c r="BA10" s="3">
        <v>8150.2300000000005</v>
      </c>
      <c r="BB10" s="3">
        <v>8210.0893289999985</v>
      </c>
      <c r="BC10" s="3">
        <v>8486.76</v>
      </c>
      <c r="BD10" s="130">
        <v>9019.3700000000008</v>
      </c>
      <c r="BE10" s="130">
        <v>9668.6919999999991</v>
      </c>
      <c r="BF10" s="130">
        <v>9491.7870000000003</v>
      </c>
      <c r="BG10" s="130">
        <v>9060</v>
      </c>
      <c r="BH10" s="130">
        <v>3903.15</v>
      </c>
    </row>
    <row r="11" spans="1:66" x14ac:dyDescent="0.25">
      <c r="A11" s="3" t="s">
        <v>0</v>
      </c>
      <c r="B11" s="3" t="s">
        <v>10</v>
      </c>
      <c r="C11" s="3" t="s">
        <v>1</v>
      </c>
      <c r="D11" s="3" t="s">
        <v>114</v>
      </c>
      <c r="E11" s="3" t="s">
        <v>88</v>
      </c>
      <c r="F11" s="3" t="s">
        <v>91</v>
      </c>
      <c r="H11" s="3" t="s">
        <v>338</v>
      </c>
      <c r="J11" s="3">
        <v>109.035</v>
      </c>
      <c r="K11" s="3">
        <v>126.607</v>
      </c>
      <c r="L11" s="3">
        <v>141.851</v>
      </c>
      <c r="M11" s="3">
        <v>154.982</v>
      </c>
      <c r="N11" s="3">
        <v>167.018</v>
      </c>
      <c r="O11" s="3">
        <v>185.58199999999999</v>
      </c>
      <c r="P11" s="3">
        <v>176.59700000000001</v>
      </c>
      <c r="Q11" s="3">
        <v>191.23400000000001</v>
      </c>
      <c r="R11" s="3">
        <v>222.59200000000001</v>
      </c>
      <c r="S11" s="3">
        <v>253.51</v>
      </c>
      <c r="T11" s="3">
        <v>239.292</v>
      </c>
      <c r="U11" s="3">
        <v>259.3</v>
      </c>
      <c r="V11" s="3">
        <v>265.08</v>
      </c>
      <c r="W11" s="3">
        <v>281.47000000000003</v>
      </c>
      <c r="X11" s="3">
        <v>293.68</v>
      </c>
      <c r="Y11" s="3">
        <v>255.15</v>
      </c>
      <c r="Z11" s="3">
        <v>274.35000000000002</v>
      </c>
      <c r="AA11" s="3">
        <v>271.32</v>
      </c>
      <c r="AB11" s="3">
        <v>287.88</v>
      </c>
      <c r="AC11" s="3">
        <v>300.84300000000002</v>
      </c>
      <c r="AD11" s="3">
        <v>304.43299999999999</v>
      </c>
      <c r="AE11" s="3">
        <v>324.26600000000002</v>
      </c>
      <c r="AF11" s="3">
        <v>355.7</v>
      </c>
      <c r="AG11" s="3">
        <v>392.10199999999998</v>
      </c>
      <c r="AH11" s="3">
        <v>418.29500000000002</v>
      </c>
      <c r="AI11" s="3">
        <v>485.952</v>
      </c>
      <c r="AJ11" s="3">
        <v>509.64</v>
      </c>
      <c r="AK11" s="3">
        <v>570.49</v>
      </c>
      <c r="AL11" s="3">
        <v>587.04999999999995</v>
      </c>
      <c r="AM11" s="3">
        <v>576.78</v>
      </c>
      <c r="AN11" s="3">
        <v>580.9</v>
      </c>
      <c r="AO11" s="3">
        <v>608.54</v>
      </c>
      <c r="AP11" s="3">
        <v>615.62</v>
      </c>
      <c r="AQ11" s="3">
        <v>656.62</v>
      </c>
      <c r="AR11" s="3">
        <v>714.77</v>
      </c>
      <c r="AS11" s="3">
        <v>712.27</v>
      </c>
      <c r="AT11" s="3">
        <v>712.28</v>
      </c>
      <c r="AU11" s="3">
        <v>679.21999999999991</v>
      </c>
      <c r="AV11" s="3">
        <v>720.83</v>
      </c>
      <c r="AW11" s="3">
        <v>736.19</v>
      </c>
      <c r="AX11" s="3">
        <v>723.77</v>
      </c>
      <c r="AY11" s="3">
        <v>742.21999999999991</v>
      </c>
      <c r="AZ11" s="3">
        <v>756.58999999999992</v>
      </c>
      <c r="BA11" s="3">
        <v>783.7399999999999</v>
      </c>
      <c r="BB11" s="3">
        <v>809.30600000000004</v>
      </c>
      <c r="BC11" s="3">
        <v>818.14</v>
      </c>
      <c r="BD11" s="130">
        <v>832</v>
      </c>
      <c r="BE11" s="130">
        <v>844.91</v>
      </c>
      <c r="BF11" s="130">
        <v>789.59</v>
      </c>
      <c r="BG11" s="130">
        <v>792</v>
      </c>
      <c r="BH11" s="130">
        <v>224.89</v>
      </c>
    </row>
    <row r="12" spans="1:66" x14ac:dyDescent="0.25">
      <c r="A12" s="3" t="s">
        <v>0</v>
      </c>
      <c r="B12" s="3" t="s">
        <v>10</v>
      </c>
      <c r="C12" s="3" t="s">
        <v>2</v>
      </c>
      <c r="D12" s="3" t="s">
        <v>114</v>
      </c>
      <c r="E12" s="3" t="s">
        <v>88</v>
      </c>
      <c r="F12" s="3" t="s">
        <v>91</v>
      </c>
      <c r="H12" s="3" t="s">
        <v>339</v>
      </c>
      <c r="R12" s="3">
        <v>6.0090000000000003</v>
      </c>
      <c r="S12" s="3">
        <v>41.396000000000001</v>
      </c>
      <c r="T12" s="3">
        <v>100.879</v>
      </c>
      <c r="U12" s="3">
        <v>116.86</v>
      </c>
      <c r="V12" s="3">
        <v>123.91</v>
      </c>
      <c r="W12" s="3">
        <v>151.84</v>
      </c>
      <c r="X12" s="3">
        <v>169.84</v>
      </c>
      <c r="Y12" s="3">
        <v>189.51</v>
      </c>
      <c r="Z12" s="3">
        <v>210.37</v>
      </c>
      <c r="AA12" s="3">
        <v>215.6</v>
      </c>
      <c r="AB12" s="3">
        <v>239.53</v>
      </c>
      <c r="AC12" s="3">
        <v>257.82799999999997</v>
      </c>
      <c r="AD12" s="3">
        <v>262.43299999999999</v>
      </c>
      <c r="AE12" s="3">
        <v>272.95699999999999</v>
      </c>
      <c r="AF12" s="3">
        <v>269.09100000000001</v>
      </c>
      <c r="AG12" s="3">
        <v>298.55200000000002</v>
      </c>
      <c r="AH12" s="3">
        <v>388.56700000000001</v>
      </c>
      <c r="AI12" s="3">
        <v>478.15199999999999</v>
      </c>
      <c r="AJ12" s="3">
        <v>515.01</v>
      </c>
      <c r="AK12" s="3">
        <v>589.29</v>
      </c>
      <c r="AL12" s="3">
        <v>605.35</v>
      </c>
      <c r="AM12" s="3">
        <v>490.2</v>
      </c>
      <c r="AN12" s="3">
        <v>496.35</v>
      </c>
      <c r="AO12" s="3">
        <v>526.67999999999995</v>
      </c>
      <c r="AP12" s="3">
        <v>535.26</v>
      </c>
      <c r="AQ12" s="3">
        <v>574.5</v>
      </c>
      <c r="AR12" s="3">
        <v>618.71</v>
      </c>
      <c r="AS12" s="3">
        <v>636.05999999999995</v>
      </c>
      <c r="AT12" s="3">
        <v>937.16</v>
      </c>
      <c r="AU12" s="3">
        <v>858.12</v>
      </c>
      <c r="AV12" s="3">
        <v>892.61</v>
      </c>
      <c r="AW12" s="3">
        <v>932.98</v>
      </c>
      <c r="AX12" s="3">
        <v>935.2</v>
      </c>
      <c r="AY12" s="3">
        <v>935.93000000000006</v>
      </c>
      <c r="AZ12" s="3">
        <v>960.8</v>
      </c>
      <c r="BA12" s="3">
        <v>985.1099999999999</v>
      </c>
      <c r="BB12" s="3">
        <v>996.39599999999996</v>
      </c>
      <c r="BC12" s="3">
        <v>1005.49</v>
      </c>
      <c r="BD12" s="130">
        <v>1015</v>
      </c>
      <c r="BE12" s="130">
        <v>1035</v>
      </c>
      <c r="BF12" s="130">
        <v>989.35</v>
      </c>
      <c r="BG12" s="130">
        <v>910</v>
      </c>
      <c r="BH12" s="130">
        <v>346.27</v>
      </c>
    </row>
    <row r="13" spans="1:66" x14ac:dyDescent="0.25">
      <c r="A13" s="3" t="s">
        <v>0</v>
      </c>
      <c r="B13" s="3" t="s">
        <v>10</v>
      </c>
      <c r="C13" s="3" t="s">
        <v>3</v>
      </c>
      <c r="D13" s="3" t="s">
        <v>114</v>
      </c>
      <c r="E13" s="3" t="s">
        <v>88</v>
      </c>
      <c r="F13" s="3" t="s">
        <v>91</v>
      </c>
      <c r="H13" s="3" t="s">
        <v>340</v>
      </c>
      <c r="M13" s="3">
        <v>114.589</v>
      </c>
      <c r="N13" s="3">
        <v>102.937</v>
      </c>
      <c r="O13" s="3">
        <v>86.346999999999994</v>
      </c>
      <c r="P13" s="3">
        <v>93.286000000000001</v>
      </c>
      <c r="Q13" s="3">
        <v>102.011</v>
      </c>
      <c r="R13" s="3">
        <v>118.357</v>
      </c>
      <c r="S13" s="3">
        <v>150.62799999999999</v>
      </c>
      <c r="T13" s="3">
        <v>144.90700000000001</v>
      </c>
      <c r="U13" s="3">
        <v>163.08000000000001</v>
      </c>
      <c r="V13" s="3">
        <v>172.07</v>
      </c>
      <c r="W13" s="3">
        <v>187.06</v>
      </c>
      <c r="X13" s="3">
        <v>200.05</v>
      </c>
      <c r="Y13" s="3">
        <v>237.66</v>
      </c>
      <c r="Z13" s="3">
        <v>258.10000000000002</v>
      </c>
      <c r="AA13" s="3">
        <v>256.05</v>
      </c>
      <c r="AB13" s="3">
        <v>296.73</v>
      </c>
      <c r="AC13" s="3">
        <v>322.92099999999999</v>
      </c>
      <c r="AD13" s="3">
        <v>322.70299999999997</v>
      </c>
      <c r="AE13" s="3">
        <v>349.411</v>
      </c>
      <c r="AF13" s="3">
        <v>343.137</v>
      </c>
      <c r="AG13" s="3">
        <v>370.12700000000001</v>
      </c>
      <c r="AH13" s="3">
        <v>379.81900000000002</v>
      </c>
      <c r="AI13" s="3">
        <v>433.36700000000002</v>
      </c>
      <c r="AJ13" s="3">
        <v>470.83000000000004</v>
      </c>
      <c r="AK13" s="3">
        <v>541.69999999999993</v>
      </c>
      <c r="AL13" s="3">
        <v>565.57000000000005</v>
      </c>
      <c r="AM13" s="3">
        <v>557.08999999999992</v>
      </c>
      <c r="AN13" s="3">
        <v>585.46</v>
      </c>
      <c r="AO13" s="3">
        <v>630</v>
      </c>
      <c r="AP13" s="3">
        <v>649.49</v>
      </c>
      <c r="AQ13" s="3">
        <v>664.99</v>
      </c>
      <c r="AR13" s="3">
        <v>775.92</v>
      </c>
      <c r="AS13" s="3">
        <v>763.33</v>
      </c>
      <c r="AT13" s="3">
        <v>824.55</v>
      </c>
      <c r="AU13" s="3">
        <v>820.18</v>
      </c>
      <c r="AV13" s="3">
        <v>833.12</v>
      </c>
      <c r="AW13" s="3">
        <v>923.54000000000008</v>
      </c>
      <c r="AX13" s="3">
        <v>915.67</v>
      </c>
      <c r="AY13" s="3">
        <v>930.91</v>
      </c>
      <c r="AZ13" s="3">
        <v>977.88999999999987</v>
      </c>
      <c r="BA13" s="3">
        <v>991.14999999999986</v>
      </c>
      <c r="BB13" s="3">
        <v>754.30799999999999</v>
      </c>
      <c r="BC13" s="3">
        <v>761.85000000000014</v>
      </c>
      <c r="BD13" s="130">
        <v>775</v>
      </c>
      <c r="BE13" s="130">
        <v>797.57</v>
      </c>
      <c r="BF13" s="130">
        <v>740.8</v>
      </c>
      <c r="BG13" s="130">
        <v>720</v>
      </c>
      <c r="BH13" s="130">
        <v>185.2</v>
      </c>
    </row>
    <row r="14" spans="1:66" x14ac:dyDescent="0.25">
      <c r="A14" s="3" t="s">
        <v>0</v>
      </c>
      <c r="B14" s="3" t="s">
        <v>10</v>
      </c>
      <c r="C14" s="3" t="s">
        <v>280</v>
      </c>
      <c r="D14" s="3" t="s">
        <v>114</v>
      </c>
      <c r="E14" s="3" t="s">
        <v>88</v>
      </c>
      <c r="F14" s="3" t="s">
        <v>91</v>
      </c>
      <c r="H14" s="3" t="s">
        <v>346</v>
      </c>
      <c r="J14" s="3">
        <v>219.571</v>
      </c>
      <c r="K14" s="3">
        <v>188.23</v>
      </c>
      <c r="L14" s="3">
        <v>211.58099999999999</v>
      </c>
      <c r="M14" s="3">
        <v>223.31299999999999</v>
      </c>
      <c r="N14" s="3">
        <v>217.548</v>
      </c>
      <c r="O14" s="3">
        <v>236.291</v>
      </c>
      <c r="P14" s="3">
        <v>239.85300000000001</v>
      </c>
      <c r="Q14" s="3">
        <v>281.82900000000001</v>
      </c>
      <c r="R14" s="3">
        <v>328.04899999999998</v>
      </c>
      <c r="S14" s="3">
        <v>253.51</v>
      </c>
      <c r="BD14" s="130"/>
      <c r="BE14" s="130"/>
      <c r="BF14" s="130"/>
      <c r="BG14" s="130"/>
      <c r="BH14" s="130"/>
    </row>
    <row r="15" spans="1:66" x14ac:dyDescent="0.25">
      <c r="A15" s="3" t="s">
        <v>0</v>
      </c>
      <c r="B15" s="3" t="s">
        <v>10</v>
      </c>
      <c r="C15" s="3" t="s">
        <v>4</v>
      </c>
      <c r="D15" s="3" t="s">
        <v>114</v>
      </c>
      <c r="E15" s="3" t="s">
        <v>88</v>
      </c>
      <c r="F15" s="3" t="s">
        <v>91</v>
      </c>
      <c r="H15" s="3" t="s">
        <v>341</v>
      </c>
      <c r="T15" s="3">
        <v>266.86599999999999</v>
      </c>
      <c r="U15" s="3">
        <v>285.20999999999998</v>
      </c>
      <c r="V15" s="3">
        <v>290.64999999999998</v>
      </c>
      <c r="W15" s="3">
        <v>309.91000000000003</v>
      </c>
      <c r="X15" s="3">
        <v>325</v>
      </c>
      <c r="Y15" s="3">
        <v>367.71</v>
      </c>
      <c r="Z15" s="3">
        <v>380.83</v>
      </c>
      <c r="AA15" s="3">
        <v>381.6</v>
      </c>
      <c r="AB15" s="3">
        <v>404.16</v>
      </c>
      <c r="AC15" s="3">
        <v>419.61599999999999</v>
      </c>
      <c r="AD15" s="3">
        <v>424.49400000000003</v>
      </c>
      <c r="AE15" s="3">
        <v>444.32499999999999</v>
      </c>
      <c r="AF15" s="3">
        <v>438.02300000000002</v>
      </c>
      <c r="AG15" s="3">
        <v>478.01799999999997</v>
      </c>
      <c r="AH15" s="3">
        <v>487.64100000000002</v>
      </c>
      <c r="AI15" s="3">
        <v>563.60299999999995</v>
      </c>
      <c r="AJ15" s="3">
        <v>609.54999999999995</v>
      </c>
      <c r="AK15" s="3">
        <v>691.84</v>
      </c>
      <c r="AL15" s="3">
        <v>713.41</v>
      </c>
      <c r="AM15" s="3">
        <v>697.17</v>
      </c>
      <c r="AN15" s="3">
        <v>703.95</v>
      </c>
      <c r="AO15" s="3">
        <v>745.85</v>
      </c>
      <c r="AP15" s="3">
        <v>757.87</v>
      </c>
      <c r="AQ15" s="3">
        <v>808.53</v>
      </c>
      <c r="AR15" s="3">
        <v>891.87</v>
      </c>
      <c r="AS15" s="3">
        <v>885.32</v>
      </c>
      <c r="AT15" s="3">
        <v>1321.37</v>
      </c>
      <c r="AU15" s="3">
        <v>1273.77</v>
      </c>
      <c r="AV15" s="3">
        <v>1321.33</v>
      </c>
      <c r="AW15" s="3">
        <v>1319.04</v>
      </c>
      <c r="AX15" s="3">
        <v>1325.38</v>
      </c>
      <c r="AY15" s="3">
        <v>825.62</v>
      </c>
      <c r="AZ15" s="3">
        <v>907.8</v>
      </c>
      <c r="BA15" s="3">
        <v>969.89</v>
      </c>
      <c r="BB15" s="3">
        <v>993.72</v>
      </c>
      <c r="BC15" s="3">
        <v>1004.26</v>
      </c>
      <c r="BD15" s="130">
        <v>1036</v>
      </c>
      <c r="BE15" s="130">
        <v>1053.17</v>
      </c>
      <c r="BF15" s="130">
        <v>1577.08</v>
      </c>
      <c r="BG15" s="130">
        <v>946</v>
      </c>
      <c r="BH15" s="130">
        <v>873.57</v>
      </c>
    </row>
    <row r="16" spans="1:66" x14ac:dyDescent="0.25">
      <c r="A16" s="3" t="s">
        <v>0</v>
      </c>
      <c r="B16" s="3" t="s">
        <v>10</v>
      </c>
      <c r="C16" s="3" t="s">
        <v>5</v>
      </c>
      <c r="D16" s="3" t="s">
        <v>114</v>
      </c>
      <c r="E16" s="3" t="s">
        <v>88</v>
      </c>
      <c r="F16" s="3" t="s">
        <v>91</v>
      </c>
      <c r="H16" s="3" t="s">
        <v>342</v>
      </c>
      <c r="J16" s="3">
        <v>192.26499999999999</v>
      </c>
      <c r="K16" s="3">
        <v>224.41900000000001</v>
      </c>
      <c r="L16" s="3">
        <v>248.48699999999999</v>
      </c>
      <c r="M16" s="3">
        <v>218.83</v>
      </c>
      <c r="N16" s="3">
        <v>226.33500000000001</v>
      </c>
      <c r="O16" s="3">
        <v>256.48399999999998</v>
      </c>
      <c r="P16" s="3">
        <v>272.84300000000002</v>
      </c>
      <c r="Q16" s="3">
        <v>300.43599999999998</v>
      </c>
      <c r="R16" s="3">
        <v>354.14600000000002</v>
      </c>
      <c r="S16" s="3">
        <v>397.18799999999999</v>
      </c>
      <c r="T16" s="3">
        <v>435.31</v>
      </c>
      <c r="U16" s="3">
        <v>464.66</v>
      </c>
      <c r="V16" s="3">
        <v>472.03</v>
      </c>
      <c r="W16" s="3">
        <v>503.8</v>
      </c>
      <c r="X16" s="3">
        <v>518.5</v>
      </c>
      <c r="Y16" s="3">
        <v>633.73</v>
      </c>
      <c r="Z16" s="3">
        <v>622.33000000000004</v>
      </c>
      <c r="AA16" s="3">
        <v>585.86</v>
      </c>
      <c r="AB16" s="3">
        <v>617.88</v>
      </c>
      <c r="AC16" s="3">
        <v>645.24199999999996</v>
      </c>
      <c r="AD16" s="3">
        <v>660.51</v>
      </c>
      <c r="AE16" s="3">
        <v>693.45299999999997</v>
      </c>
      <c r="AF16" s="3">
        <v>687.24199999999996</v>
      </c>
      <c r="AG16" s="3">
        <v>733.65200000000004</v>
      </c>
      <c r="AH16" s="3">
        <v>755.88099999999997</v>
      </c>
      <c r="AI16" s="3">
        <v>854.077</v>
      </c>
      <c r="AJ16" s="3">
        <v>920.42</v>
      </c>
      <c r="AK16" s="3">
        <v>1040.7</v>
      </c>
      <c r="AL16" s="3">
        <v>1091.5899999999999</v>
      </c>
      <c r="AM16" s="3">
        <v>1069.3599999999999</v>
      </c>
      <c r="AN16" s="3">
        <v>1086.6099999999999</v>
      </c>
      <c r="AO16" s="3">
        <v>1150.73</v>
      </c>
      <c r="AP16" s="3">
        <v>1171.1300000000001</v>
      </c>
      <c r="AQ16" s="3">
        <v>1243.8800000000001</v>
      </c>
      <c r="AR16" s="3">
        <v>1367.95</v>
      </c>
      <c r="AS16" s="3">
        <v>1312.42</v>
      </c>
      <c r="AT16" s="3">
        <v>1308.7</v>
      </c>
      <c r="AU16" s="3">
        <v>1249.3399999999999</v>
      </c>
      <c r="AV16" s="3">
        <v>1267.8600000000001</v>
      </c>
      <c r="AW16" s="3">
        <v>1376.3200000000002</v>
      </c>
      <c r="AX16" s="3">
        <v>1348.7800000000002</v>
      </c>
      <c r="AY16" s="3">
        <v>1362.43</v>
      </c>
      <c r="AZ16" s="3">
        <v>1503.42</v>
      </c>
      <c r="BA16" s="3">
        <v>1490.61</v>
      </c>
      <c r="BB16" s="3">
        <v>1530.1179999999999</v>
      </c>
      <c r="BC16" s="3">
        <v>1580.48</v>
      </c>
      <c r="BD16" s="130">
        <v>1615</v>
      </c>
      <c r="BE16" s="130">
        <v>1659.95</v>
      </c>
      <c r="BF16" s="130">
        <v>1554.21</v>
      </c>
      <c r="BG16" s="130">
        <v>1507</v>
      </c>
      <c r="BH16" s="130">
        <v>515.28</v>
      </c>
    </row>
    <row r="17" spans="1:60" x14ac:dyDescent="0.25">
      <c r="A17" s="3" t="s">
        <v>0</v>
      </c>
      <c r="B17" s="3" t="s">
        <v>10</v>
      </c>
      <c r="C17" s="3" t="s">
        <v>6</v>
      </c>
      <c r="D17" s="3" t="s">
        <v>114</v>
      </c>
      <c r="E17" s="3" t="s">
        <v>88</v>
      </c>
      <c r="F17" s="3" t="s">
        <v>91</v>
      </c>
      <c r="H17" s="3" t="s">
        <v>343</v>
      </c>
      <c r="Y17" s="3">
        <v>79.22</v>
      </c>
      <c r="Z17" s="3">
        <v>85.99</v>
      </c>
      <c r="AA17" s="3">
        <v>90.67</v>
      </c>
      <c r="AB17" s="3">
        <v>98.21</v>
      </c>
      <c r="AC17" s="3">
        <v>110.363</v>
      </c>
      <c r="AD17" s="3">
        <v>119.313</v>
      </c>
      <c r="AE17" s="3">
        <v>122.614</v>
      </c>
      <c r="AF17" s="3">
        <v>126.57899999999999</v>
      </c>
      <c r="AG17" s="3">
        <v>142.035</v>
      </c>
      <c r="AH17" s="3">
        <v>162.114</v>
      </c>
      <c r="AI17" s="3">
        <v>177.22399999999999</v>
      </c>
      <c r="AJ17" s="3">
        <v>183.97</v>
      </c>
      <c r="AK17" s="3">
        <v>198.6</v>
      </c>
      <c r="AL17" s="3">
        <v>184.3</v>
      </c>
      <c r="AM17" s="3">
        <v>196.8</v>
      </c>
      <c r="AN17" s="3">
        <v>201.23</v>
      </c>
      <c r="AO17" s="3">
        <v>214.54</v>
      </c>
      <c r="AP17" s="3">
        <v>227.87</v>
      </c>
      <c r="AQ17" s="3">
        <v>240.56</v>
      </c>
      <c r="AR17" s="3">
        <v>255.31</v>
      </c>
      <c r="AS17" s="3">
        <v>247.33</v>
      </c>
      <c r="AT17" s="3">
        <v>254.19</v>
      </c>
      <c r="AU17" s="3">
        <v>242.62000000000003</v>
      </c>
      <c r="AV17" s="3">
        <v>256.83999999999997</v>
      </c>
      <c r="AW17" s="3">
        <v>276.19</v>
      </c>
      <c r="AX17" s="3">
        <v>272.19</v>
      </c>
      <c r="AY17" s="3">
        <v>270.89</v>
      </c>
      <c r="AZ17" s="3">
        <v>250.67999999999998</v>
      </c>
      <c r="BA17" s="3">
        <v>271.17</v>
      </c>
      <c r="BB17" s="3">
        <v>280.346</v>
      </c>
      <c r="BC17" s="3">
        <v>282.06</v>
      </c>
      <c r="BD17" s="130">
        <v>286</v>
      </c>
      <c r="BE17" s="130">
        <v>309.06</v>
      </c>
      <c r="BF17" s="130">
        <v>290.29000000000002</v>
      </c>
      <c r="BG17" s="130">
        <v>205</v>
      </c>
      <c r="BH17" s="130">
        <v>94</v>
      </c>
    </row>
    <row r="18" spans="1:60" x14ac:dyDescent="0.25">
      <c r="A18" s="3" t="s">
        <v>0</v>
      </c>
      <c r="B18" s="3" t="s">
        <v>10</v>
      </c>
      <c r="C18" s="3" t="s">
        <v>7</v>
      </c>
      <c r="D18" s="3" t="s">
        <v>114</v>
      </c>
      <c r="E18" s="3" t="s">
        <v>88</v>
      </c>
      <c r="F18" s="3" t="s">
        <v>91</v>
      </c>
      <c r="H18" s="3" t="s">
        <v>345</v>
      </c>
      <c r="AK18" s="3">
        <v>39.97</v>
      </c>
      <c r="AL18" s="3">
        <v>40.83</v>
      </c>
      <c r="AM18" s="3">
        <v>43.38</v>
      </c>
      <c r="AN18" s="3">
        <v>42.61</v>
      </c>
      <c r="AO18" s="3">
        <v>40.36</v>
      </c>
      <c r="AP18" s="3">
        <v>47.77</v>
      </c>
      <c r="AQ18" s="3">
        <v>47.45</v>
      </c>
      <c r="AR18" s="3">
        <v>47.84</v>
      </c>
      <c r="AS18" s="3">
        <v>49.03</v>
      </c>
      <c r="BA18" s="3">
        <v>49</v>
      </c>
      <c r="BB18" s="3">
        <v>51.039000000000001</v>
      </c>
      <c r="BC18" s="3">
        <v>51.32</v>
      </c>
      <c r="BD18" s="130">
        <v>54</v>
      </c>
      <c r="BE18" s="130">
        <v>68</v>
      </c>
      <c r="BF18" s="130">
        <v>63.7</v>
      </c>
      <c r="BG18" s="130">
        <v>53</v>
      </c>
      <c r="BH18" s="130">
        <v>13</v>
      </c>
    </row>
    <row r="19" spans="1:60" x14ac:dyDescent="0.25">
      <c r="A19" s="3" t="s">
        <v>0</v>
      </c>
      <c r="B19" s="3" t="s">
        <v>10</v>
      </c>
      <c r="C19" s="3" t="s">
        <v>8</v>
      </c>
      <c r="D19" s="3" t="s">
        <v>114</v>
      </c>
      <c r="E19" s="3" t="s">
        <v>88</v>
      </c>
      <c r="F19" s="3" t="s">
        <v>91</v>
      </c>
      <c r="H19" s="3" t="s">
        <v>344</v>
      </c>
      <c r="AZ19" s="3">
        <v>250.67999999999998</v>
      </c>
      <c r="BA19" s="3">
        <v>271.17</v>
      </c>
      <c r="BB19" s="3">
        <v>352.31336899999997</v>
      </c>
      <c r="BC19" s="3">
        <v>369</v>
      </c>
      <c r="BD19" s="130">
        <v>413</v>
      </c>
      <c r="BE19" s="130">
        <v>664.15</v>
      </c>
      <c r="BF19" s="130">
        <v>617.9</v>
      </c>
      <c r="BG19" s="130">
        <v>564</v>
      </c>
      <c r="BH19" s="130">
        <v>350</v>
      </c>
    </row>
    <row r="20" spans="1:60" x14ac:dyDescent="0.25">
      <c r="A20" s="3" t="s">
        <v>0</v>
      </c>
      <c r="B20" s="3" t="s">
        <v>10</v>
      </c>
      <c r="C20" s="3" t="s">
        <v>9</v>
      </c>
      <c r="D20" s="3" t="s">
        <v>114</v>
      </c>
      <c r="E20" s="3" t="s">
        <v>88</v>
      </c>
      <c r="F20" s="3" t="s">
        <v>91</v>
      </c>
      <c r="AF20" s="3">
        <v>129.84</v>
      </c>
      <c r="AG20" s="3">
        <v>161.55099999999999</v>
      </c>
      <c r="AH20" s="3">
        <v>129.25200000000001</v>
      </c>
      <c r="AI20" s="3">
        <v>97.644000000000005</v>
      </c>
      <c r="AJ20" s="3">
        <v>105.76</v>
      </c>
      <c r="AK20" s="3">
        <v>97.86</v>
      </c>
      <c r="AL20" s="3">
        <v>163.52000000000001</v>
      </c>
      <c r="AM20" s="3">
        <v>130.91999999999999</v>
      </c>
      <c r="AN20" s="3">
        <v>135.08000000000001</v>
      </c>
      <c r="AO20" s="3">
        <v>117.33999999999999</v>
      </c>
      <c r="AP20" s="3">
        <v>214.48</v>
      </c>
      <c r="AQ20" s="3">
        <v>241.58</v>
      </c>
      <c r="AR20" s="3">
        <v>274.89</v>
      </c>
      <c r="AS20" s="3">
        <v>259.60000000000002</v>
      </c>
      <c r="AT20" s="3">
        <v>398.6</v>
      </c>
      <c r="AU20" s="3">
        <v>434.28</v>
      </c>
      <c r="AV20" s="3">
        <v>433.12</v>
      </c>
      <c r="AW20" s="3">
        <v>427.46</v>
      </c>
      <c r="AX20" s="3">
        <v>426.57</v>
      </c>
      <c r="AY20" s="3">
        <v>420.27</v>
      </c>
      <c r="AZ20" s="3">
        <v>471.05</v>
      </c>
      <c r="BA20" s="3">
        <v>547.32000000000005</v>
      </c>
      <c r="BB20" s="3">
        <v>352.96699999999998</v>
      </c>
      <c r="BC20" s="3">
        <v>527.14</v>
      </c>
      <c r="BD20" s="130">
        <v>393</v>
      </c>
      <c r="BE20" s="130">
        <v>487</v>
      </c>
      <c r="BF20" s="130">
        <v>430</v>
      </c>
      <c r="BG20" s="130">
        <v>453</v>
      </c>
      <c r="BH20" s="130">
        <v>177</v>
      </c>
    </row>
    <row r="21" spans="1:60" x14ac:dyDescent="0.25">
      <c r="A21" s="3" t="s">
        <v>0</v>
      </c>
      <c r="B21" s="3" t="s">
        <v>10</v>
      </c>
      <c r="C21" s="3" t="s">
        <v>522</v>
      </c>
      <c r="D21" s="3" t="s">
        <v>114</v>
      </c>
      <c r="E21" s="3" t="s">
        <v>88</v>
      </c>
      <c r="F21" s="3" t="s">
        <v>91</v>
      </c>
      <c r="AM21" s="3">
        <v>1.19</v>
      </c>
      <c r="AN21" s="3">
        <v>1.17</v>
      </c>
      <c r="AO21" s="3">
        <v>1.45</v>
      </c>
      <c r="AP21" s="3">
        <v>1.47</v>
      </c>
      <c r="AQ21" s="3">
        <v>1.5</v>
      </c>
      <c r="AR21" s="3">
        <v>1.58</v>
      </c>
      <c r="AS21" s="3">
        <v>1.58</v>
      </c>
      <c r="AT21" s="3">
        <v>1.45</v>
      </c>
      <c r="AU21" s="3">
        <v>1.39</v>
      </c>
      <c r="AV21" s="3">
        <v>1.3</v>
      </c>
      <c r="AW21" s="3">
        <v>1.41</v>
      </c>
      <c r="AX21" s="3">
        <v>1.43</v>
      </c>
      <c r="AY21" s="3">
        <v>1.43</v>
      </c>
      <c r="AZ21" s="3">
        <v>1.43</v>
      </c>
      <c r="BA21" s="3">
        <v>1.48</v>
      </c>
      <c r="BB21" s="3">
        <v>1.6</v>
      </c>
      <c r="BC21" s="3">
        <v>1.6</v>
      </c>
      <c r="BD21" s="130">
        <v>2</v>
      </c>
      <c r="BE21" s="130">
        <v>452</v>
      </c>
      <c r="BF21" s="130">
        <v>448</v>
      </c>
      <c r="BG21" s="130">
        <v>448</v>
      </c>
      <c r="BH21" s="130">
        <v>355</v>
      </c>
    </row>
    <row r="22" spans="1:60" x14ac:dyDescent="0.25">
      <c r="A22" s="3" t="s">
        <v>0</v>
      </c>
      <c r="B22" s="3" t="s">
        <v>10</v>
      </c>
      <c r="C22" s="3" t="s">
        <v>281</v>
      </c>
      <c r="D22" s="3" t="s">
        <v>114</v>
      </c>
      <c r="E22" s="3" t="s">
        <v>88</v>
      </c>
      <c r="F22" s="3" t="s">
        <v>91</v>
      </c>
      <c r="K22" s="3">
        <v>45.295000000000002</v>
      </c>
      <c r="L22" s="3">
        <v>48.447000000000003</v>
      </c>
      <c r="M22" s="3">
        <v>51.091000000000001</v>
      </c>
      <c r="N22" s="3">
        <v>55.835999999999999</v>
      </c>
      <c r="O22" s="3">
        <v>67.454999999999998</v>
      </c>
      <c r="P22" s="3">
        <v>68.504999999999995</v>
      </c>
      <c r="Q22" s="3">
        <v>83.195999999999998</v>
      </c>
      <c r="R22" s="3">
        <v>102.456</v>
      </c>
      <c r="S22" s="3">
        <v>110.9</v>
      </c>
      <c r="T22" s="3">
        <v>110.241</v>
      </c>
      <c r="U22" s="3">
        <v>117.28</v>
      </c>
      <c r="V22" s="3">
        <v>124.82</v>
      </c>
      <c r="W22" s="3">
        <v>131.24</v>
      </c>
      <c r="X22" s="3">
        <v>151.47</v>
      </c>
      <c r="Y22" s="3">
        <v>175</v>
      </c>
      <c r="Z22" s="3">
        <v>108</v>
      </c>
      <c r="AA22" s="3">
        <v>244.21</v>
      </c>
      <c r="AB22" s="3">
        <v>222.48</v>
      </c>
      <c r="AC22" s="3">
        <v>222.649</v>
      </c>
      <c r="AD22" s="3">
        <v>231.28300000000002</v>
      </c>
      <c r="AE22" s="3">
        <v>224.23</v>
      </c>
      <c r="AF22" s="3">
        <v>223.00899999999999</v>
      </c>
      <c r="AG22" s="3">
        <v>245.571</v>
      </c>
      <c r="AH22" s="3">
        <v>258.33500000000004</v>
      </c>
      <c r="AI22" s="3">
        <v>282.28200000000004</v>
      </c>
      <c r="AJ22" s="3">
        <v>300.79000000000002</v>
      </c>
      <c r="AK22" s="3">
        <v>323.95999999999998</v>
      </c>
      <c r="AL22" s="3">
        <v>341.72</v>
      </c>
      <c r="AM22" s="3">
        <v>348.53</v>
      </c>
      <c r="AN22" s="3">
        <v>390.54</v>
      </c>
      <c r="AO22" s="3">
        <v>438.43</v>
      </c>
      <c r="AP22" s="3">
        <v>447.13</v>
      </c>
      <c r="AQ22" s="3">
        <v>473.55</v>
      </c>
      <c r="AR22" s="3">
        <v>451.77</v>
      </c>
      <c r="AS22" s="3">
        <v>440.7</v>
      </c>
      <c r="AT22" s="3">
        <v>436.2</v>
      </c>
      <c r="AU22" s="3">
        <v>426.45</v>
      </c>
      <c r="AV22" s="3">
        <v>452.87</v>
      </c>
      <c r="AW22" s="3">
        <v>443.02</v>
      </c>
      <c r="AX22" s="3">
        <v>448.87</v>
      </c>
      <c r="AY22" s="3">
        <v>467.85</v>
      </c>
      <c r="AZ22" s="3">
        <v>501.72</v>
      </c>
      <c r="BA22" s="3">
        <v>488.68</v>
      </c>
      <c r="BB22" s="3">
        <v>0</v>
      </c>
      <c r="BC22" s="3">
        <v>0</v>
      </c>
      <c r="BD22" s="131">
        <v>0</v>
      </c>
      <c r="BE22" s="131">
        <v>0</v>
      </c>
      <c r="BF22" s="131">
        <v>0</v>
      </c>
      <c r="BG22" s="131">
        <v>0</v>
      </c>
      <c r="BH22" s="131">
        <v>0</v>
      </c>
    </row>
    <row r="23" spans="1:60" x14ac:dyDescent="0.25">
      <c r="A23" s="3" t="s">
        <v>62</v>
      </c>
      <c r="B23" s="3" t="s">
        <v>16</v>
      </c>
      <c r="C23" s="3" t="s">
        <v>17</v>
      </c>
      <c r="D23" s="3" t="s">
        <v>114</v>
      </c>
      <c r="E23" s="3" t="s">
        <v>60</v>
      </c>
      <c r="F23" s="3" t="s">
        <v>91</v>
      </c>
      <c r="H23" s="3" t="s">
        <v>347</v>
      </c>
      <c r="X23" s="3">
        <v>610.51800000000003</v>
      </c>
      <c r="Y23" s="3">
        <v>677.95899999999995</v>
      </c>
      <c r="Z23" s="3">
        <v>742.88800000000003</v>
      </c>
      <c r="AA23" s="3">
        <v>709.91200000000003</v>
      </c>
      <c r="AB23" s="3">
        <v>735.21699999999998</v>
      </c>
      <c r="AC23" s="3">
        <v>752</v>
      </c>
      <c r="AD23" s="3">
        <v>726</v>
      </c>
      <c r="AE23" s="3">
        <v>772</v>
      </c>
      <c r="AF23" s="3">
        <v>815</v>
      </c>
      <c r="AG23" s="3">
        <v>837</v>
      </c>
      <c r="AH23" s="3">
        <v>874</v>
      </c>
      <c r="AI23" s="3">
        <v>957</v>
      </c>
      <c r="AJ23" s="3">
        <v>1196</v>
      </c>
      <c r="AK23" s="3">
        <v>1271</v>
      </c>
      <c r="AL23" s="3">
        <v>1153</v>
      </c>
      <c r="AM23" s="3">
        <v>1294</v>
      </c>
      <c r="AN23" s="3">
        <v>1306</v>
      </c>
      <c r="AO23" s="3">
        <v>1132</v>
      </c>
      <c r="AP23" s="3">
        <v>1177</v>
      </c>
      <c r="AQ23" s="3">
        <v>1190</v>
      </c>
      <c r="AR23" s="3">
        <v>1251</v>
      </c>
      <c r="AS23" s="3">
        <v>1133</v>
      </c>
      <c r="AT23" s="3">
        <v>1095</v>
      </c>
      <c r="AU23" s="3">
        <v>1017</v>
      </c>
      <c r="AV23" s="3">
        <v>1122.482</v>
      </c>
      <c r="AW23" s="3">
        <v>1176.1970000000001</v>
      </c>
      <c r="AX23" s="3">
        <v>1355.9259999999999</v>
      </c>
      <c r="AY23" s="3">
        <v>1269.8349999999998</v>
      </c>
      <c r="AZ23" s="3">
        <v>1343.366</v>
      </c>
      <c r="BA23" s="3">
        <v>1684.4660000000001</v>
      </c>
      <c r="BB23" s="3">
        <v>1626.7</v>
      </c>
      <c r="BC23" s="3">
        <v>1631</v>
      </c>
      <c r="BD23" s="130">
        <v>1589</v>
      </c>
      <c r="BE23" s="130">
        <v>1708</v>
      </c>
      <c r="BF23" s="130">
        <v>1845.2270000000001</v>
      </c>
      <c r="BG23" s="130">
        <v>1831.0630000000001</v>
      </c>
      <c r="BH23" s="130">
        <v>1700</v>
      </c>
    </row>
    <row r="24" spans="1:60" x14ac:dyDescent="0.25">
      <c r="A24" s="3" t="s">
        <v>62</v>
      </c>
      <c r="B24" s="3" t="s">
        <v>16</v>
      </c>
      <c r="C24" s="3" t="s">
        <v>18</v>
      </c>
      <c r="D24" s="3" t="s">
        <v>114</v>
      </c>
      <c r="E24" s="3" t="s">
        <v>60</v>
      </c>
      <c r="F24" s="3" t="s">
        <v>91</v>
      </c>
      <c r="H24" s="3" t="s">
        <v>348</v>
      </c>
      <c r="X24" s="3">
        <v>752.07600000000002</v>
      </c>
      <c r="Y24" s="3">
        <v>849.82299999999998</v>
      </c>
      <c r="Z24" s="3">
        <v>923.95699999999999</v>
      </c>
      <c r="AA24" s="3">
        <v>910.67200000000003</v>
      </c>
      <c r="AB24" s="3">
        <v>935.80799999999999</v>
      </c>
      <c r="AC24" s="3">
        <v>935</v>
      </c>
      <c r="AD24" s="3">
        <v>914</v>
      </c>
      <c r="AE24" s="3">
        <v>915</v>
      </c>
      <c r="AF24" s="3">
        <v>862</v>
      </c>
      <c r="AG24" s="3">
        <v>926</v>
      </c>
      <c r="AH24" s="3">
        <v>954</v>
      </c>
      <c r="AI24" s="3">
        <v>990</v>
      </c>
      <c r="AJ24" s="3">
        <v>1036</v>
      </c>
      <c r="AK24" s="3">
        <v>1124</v>
      </c>
      <c r="AL24" s="3">
        <v>1123</v>
      </c>
      <c r="AM24" s="3">
        <v>1169</v>
      </c>
      <c r="AN24" s="3">
        <v>1187</v>
      </c>
      <c r="AO24" s="3">
        <v>1185</v>
      </c>
      <c r="AP24" s="3">
        <v>1187</v>
      </c>
      <c r="AQ24" s="3">
        <v>1226</v>
      </c>
      <c r="AR24" s="3">
        <v>1351</v>
      </c>
      <c r="AS24" s="3">
        <v>1219</v>
      </c>
      <c r="AT24" s="3">
        <v>1207</v>
      </c>
      <c r="AU24" s="3">
        <v>1147</v>
      </c>
      <c r="AV24" s="3">
        <v>1282.152</v>
      </c>
      <c r="AW24" s="3">
        <v>1294.5440000000001</v>
      </c>
      <c r="AX24" s="3">
        <v>1326.4760000000001</v>
      </c>
      <c r="AY24" s="3">
        <v>1362.9090000000001</v>
      </c>
      <c r="AZ24" s="3">
        <v>1407.797</v>
      </c>
      <c r="BA24" s="3">
        <v>1471.3409999999999</v>
      </c>
      <c r="BB24" s="3">
        <v>914</v>
      </c>
      <c r="BC24" s="3">
        <v>1019</v>
      </c>
      <c r="BD24" s="130">
        <v>1353</v>
      </c>
      <c r="BE24" s="130">
        <v>925</v>
      </c>
      <c r="BF24" s="130">
        <v>895</v>
      </c>
      <c r="BG24" s="130">
        <v>882</v>
      </c>
      <c r="BH24" s="130">
        <v>590</v>
      </c>
    </row>
    <row r="25" spans="1:60" x14ac:dyDescent="0.25">
      <c r="A25" s="3" t="s">
        <v>62</v>
      </c>
      <c r="B25" s="3" t="s">
        <v>16</v>
      </c>
      <c r="C25" s="3" t="s">
        <v>19</v>
      </c>
      <c r="D25" s="3" t="s">
        <v>114</v>
      </c>
      <c r="E25" s="3" t="s">
        <v>60</v>
      </c>
      <c r="F25" s="3" t="s">
        <v>91</v>
      </c>
      <c r="H25" s="3" t="s">
        <v>349</v>
      </c>
      <c r="X25" s="3">
        <v>50.689</v>
      </c>
      <c r="Y25" s="3">
        <v>54.399000000000001</v>
      </c>
      <c r="Z25" s="3">
        <v>58.93</v>
      </c>
      <c r="AA25" s="3">
        <v>58.924999999999997</v>
      </c>
      <c r="AB25" s="3">
        <v>55.219000000000001</v>
      </c>
      <c r="AC25" s="3">
        <v>54</v>
      </c>
      <c r="AD25" s="3">
        <v>53</v>
      </c>
      <c r="AE25" s="3">
        <v>53</v>
      </c>
      <c r="AF25" s="3">
        <v>72</v>
      </c>
      <c r="AG25" s="3">
        <v>63</v>
      </c>
      <c r="AH25" s="3">
        <v>64</v>
      </c>
      <c r="AI25" s="3">
        <v>66</v>
      </c>
      <c r="AJ25" s="3">
        <v>67</v>
      </c>
      <c r="AK25" s="3">
        <v>69</v>
      </c>
      <c r="AL25" s="3">
        <v>71</v>
      </c>
      <c r="AM25" s="3">
        <v>74</v>
      </c>
      <c r="AN25" s="3">
        <v>75</v>
      </c>
      <c r="AO25" s="3">
        <v>75</v>
      </c>
      <c r="AP25" s="3">
        <v>77</v>
      </c>
      <c r="AQ25" s="3">
        <v>80</v>
      </c>
      <c r="AR25" s="3">
        <v>82</v>
      </c>
      <c r="AS25" s="3">
        <v>82</v>
      </c>
      <c r="AT25" s="3">
        <v>78</v>
      </c>
      <c r="AU25" s="3">
        <v>71</v>
      </c>
      <c r="AV25" s="3">
        <v>78.058000000000007</v>
      </c>
      <c r="AW25" s="3">
        <v>85.373000000000005</v>
      </c>
      <c r="AX25" s="3">
        <v>85.373000000000005</v>
      </c>
      <c r="AY25" s="3">
        <v>86.757000000000005</v>
      </c>
      <c r="AZ25" s="3">
        <v>86.757000000000005</v>
      </c>
      <c r="BA25" s="3">
        <v>86.757000000000005</v>
      </c>
      <c r="BB25" s="3">
        <v>84.757000000000005</v>
      </c>
      <c r="BC25" s="3">
        <v>87</v>
      </c>
      <c r="BD25" s="130">
        <v>88</v>
      </c>
      <c r="BE25" s="130">
        <v>93</v>
      </c>
      <c r="BF25" s="130">
        <v>91</v>
      </c>
      <c r="BG25" s="130">
        <v>91</v>
      </c>
      <c r="BH25" s="130">
        <v>80</v>
      </c>
    </row>
    <row r="26" spans="1:60" x14ac:dyDescent="0.25">
      <c r="A26" s="3" t="s">
        <v>62</v>
      </c>
      <c r="B26" s="3" t="s">
        <v>16</v>
      </c>
      <c r="C26" s="3" t="s">
        <v>20</v>
      </c>
      <c r="D26" s="3" t="s">
        <v>114</v>
      </c>
      <c r="E26" s="3" t="s">
        <v>60</v>
      </c>
      <c r="F26" s="3" t="s">
        <v>91</v>
      </c>
      <c r="H26" s="3" t="s">
        <v>350</v>
      </c>
      <c r="X26" s="3">
        <v>66.879000000000005</v>
      </c>
      <c r="Y26" s="3">
        <v>76.474000000000004</v>
      </c>
      <c r="Z26" s="3">
        <v>82.641000000000005</v>
      </c>
      <c r="AA26" s="3">
        <v>81.05</v>
      </c>
      <c r="AB26" s="3">
        <v>81.873000000000005</v>
      </c>
      <c r="AC26" s="3">
        <v>81</v>
      </c>
      <c r="AD26" s="3">
        <v>81</v>
      </c>
      <c r="AE26" s="3">
        <v>100</v>
      </c>
      <c r="AF26" s="3">
        <v>118</v>
      </c>
      <c r="AG26" s="3">
        <v>104</v>
      </c>
      <c r="AH26" s="3">
        <v>99</v>
      </c>
      <c r="AI26" s="3">
        <v>101</v>
      </c>
      <c r="AJ26" s="3">
        <v>115</v>
      </c>
      <c r="AK26" s="3">
        <v>138</v>
      </c>
      <c r="AL26" s="3">
        <v>128</v>
      </c>
      <c r="AM26" s="3">
        <v>128</v>
      </c>
      <c r="AN26" s="3">
        <v>139</v>
      </c>
      <c r="AO26" s="3">
        <v>147</v>
      </c>
      <c r="AP26" s="3">
        <v>162</v>
      </c>
      <c r="AQ26" s="3">
        <v>152</v>
      </c>
      <c r="AR26" s="3">
        <v>162</v>
      </c>
      <c r="AS26" s="3">
        <v>156</v>
      </c>
      <c r="AT26" s="3">
        <v>159</v>
      </c>
      <c r="AU26" s="3">
        <v>166</v>
      </c>
      <c r="AV26" s="3">
        <v>161.20599999999999</v>
      </c>
      <c r="AW26" s="3">
        <v>172.40799999999999</v>
      </c>
      <c r="AX26" s="3">
        <v>168.44300000000001</v>
      </c>
      <c r="AY26" s="3">
        <v>171.239</v>
      </c>
      <c r="AZ26" s="3">
        <v>191.71700000000001</v>
      </c>
      <c r="BA26" s="3">
        <v>174.517</v>
      </c>
      <c r="BB26" s="132">
        <v>180.29400000000001</v>
      </c>
      <c r="BC26" s="132">
        <v>184</v>
      </c>
      <c r="BD26" s="132">
        <v>227</v>
      </c>
      <c r="BE26" s="132">
        <v>248</v>
      </c>
      <c r="BF26" s="132">
        <v>187.51300000000001</v>
      </c>
      <c r="BG26" s="132">
        <v>187.51300000000001</v>
      </c>
      <c r="BH26" s="132">
        <v>185</v>
      </c>
    </row>
    <row r="27" spans="1:60" x14ac:dyDescent="0.25">
      <c r="A27" s="3" t="s">
        <v>62</v>
      </c>
      <c r="B27" s="3" t="s">
        <v>16</v>
      </c>
      <c r="C27" s="3" t="s">
        <v>352</v>
      </c>
      <c r="D27" s="3" t="s">
        <v>114</v>
      </c>
      <c r="E27" s="3" t="s">
        <v>60</v>
      </c>
      <c r="F27" s="3" t="s">
        <v>91</v>
      </c>
      <c r="H27" s="3" t="s">
        <v>351</v>
      </c>
      <c r="X27" s="3">
        <v>150.92500000000001</v>
      </c>
      <c r="Y27" s="3">
        <v>167.62700000000001</v>
      </c>
      <c r="Z27" s="3">
        <v>180.50899999999999</v>
      </c>
      <c r="AA27" s="3">
        <v>182.715</v>
      </c>
      <c r="AB27" s="3">
        <v>193.083</v>
      </c>
      <c r="AC27" s="3">
        <v>194</v>
      </c>
      <c r="AD27" s="3">
        <v>178</v>
      </c>
      <c r="AE27" s="3">
        <v>181</v>
      </c>
      <c r="AF27" s="3">
        <v>188</v>
      </c>
      <c r="AG27" s="3">
        <v>199</v>
      </c>
      <c r="AH27" s="3">
        <v>202</v>
      </c>
      <c r="AI27" s="3">
        <v>246</v>
      </c>
      <c r="AJ27" s="3">
        <v>241</v>
      </c>
      <c r="AK27" s="3">
        <v>284</v>
      </c>
      <c r="AL27" s="3">
        <v>294</v>
      </c>
      <c r="AM27" s="3">
        <v>298</v>
      </c>
      <c r="AN27" s="3">
        <v>301</v>
      </c>
      <c r="AO27" s="3">
        <v>303</v>
      </c>
      <c r="AP27" s="3">
        <v>314</v>
      </c>
      <c r="AQ27" s="3">
        <v>296</v>
      </c>
      <c r="AR27" s="3">
        <v>312</v>
      </c>
      <c r="AS27" s="3">
        <v>307</v>
      </c>
      <c r="AT27" s="3">
        <v>295</v>
      </c>
      <c r="AU27" s="3">
        <v>280</v>
      </c>
      <c r="AV27" s="3">
        <v>292.80500000000001</v>
      </c>
      <c r="AW27" s="3">
        <v>296</v>
      </c>
      <c r="AX27" s="3">
        <v>291</v>
      </c>
      <c r="AY27" s="3">
        <v>288.51400000000001</v>
      </c>
      <c r="AZ27" s="3">
        <v>297</v>
      </c>
      <c r="BA27" s="3">
        <v>300</v>
      </c>
      <c r="BB27" s="3">
        <v>314</v>
      </c>
      <c r="BC27" s="3">
        <v>308</v>
      </c>
      <c r="BD27" s="130">
        <v>456</v>
      </c>
      <c r="BE27" s="130">
        <v>409</v>
      </c>
      <c r="BF27" s="130">
        <v>369</v>
      </c>
      <c r="BG27" s="130">
        <v>448</v>
      </c>
      <c r="BH27" s="130">
        <v>42</v>
      </c>
    </row>
    <row r="28" spans="1:60" x14ac:dyDescent="0.25">
      <c r="A28" s="3" t="s">
        <v>62</v>
      </c>
      <c r="B28" s="3" t="s">
        <v>16</v>
      </c>
      <c r="C28" s="3" t="s">
        <v>21</v>
      </c>
      <c r="D28" s="3" t="s">
        <v>113</v>
      </c>
      <c r="E28" s="3" t="s">
        <v>60</v>
      </c>
      <c r="F28" s="3" t="s">
        <v>91</v>
      </c>
      <c r="H28" s="3" t="s">
        <v>363</v>
      </c>
      <c r="AQ28" s="3">
        <v>176</v>
      </c>
    </row>
    <row r="29" spans="1:60" x14ac:dyDescent="0.25">
      <c r="A29" s="3" t="s">
        <v>22</v>
      </c>
      <c r="B29" s="3" t="s">
        <v>86</v>
      </c>
      <c r="C29" s="3" t="s">
        <v>108</v>
      </c>
      <c r="D29" s="3" t="s">
        <v>114</v>
      </c>
      <c r="E29" s="3" t="s">
        <v>60</v>
      </c>
      <c r="F29" s="3" t="s">
        <v>91</v>
      </c>
      <c r="H29" s="3" t="s">
        <v>86</v>
      </c>
      <c r="S29" s="3">
        <v>1967.49</v>
      </c>
      <c r="T29" s="3">
        <v>1696.298</v>
      </c>
      <c r="U29" s="3">
        <v>1258.1369999999999</v>
      </c>
      <c r="V29" s="3">
        <v>1860.087</v>
      </c>
      <c r="W29" s="3">
        <v>1850.34</v>
      </c>
      <c r="X29" s="3">
        <v>1892.087</v>
      </c>
      <c r="Y29" s="3">
        <v>2575.6999999999998</v>
      </c>
      <c r="Z29" s="3">
        <v>2961.9</v>
      </c>
      <c r="AA29" s="3">
        <v>3069.4</v>
      </c>
      <c r="AB29" s="3">
        <v>3223.9</v>
      </c>
      <c r="AC29" s="3">
        <v>2694.355</v>
      </c>
      <c r="AD29" s="3">
        <v>2502.2710000000002</v>
      </c>
      <c r="AE29" s="3">
        <v>2378.0649999999996</v>
      </c>
      <c r="AF29" s="3">
        <v>2492.5050000000001</v>
      </c>
      <c r="AG29" s="3">
        <v>2720.2689999999998</v>
      </c>
      <c r="AH29" s="3">
        <v>2809</v>
      </c>
      <c r="AI29" s="3">
        <v>3206</v>
      </c>
      <c r="AJ29" s="3">
        <v>3263</v>
      </c>
      <c r="AK29" s="3">
        <v>3307</v>
      </c>
      <c r="AL29" s="3">
        <v>3523</v>
      </c>
      <c r="AM29" s="3">
        <v>3636</v>
      </c>
      <c r="AN29" s="3">
        <v>3633</v>
      </c>
      <c r="AO29" s="3">
        <v>3837</v>
      </c>
      <c r="AP29" s="3">
        <v>4083</v>
      </c>
      <c r="AQ29" s="3">
        <v>4813.47</v>
      </c>
      <c r="AR29" s="3">
        <v>4963.8869999999997</v>
      </c>
      <c r="AS29" s="3">
        <v>4897.2830000000004</v>
      </c>
      <c r="AT29" s="3">
        <v>4934.9799999999996</v>
      </c>
      <c r="AU29" s="3">
        <v>4681.1949999999997</v>
      </c>
      <c r="AV29" s="3">
        <v>5131.0380000000005</v>
      </c>
      <c r="AW29" s="3">
        <v>5067.7380000000003</v>
      </c>
      <c r="AX29" s="3">
        <v>5347.0000000000009</v>
      </c>
      <c r="AY29" s="3">
        <v>5390.9719999999998</v>
      </c>
      <c r="AZ29" s="3">
        <v>6259.9030000000002</v>
      </c>
      <c r="BA29" s="3">
        <v>6585</v>
      </c>
      <c r="BB29" s="3">
        <v>7000</v>
      </c>
      <c r="BC29" s="3">
        <v>7026</v>
      </c>
      <c r="BD29" s="3">
        <v>8534</v>
      </c>
      <c r="BE29" s="3">
        <v>8100</v>
      </c>
      <c r="BF29" s="3">
        <v>8240</v>
      </c>
      <c r="BG29" s="3">
        <v>8240</v>
      </c>
      <c r="BH29" s="3">
        <v>7092</v>
      </c>
    </row>
    <row r="30" spans="1:60" x14ac:dyDescent="0.25">
      <c r="A30" s="3" t="s">
        <v>22</v>
      </c>
      <c r="B30" s="3" t="s">
        <v>86</v>
      </c>
      <c r="C30" s="3" t="s">
        <v>23</v>
      </c>
      <c r="D30" s="3" t="s">
        <v>114</v>
      </c>
      <c r="E30" s="3" t="s">
        <v>88</v>
      </c>
      <c r="F30" s="3" t="s">
        <v>91</v>
      </c>
      <c r="H30" s="3" t="s">
        <v>353</v>
      </c>
      <c r="X30" s="3">
        <v>0</v>
      </c>
      <c r="Y30" s="3">
        <v>0</v>
      </c>
      <c r="Z30" s="3">
        <v>0</v>
      </c>
      <c r="AA30" s="3">
        <v>0</v>
      </c>
      <c r="AB30" s="3">
        <v>0</v>
      </c>
      <c r="AC30" s="3">
        <v>0</v>
      </c>
      <c r="AD30" s="3">
        <v>0</v>
      </c>
      <c r="AE30" s="3">
        <v>147.28800000000001</v>
      </c>
      <c r="AF30" s="3">
        <v>146.779</v>
      </c>
      <c r="AG30" s="3">
        <v>153.512</v>
      </c>
      <c r="AH30" s="3">
        <v>125</v>
      </c>
      <c r="AI30" s="3">
        <v>161</v>
      </c>
      <c r="AJ30" s="3">
        <v>150</v>
      </c>
      <c r="AK30" s="3">
        <v>166</v>
      </c>
      <c r="AL30" s="3">
        <v>197</v>
      </c>
      <c r="AM30" s="3">
        <v>226</v>
      </c>
      <c r="AN30" s="3">
        <v>228</v>
      </c>
      <c r="AO30" s="3">
        <v>276</v>
      </c>
      <c r="AP30" s="3">
        <v>342</v>
      </c>
      <c r="AQ30" s="3">
        <v>359</v>
      </c>
      <c r="AR30" s="3">
        <v>383</v>
      </c>
      <c r="AS30" s="3">
        <v>410.31700000000001</v>
      </c>
      <c r="AT30" s="3">
        <v>428.30399999999997</v>
      </c>
      <c r="AU30" s="3">
        <v>405</v>
      </c>
      <c r="AV30" s="3">
        <v>463.47199999999998</v>
      </c>
      <c r="AW30" s="3">
        <v>523.41099999999994</v>
      </c>
      <c r="AX30" s="3">
        <v>621</v>
      </c>
      <c r="AY30" s="3">
        <v>647</v>
      </c>
      <c r="AZ30" s="3">
        <v>810</v>
      </c>
      <c r="BA30" s="3">
        <v>935.5</v>
      </c>
      <c r="BB30" s="3">
        <v>980</v>
      </c>
      <c r="BC30" s="3">
        <v>1015</v>
      </c>
      <c r="BD30" s="3">
        <v>1167</v>
      </c>
      <c r="BE30" s="3">
        <v>1068</v>
      </c>
      <c r="BF30" s="3">
        <v>1016</v>
      </c>
      <c r="BG30" s="3">
        <v>1036.2349999999999</v>
      </c>
      <c r="BH30" s="3">
        <v>1016</v>
      </c>
    </row>
    <row r="31" spans="1:60" x14ac:dyDescent="0.25">
      <c r="A31" s="3" t="s">
        <v>22</v>
      </c>
      <c r="B31" s="3" t="s">
        <v>86</v>
      </c>
      <c r="C31" s="3" t="s">
        <v>24</v>
      </c>
      <c r="D31" s="3" t="s">
        <v>114</v>
      </c>
      <c r="E31" s="3" t="s">
        <v>88</v>
      </c>
      <c r="F31" s="3" t="s">
        <v>91</v>
      </c>
      <c r="H31" s="3" t="s">
        <v>354</v>
      </c>
      <c r="W31" s="3">
        <v>534.33500000000004</v>
      </c>
      <c r="X31" s="3">
        <v>564.1</v>
      </c>
      <c r="Y31" s="3">
        <v>705.8</v>
      </c>
      <c r="Z31" s="3">
        <v>760.4</v>
      </c>
      <c r="AA31" s="3">
        <v>851.9</v>
      </c>
      <c r="AB31" s="3">
        <v>757.8</v>
      </c>
      <c r="AC31" s="3">
        <v>596.72699999999998</v>
      </c>
      <c r="AD31" s="3">
        <v>774.33299999999997</v>
      </c>
      <c r="AE31" s="3">
        <v>632.99</v>
      </c>
      <c r="AF31" s="3">
        <v>651.81600000000003</v>
      </c>
      <c r="AG31" s="3">
        <v>783.18499999999995</v>
      </c>
      <c r="AH31" s="3">
        <v>762</v>
      </c>
      <c r="AI31" s="3">
        <v>974</v>
      </c>
      <c r="AJ31" s="3">
        <v>981</v>
      </c>
      <c r="AK31" s="3">
        <v>998</v>
      </c>
      <c r="AL31" s="3">
        <v>993</v>
      </c>
      <c r="AM31" s="3">
        <v>1080</v>
      </c>
      <c r="AN31" s="3">
        <v>1113</v>
      </c>
      <c r="AO31" s="3">
        <v>1223</v>
      </c>
      <c r="AP31" s="3">
        <v>1253</v>
      </c>
      <c r="AQ31" s="3">
        <v>1536</v>
      </c>
      <c r="AR31" s="3">
        <v>1599</v>
      </c>
      <c r="AS31" s="3">
        <v>1638.511</v>
      </c>
      <c r="AT31" s="3">
        <v>1644.7670000000001</v>
      </c>
      <c r="AU31" s="3">
        <v>1551.2560000000001</v>
      </c>
      <c r="AV31" s="3">
        <v>1662.702</v>
      </c>
      <c r="AW31" s="3">
        <v>1682.924</v>
      </c>
      <c r="AX31" s="3">
        <v>1849</v>
      </c>
      <c r="AY31" s="3">
        <v>1871.5</v>
      </c>
      <c r="AZ31" s="3">
        <v>2090</v>
      </c>
      <c r="BA31" s="3">
        <v>2166</v>
      </c>
      <c r="BB31" s="3">
        <v>2213</v>
      </c>
      <c r="BC31" s="3">
        <v>2245</v>
      </c>
      <c r="BD31" s="3">
        <v>2523</v>
      </c>
      <c r="BE31" s="3">
        <v>2534</v>
      </c>
      <c r="BF31" s="3">
        <v>2625.625</v>
      </c>
      <c r="BG31" s="3">
        <v>2588.2849999999999</v>
      </c>
      <c r="BH31" s="3">
        <v>2241</v>
      </c>
    </row>
    <row r="32" spans="1:60" x14ac:dyDescent="0.25">
      <c r="A32" s="3" t="s">
        <v>22</v>
      </c>
      <c r="B32" s="3" t="s">
        <v>86</v>
      </c>
      <c r="C32" s="3" t="s">
        <v>25</v>
      </c>
      <c r="D32" s="3" t="s">
        <v>114</v>
      </c>
      <c r="E32" s="3" t="s">
        <v>88</v>
      </c>
      <c r="F32" s="3" t="s">
        <v>91</v>
      </c>
      <c r="H32" s="3" t="s">
        <v>355</v>
      </c>
      <c r="W32" s="3">
        <v>250.768</v>
      </c>
      <c r="X32" s="3">
        <v>305.39999999999998</v>
      </c>
      <c r="Y32" s="3">
        <v>390.6</v>
      </c>
      <c r="Z32" s="3">
        <v>352.4</v>
      </c>
      <c r="AA32" s="3">
        <v>352.2</v>
      </c>
      <c r="AB32" s="3">
        <v>395.2</v>
      </c>
      <c r="AC32" s="3">
        <v>408.245</v>
      </c>
      <c r="AD32" s="3">
        <v>410.95600000000002</v>
      </c>
      <c r="AE32" s="3">
        <v>373.471</v>
      </c>
      <c r="AF32" s="3">
        <v>395.67599999999999</v>
      </c>
      <c r="AG32" s="3">
        <v>425.89</v>
      </c>
      <c r="AH32" s="3">
        <v>413</v>
      </c>
      <c r="AI32" s="3">
        <v>477</v>
      </c>
      <c r="AJ32" s="3">
        <v>512</v>
      </c>
      <c r="AK32" s="3">
        <v>492</v>
      </c>
      <c r="AL32" s="3">
        <v>625</v>
      </c>
      <c r="AM32" s="3">
        <v>556</v>
      </c>
      <c r="AN32" s="3">
        <v>564</v>
      </c>
      <c r="AO32" s="3">
        <v>480</v>
      </c>
      <c r="AP32" s="3">
        <v>489</v>
      </c>
      <c r="AQ32" s="3">
        <v>585</v>
      </c>
      <c r="AR32" s="3">
        <v>588</v>
      </c>
      <c r="AS32" s="3">
        <v>595.24599999999998</v>
      </c>
      <c r="AT32" s="3">
        <v>592.43299999999999</v>
      </c>
      <c r="AU32" s="3">
        <v>560.65700000000004</v>
      </c>
      <c r="AV32" s="3">
        <v>593.61</v>
      </c>
      <c r="AW32" s="3">
        <v>572.61800000000005</v>
      </c>
      <c r="AX32" s="3">
        <v>609</v>
      </c>
      <c r="AY32" s="3">
        <v>612</v>
      </c>
      <c r="AZ32" s="3">
        <v>673</v>
      </c>
      <c r="BA32" s="3">
        <v>705</v>
      </c>
      <c r="BB32" s="3">
        <v>750</v>
      </c>
      <c r="BC32" s="3">
        <v>753</v>
      </c>
      <c r="BD32" s="3">
        <v>779</v>
      </c>
      <c r="BE32" s="3">
        <v>909</v>
      </c>
      <c r="BF32" s="3">
        <v>900</v>
      </c>
      <c r="BG32" s="3">
        <v>870</v>
      </c>
      <c r="BH32" s="3">
        <v>394.92</v>
      </c>
    </row>
    <row r="33" spans="1:60" x14ac:dyDescent="0.25">
      <c r="A33" s="3" t="s">
        <v>22</v>
      </c>
      <c r="B33" s="3" t="s">
        <v>86</v>
      </c>
      <c r="C33" s="3" t="s">
        <v>359</v>
      </c>
      <c r="D33" s="3" t="s">
        <v>114</v>
      </c>
      <c r="E33" s="3" t="s">
        <v>88</v>
      </c>
      <c r="F33" s="3" t="s">
        <v>91</v>
      </c>
      <c r="H33" s="3" t="s">
        <v>356</v>
      </c>
      <c r="W33" s="3">
        <v>344.65899999999999</v>
      </c>
      <c r="X33" s="3">
        <v>316.7</v>
      </c>
      <c r="Y33" s="3">
        <v>286.57900000000001</v>
      </c>
      <c r="Z33" s="3">
        <v>332.2</v>
      </c>
      <c r="AA33" s="3">
        <v>335.1</v>
      </c>
      <c r="AB33" s="3">
        <v>328.6</v>
      </c>
      <c r="AC33" s="3">
        <v>333.29199999999997</v>
      </c>
      <c r="AD33" s="3">
        <v>238.94</v>
      </c>
      <c r="AE33" s="3">
        <v>224.75</v>
      </c>
      <c r="AF33" s="3">
        <v>224.19</v>
      </c>
      <c r="AG33" s="3">
        <v>217.24799999999999</v>
      </c>
      <c r="AH33" s="3">
        <v>242</v>
      </c>
      <c r="AI33" s="3">
        <v>242</v>
      </c>
      <c r="AJ33" s="3">
        <v>241</v>
      </c>
      <c r="AK33" s="3">
        <v>239</v>
      </c>
      <c r="AL33" s="3">
        <v>257</v>
      </c>
      <c r="AM33" s="3">
        <v>265</v>
      </c>
      <c r="AN33" s="3">
        <v>282</v>
      </c>
      <c r="AO33" s="3">
        <v>312</v>
      </c>
      <c r="AP33" s="3">
        <v>295</v>
      </c>
      <c r="AQ33" s="3">
        <v>395</v>
      </c>
      <c r="AR33" s="3">
        <v>418</v>
      </c>
      <c r="AS33" s="3">
        <v>367.25700000000001</v>
      </c>
      <c r="AT33" s="3">
        <v>392.95699999999999</v>
      </c>
      <c r="AU33" s="3">
        <v>377.77600000000001</v>
      </c>
      <c r="AV33" s="3">
        <v>495.85500000000002</v>
      </c>
      <c r="AW33" s="3">
        <v>457.36599999999999</v>
      </c>
      <c r="AX33" s="3">
        <v>438</v>
      </c>
      <c r="AY33" s="3">
        <v>380</v>
      </c>
      <c r="AZ33" s="3">
        <v>532.11099999999999</v>
      </c>
      <c r="BA33" s="3">
        <v>564</v>
      </c>
      <c r="BB33" s="3">
        <v>671</v>
      </c>
      <c r="BC33" s="3">
        <v>672</v>
      </c>
      <c r="BD33" s="3">
        <v>940</v>
      </c>
      <c r="BE33" s="3">
        <v>763</v>
      </c>
      <c r="BF33" s="3">
        <v>790</v>
      </c>
      <c r="BG33" s="3">
        <v>744.78</v>
      </c>
      <c r="BH33" s="3">
        <v>830</v>
      </c>
    </row>
    <row r="34" spans="1:60" x14ac:dyDescent="0.25">
      <c r="A34" s="3" t="s">
        <v>22</v>
      </c>
      <c r="B34" s="3" t="s">
        <v>86</v>
      </c>
      <c r="C34" s="3" t="s">
        <v>360</v>
      </c>
      <c r="D34" s="3" t="s">
        <v>114</v>
      </c>
      <c r="E34" s="3" t="s">
        <v>88</v>
      </c>
      <c r="F34" s="3" t="s">
        <v>91</v>
      </c>
      <c r="H34" s="3" t="s">
        <v>357</v>
      </c>
      <c r="X34" s="3">
        <v>576.29999999999995</v>
      </c>
      <c r="Y34" s="3">
        <v>582.75099999999998</v>
      </c>
      <c r="Z34" s="3">
        <v>618.4</v>
      </c>
      <c r="AA34" s="3">
        <v>606.1</v>
      </c>
      <c r="AB34" s="3">
        <v>610.20000000000005</v>
      </c>
      <c r="AC34" s="3">
        <v>632.16300000000001</v>
      </c>
      <c r="AD34" s="3">
        <v>656.40300000000002</v>
      </c>
      <c r="AE34" s="3">
        <v>657.11900000000003</v>
      </c>
      <c r="AF34" s="3">
        <v>668.59</v>
      </c>
      <c r="AG34" s="3">
        <v>680.71600000000001</v>
      </c>
      <c r="AH34" s="3">
        <v>689</v>
      </c>
      <c r="AI34" s="3">
        <v>696</v>
      </c>
      <c r="AJ34" s="3">
        <v>697</v>
      </c>
      <c r="AK34" s="3">
        <v>700</v>
      </c>
      <c r="AL34" s="3">
        <v>718</v>
      </c>
      <c r="AM34" s="3">
        <v>719</v>
      </c>
      <c r="AN34" s="3">
        <v>701</v>
      </c>
      <c r="AO34" s="3">
        <v>733</v>
      </c>
      <c r="AP34" s="3">
        <v>703</v>
      </c>
      <c r="AQ34" s="3">
        <v>776</v>
      </c>
      <c r="AR34" s="3">
        <v>791</v>
      </c>
      <c r="AS34" s="3">
        <v>775.57799999999997</v>
      </c>
      <c r="AT34" s="3">
        <v>770.53300000000002</v>
      </c>
      <c r="AU34" s="3">
        <v>727.52300000000002</v>
      </c>
      <c r="AV34" s="3">
        <v>774.92</v>
      </c>
      <c r="AW34" s="3">
        <v>745.23199999999997</v>
      </c>
      <c r="AX34" s="3">
        <v>795</v>
      </c>
      <c r="AY34" s="3">
        <v>825</v>
      </c>
      <c r="AZ34" s="3">
        <v>908</v>
      </c>
      <c r="BA34" s="3">
        <v>980</v>
      </c>
      <c r="BB34" s="3">
        <v>1045</v>
      </c>
      <c r="BC34" s="3">
        <v>1046</v>
      </c>
      <c r="BD34" s="3">
        <v>1321</v>
      </c>
      <c r="BE34" s="3">
        <v>1166</v>
      </c>
      <c r="BF34" s="3">
        <v>1200</v>
      </c>
      <c r="BG34" s="3">
        <v>1112.836</v>
      </c>
      <c r="BH34" s="3">
        <v>1229.7660000000001</v>
      </c>
    </row>
    <row r="35" spans="1:60" x14ac:dyDescent="0.25">
      <c r="A35" s="3" t="s">
        <v>22</v>
      </c>
      <c r="B35" s="3" t="s">
        <v>86</v>
      </c>
      <c r="C35" s="3" t="s">
        <v>361</v>
      </c>
      <c r="D35" s="3" t="s">
        <v>114</v>
      </c>
      <c r="E35" s="3" t="s">
        <v>88</v>
      </c>
      <c r="F35" s="3" t="s">
        <v>91</v>
      </c>
      <c r="H35" s="3" t="s">
        <v>358</v>
      </c>
      <c r="W35" s="3">
        <v>347.50799999999998</v>
      </c>
      <c r="X35" s="3">
        <v>287.2</v>
      </c>
      <c r="Y35" s="3">
        <v>310.71300000000002</v>
      </c>
      <c r="Z35" s="3">
        <v>351.4</v>
      </c>
      <c r="AA35" s="3">
        <v>306.60000000000002</v>
      </c>
      <c r="AB35" s="3">
        <v>345.3</v>
      </c>
      <c r="AC35" s="3">
        <v>326.77600000000001</v>
      </c>
      <c r="AD35" s="3">
        <v>299.94600000000003</v>
      </c>
      <c r="AE35" s="3">
        <v>309.95100000000002</v>
      </c>
      <c r="AF35" s="3">
        <v>314.738</v>
      </c>
      <c r="AG35" s="3">
        <v>327.16800000000001</v>
      </c>
      <c r="AH35" s="3">
        <v>348</v>
      </c>
      <c r="AI35" s="3">
        <v>352</v>
      </c>
      <c r="AJ35" s="3">
        <v>351</v>
      </c>
      <c r="AK35" s="3">
        <v>369</v>
      </c>
      <c r="AL35" s="3">
        <v>380</v>
      </c>
      <c r="AM35" s="3">
        <v>394</v>
      </c>
      <c r="AN35" s="3">
        <v>358</v>
      </c>
      <c r="AO35" s="3">
        <v>413</v>
      </c>
      <c r="AP35" s="3">
        <v>424</v>
      </c>
      <c r="AQ35" s="3">
        <v>500</v>
      </c>
      <c r="AR35" s="3">
        <v>522</v>
      </c>
      <c r="AS35" s="3">
        <v>527.68399999999997</v>
      </c>
      <c r="AT35" s="3">
        <v>534.64200000000005</v>
      </c>
      <c r="AU35" s="3">
        <v>507.24799999999999</v>
      </c>
      <c r="AV35" s="3">
        <v>554.80200000000002</v>
      </c>
      <c r="AW35" s="3">
        <v>580.74400000000003</v>
      </c>
      <c r="AX35" s="3">
        <v>617.1</v>
      </c>
      <c r="AY35" s="3">
        <v>622</v>
      </c>
      <c r="AZ35" s="3">
        <v>684</v>
      </c>
      <c r="BA35" s="3">
        <v>690</v>
      </c>
      <c r="BB35" s="3">
        <v>713</v>
      </c>
      <c r="BC35" s="3">
        <v>713</v>
      </c>
      <c r="BD35" s="3">
        <v>880</v>
      </c>
      <c r="BE35" s="3">
        <v>805</v>
      </c>
      <c r="BF35" s="3">
        <v>804</v>
      </c>
      <c r="BG35" s="3">
        <v>767.86</v>
      </c>
      <c r="BH35" s="3">
        <v>845.41700000000003</v>
      </c>
    </row>
    <row r="36" spans="1:60" x14ac:dyDescent="0.25">
      <c r="A36" s="3" t="s">
        <v>22</v>
      </c>
      <c r="B36" s="3" t="s">
        <v>26</v>
      </c>
      <c r="C36" s="3" t="s">
        <v>26</v>
      </c>
      <c r="D36" s="3" t="s">
        <v>114</v>
      </c>
      <c r="E36" s="3" t="s">
        <v>60</v>
      </c>
      <c r="F36" s="3" t="s">
        <v>91</v>
      </c>
      <c r="H36" s="3" t="s">
        <v>362</v>
      </c>
      <c r="AO36" s="3">
        <v>938</v>
      </c>
      <c r="AP36" s="3">
        <v>754</v>
      </c>
      <c r="AQ36" s="3">
        <v>850</v>
      </c>
      <c r="AR36" s="3">
        <v>2216.3919999999998</v>
      </c>
      <c r="AS36" s="3">
        <v>1771.721</v>
      </c>
      <c r="AT36" s="3">
        <v>1780.5479999999998</v>
      </c>
      <c r="AU36" s="3">
        <v>1691.7570000000003</v>
      </c>
      <c r="AV36" s="3">
        <v>1824.8760000000004</v>
      </c>
      <c r="AW36" s="3">
        <v>1840.847</v>
      </c>
      <c r="AX36" s="3">
        <v>2069.194</v>
      </c>
      <c r="AY36" s="3">
        <v>2034.5819999999999</v>
      </c>
      <c r="AZ36" s="3">
        <v>2321.7780000000002</v>
      </c>
      <c r="BA36" s="3">
        <v>2379</v>
      </c>
      <c r="BB36" s="3">
        <v>2777.277</v>
      </c>
      <c r="BC36" s="3">
        <v>2864</v>
      </c>
      <c r="BD36" s="3">
        <v>3392</v>
      </c>
      <c r="BE36" s="3">
        <v>17998</v>
      </c>
      <c r="BF36" s="3">
        <v>3460</v>
      </c>
      <c r="BG36" s="3">
        <v>3460</v>
      </c>
      <c r="BH36" s="3">
        <v>888</v>
      </c>
    </row>
    <row r="37" spans="1:60" x14ac:dyDescent="0.25">
      <c r="A37" s="3" t="s">
        <v>22</v>
      </c>
      <c r="B37" s="3" t="s">
        <v>92</v>
      </c>
      <c r="C37" s="3" t="s">
        <v>92</v>
      </c>
      <c r="D37" s="3" t="s">
        <v>114</v>
      </c>
      <c r="E37" s="3" t="s">
        <v>60</v>
      </c>
      <c r="F37" s="3" t="s">
        <v>91</v>
      </c>
      <c r="AO37" s="3">
        <v>97</v>
      </c>
      <c r="AP37" s="3">
        <v>83</v>
      </c>
      <c r="AQ37" s="3">
        <v>75</v>
      </c>
      <c r="AR37" s="3">
        <v>168.48400000000001</v>
      </c>
      <c r="AS37" s="3">
        <v>137.16999999999999</v>
      </c>
      <c r="AT37" s="3">
        <v>129.196</v>
      </c>
      <c r="AU37" s="3">
        <v>129.196</v>
      </c>
      <c r="AV37" s="3">
        <v>144.20500000000001</v>
      </c>
      <c r="AW37" s="3">
        <v>143.90100000000001</v>
      </c>
      <c r="AX37" s="3">
        <v>206</v>
      </c>
      <c r="AY37" s="3">
        <v>150.38499999999999</v>
      </c>
      <c r="AZ37" s="3">
        <v>159.1</v>
      </c>
      <c r="BA37" s="3">
        <v>156</v>
      </c>
      <c r="BB37" s="3">
        <v>190</v>
      </c>
      <c r="BC37" s="3">
        <v>201.72</v>
      </c>
      <c r="BD37" s="3">
        <v>252</v>
      </c>
      <c r="BE37" s="3">
        <v>797</v>
      </c>
      <c r="BF37" s="3">
        <v>280</v>
      </c>
      <c r="BG37" s="3">
        <v>280</v>
      </c>
      <c r="BH37" s="3">
        <v>193</v>
      </c>
    </row>
    <row r="38" spans="1:60" x14ac:dyDescent="0.25">
      <c r="A38" s="3" t="s">
        <v>22</v>
      </c>
      <c r="B38" s="3" t="s">
        <v>27</v>
      </c>
      <c r="C38" s="3" t="s">
        <v>27</v>
      </c>
      <c r="D38" s="3" t="s">
        <v>114</v>
      </c>
      <c r="E38" s="3" t="s">
        <v>60</v>
      </c>
      <c r="F38" s="3" t="s">
        <v>91</v>
      </c>
      <c r="H38" s="3" t="s">
        <v>365</v>
      </c>
      <c r="AO38" s="3">
        <v>300</v>
      </c>
      <c r="AP38" s="3">
        <v>554</v>
      </c>
      <c r="AQ38" s="3">
        <v>630</v>
      </c>
      <c r="AR38" s="3">
        <v>857.93600000000004</v>
      </c>
      <c r="AS38" s="3">
        <v>805.99599999999998</v>
      </c>
      <c r="AT38" s="3">
        <v>853.81600000000003</v>
      </c>
      <c r="AU38" s="3">
        <v>798.28200000000004</v>
      </c>
      <c r="AV38" s="3">
        <v>877.62</v>
      </c>
      <c r="AW38" s="3">
        <v>821.88300000000004</v>
      </c>
      <c r="AX38" s="3">
        <v>986.16099999999994</v>
      </c>
      <c r="AY38" s="3">
        <v>1015.821</v>
      </c>
      <c r="AZ38" s="3">
        <v>1205.056</v>
      </c>
      <c r="BA38" s="3">
        <v>1326.09</v>
      </c>
      <c r="BB38" s="3">
        <v>1493.4079999999999</v>
      </c>
      <c r="BC38" s="3">
        <v>1507.6</v>
      </c>
      <c r="BD38" s="3">
        <v>1681</v>
      </c>
      <c r="BE38" s="3">
        <v>2329</v>
      </c>
      <c r="BF38" s="3">
        <v>1685</v>
      </c>
      <c r="BG38" s="3">
        <v>1685</v>
      </c>
      <c r="BH38" s="3">
        <v>1370</v>
      </c>
    </row>
    <row r="39" spans="1:60" x14ac:dyDescent="0.25">
      <c r="A39" s="3" t="s">
        <v>22</v>
      </c>
      <c r="B39" s="3" t="s">
        <v>28</v>
      </c>
      <c r="C39" s="3" t="s">
        <v>28</v>
      </c>
      <c r="D39" s="3" t="s">
        <v>114</v>
      </c>
      <c r="E39" s="3" t="s">
        <v>60</v>
      </c>
      <c r="F39" s="3" t="s">
        <v>91</v>
      </c>
      <c r="S39" s="3">
        <v>301.7</v>
      </c>
      <c r="T39" s="3">
        <v>289.8</v>
      </c>
      <c r="U39" s="3">
        <v>235.4</v>
      </c>
      <c r="V39" s="3">
        <v>381.6</v>
      </c>
      <c r="W39" s="3">
        <v>312.7</v>
      </c>
      <c r="X39" s="3">
        <v>344.5</v>
      </c>
      <c r="Y39" s="3">
        <v>385.6</v>
      </c>
      <c r="Z39" s="3">
        <v>355.5</v>
      </c>
      <c r="AA39" s="3">
        <v>328.5</v>
      </c>
      <c r="AB39" s="3">
        <v>336.3</v>
      </c>
      <c r="AC39" s="3">
        <v>327</v>
      </c>
      <c r="AD39" s="3">
        <v>291.7</v>
      </c>
      <c r="AE39" s="3">
        <v>286.60000000000002</v>
      </c>
      <c r="AF39" s="3">
        <v>276</v>
      </c>
      <c r="AG39" s="3">
        <v>295</v>
      </c>
      <c r="AH39" s="3">
        <v>352</v>
      </c>
      <c r="AI39" s="3">
        <v>446</v>
      </c>
      <c r="AJ39" s="3">
        <v>416</v>
      </c>
      <c r="AK39" s="3">
        <v>465</v>
      </c>
      <c r="AL39" s="3">
        <v>547</v>
      </c>
      <c r="AM39" s="3">
        <v>448</v>
      </c>
      <c r="AN39" s="3">
        <v>433</v>
      </c>
      <c r="AO39" s="3">
        <v>481</v>
      </c>
      <c r="AP39" s="3">
        <v>551</v>
      </c>
      <c r="AQ39" s="3">
        <v>540</v>
      </c>
      <c r="AR39" s="3">
        <v>659.77</v>
      </c>
      <c r="AS39" s="3">
        <v>585.05200000000002</v>
      </c>
      <c r="AT39" s="3">
        <v>524.07399999999996</v>
      </c>
      <c r="AU39" s="3">
        <v>498.71499999999997</v>
      </c>
      <c r="AV39" s="3">
        <v>550.63</v>
      </c>
      <c r="AW39" s="3">
        <v>548.88499999999999</v>
      </c>
      <c r="AX39" s="3">
        <v>632</v>
      </c>
      <c r="AY39" s="3">
        <v>682</v>
      </c>
      <c r="AZ39" s="3">
        <v>726.81700000000001</v>
      </c>
      <c r="BA39" s="3">
        <v>740</v>
      </c>
      <c r="BB39" s="3">
        <v>750</v>
      </c>
      <c r="BC39" s="3">
        <v>750</v>
      </c>
      <c r="BD39" s="3">
        <v>597</v>
      </c>
      <c r="BE39" s="3">
        <v>1253</v>
      </c>
      <c r="BF39" s="3">
        <v>865</v>
      </c>
      <c r="BG39" s="3">
        <v>865</v>
      </c>
      <c r="BH39" s="3">
        <v>595</v>
      </c>
    </row>
    <row r="40" spans="1:60" x14ac:dyDescent="0.25">
      <c r="A40" s="3" t="s">
        <v>22</v>
      </c>
      <c r="B40" s="3" t="s">
        <v>287</v>
      </c>
      <c r="C40" s="3" t="s">
        <v>287</v>
      </c>
      <c r="D40" s="3" t="s">
        <v>114</v>
      </c>
      <c r="E40" s="3" t="s">
        <v>60</v>
      </c>
      <c r="F40" s="3" t="s">
        <v>91</v>
      </c>
      <c r="S40" s="3">
        <v>1704.6</v>
      </c>
      <c r="T40" s="3">
        <v>1568.7</v>
      </c>
      <c r="U40" s="3">
        <v>1466.2</v>
      </c>
      <c r="V40" s="3">
        <v>1540.5</v>
      </c>
      <c r="W40" s="3">
        <v>1585.5</v>
      </c>
      <c r="X40" s="3">
        <v>1669.9</v>
      </c>
      <c r="Y40" s="3">
        <v>1929.8</v>
      </c>
      <c r="Z40" s="3">
        <v>2107.3000000000002</v>
      </c>
      <c r="AA40" s="3">
        <v>2110</v>
      </c>
      <c r="AB40" s="3">
        <v>2121.1</v>
      </c>
      <c r="AC40" s="3">
        <v>2245.1</v>
      </c>
      <c r="AD40" s="3">
        <v>1879.3</v>
      </c>
      <c r="AE40" s="3">
        <v>483.8</v>
      </c>
      <c r="AF40" s="3">
        <v>296</v>
      </c>
      <c r="AG40" s="3">
        <v>359</v>
      </c>
      <c r="AH40" s="3">
        <v>372</v>
      </c>
      <c r="AI40" s="3">
        <v>62</v>
      </c>
      <c r="AJ40" s="3">
        <v>479</v>
      </c>
      <c r="AK40" s="3">
        <v>519</v>
      </c>
      <c r="AL40" s="3">
        <v>382</v>
      </c>
      <c r="AM40" s="3">
        <f>82+554</f>
        <v>636</v>
      </c>
      <c r="AN40" s="3">
        <f>459+93</f>
        <v>552</v>
      </c>
    </row>
    <row r="41" spans="1:60" x14ac:dyDescent="0.25">
      <c r="A41" s="3" t="s">
        <v>22</v>
      </c>
      <c r="B41" s="3" t="s">
        <v>366</v>
      </c>
      <c r="C41" s="3" t="s">
        <v>366</v>
      </c>
      <c r="D41" s="3" t="s">
        <v>114</v>
      </c>
      <c r="E41" s="3" t="s">
        <v>60</v>
      </c>
      <c r="F41" s="3" t="s">
        <v>91</v>
      </c>
      <c r="S41" s="3">
        <v>172.4</v>
      </c>
      <c r="T41" s="3">
        <v>152.69999999999999</v>
      </c>
      <c r="U41" s="3">
        <v>147.19999999999999</v>
      </c>
      <c r="V41" s="3">
        <v>165.7</v>
      </c>
      <c r="W41" s="3">
        <v>143.6</v>
      </c>
      <c r="X41" s="3">
        <v>180.1</v>
      </c>
      <c r="Y41" s="3">
        <v>196.7</v>
      </c>
      <c r="Z41" s="3">
        <v>230</v>
      </c>
      <c r="AA41" s="3">
        <v>284.10000000000002</v>
      </c>
      <c r="AB41" s="3">
        <v>344.6</v>
      </c>
      <c r="AC41" s="3">
        <v>357.2</v>
      </c>
      <c r="AD41" s="3">
        <v>307.10000000000002</v>
      </c>
      <c r="AE41" s="3">
        <v>319.10000000000002</v>
      </c>
      <c r="AF41" s="3">
        <v>340</v>
      </c>
      <c r="AG41" s="3">
        <v>381</v>
      </c>
      <c r="AH41" s="3">
        <v>470</v>
      </c>
      <c r="AI41" s="3">
        <v>434</v>
      </c>
      <c r="AJ41" s="3">
        <v>421</v>
      </c>
      <c r="AK41" s="3">
        <v>419</v>
      </c>
      <c r="AL41" s="3">
        <v>379</v>
      </c>
      <c r="AM41" s="3">
        <v>84</v>
      </c>
      <c r="AN41" s="3">
        <v>130</v>
      </c>
    </row>
    <row r="42" spans="1:60" x14ac:dyDescent="0.25">
      <c r="A42" s="3" t="s">
        <v>22</v>
      </c>
      <c r="B42" s="3" t="s">
        <v>29</v>
      </c>
      <c r="C42" s="3" t="s">
        <v>29</v>
      </c>
      <c r="D42" s="3" t="s">
        <v>114</v>
      </c>
      <c r="E42" s="3" t="s">
        <v>60</v>
      </c>
      <c r="F42" s="3" t="s">
        <v>91</v>
      </c>
      <c r="H42" s="3" t="s">
        <v>367</v>
      </c>
      <c r="AS42" s="3">
        <v>179.64</v>
      </c>
      <c r="AT42" s="3">
        <v>250.636</v>
      </c>
      <c r="AU42" s="3">
        <v>250.636</v>
      </c>
      <c r="AV42" s="3">
        <v>280</v>
      </c>
      <c r="AW42" s="3">
        <v>279.98200000000003</v>
      </c>
      <c r="AX42" s="3">
        <v>291</v>
      </c>
      <c r="AY42" s="3">
        <v>302.245</v>
      </c>
      <c r="AZ42" s="3">
        <v>353.31400000000002</v>
      </c>
      <c r="BA42" s="3">
        <v>366</v>
      </c>
      <c r="BB42" s="3">
        <v>425</v>
      </c>
      <c r="BC42" s="3">
        <v>427</v>
      </c>
      <c r="BD42" s="3">
        <v>416</v>
      </c>
      <c r="BE42" s="3">
        <v>470</v>
      </c>
      <c r="BF42" s="3">
        <v>460</v>
      </c>
      <c r="BG42" s="3">
        <v>200</v>
      </c>
      <c r="BH42" s="3">
        <v>350</v>
      </c>
    </row>
    <row r="43" spans="1:60" x14ac:dyDescent="0.25">
      <c r="A43" s="3" t="s">
        <v>22</v>
      </c>
      <c r="B43" s="3" t="s">
        <v>30</v>
      </c>
      <c r="C43" s="3" t="s">
        <v>30</v>
      </c>
      <c r="D43" s="3" t="s">
        <v>114</v>
      </c>
      <c r="E43" s="3" t="s">
        <v>60</v>
      </c>
      <c r="F43" s="3" t="s">
        <v>91</v>
      </c>
      <c r="H43" s="3" t="s">
        <v>368</v>
      </c>
      <c r="AJ43" s="3">
        <v>7619</v>
      </c>
      <c r="AK43" s="3">
        <v>7934</v>
      </c>
      <c r="AL43" s="3">
        <v>8929.6890000000003</v>
      </c>
      <c r="AM43" s="3">
        <v>9163.9410000000007</v>
      </c>
      <c r="AN43" s="3">
        <v>9110.3040000000001</v>
      </c>
      <c r="AO43" s="3">
        <v>9315.8109999999997</v>
      </c>
      <c r="AP43" s="3">
        <v>8814.1110000000008</v>
      </c>
      <c r="AQ43" s="3">
        <v>9129.5939999999991</v>
      </c>
      <c r="AR43" s="3">
        <v>9873.64</v>
      </c>
      <c r="AS43" s="3">
        <v>10525.965</v>
      </c>
      <c r="AT43" s="3">
        <v>11005.784</v>
      </c>
      <c r="AU43" s="133">
        <v>10575.789000000001</v>
      </c>
      <c r="AV43" s="134">
        <v>11204.18</v>
      </c>
      <c r="AW43" s="134">
        <v>11396.687</v>
      </c>
      <c r="AX43" s="134">
        <v>12526.511999999999</v>
      </c>
      <c r="AY43" s="134">
        <v>12927.634999999998</v>
      </c>
      <c r="AZ43" s="134">
        <v>14668.951999999999</v>
      </c>
      <c r="BA43" s="132">
        <v>15228.618</v>
      </c>
      <c r="BB43" s="132">
        <v>16704.592000000001</v>
      </c>
      <c r="BC43" s="132">
        <v>19289</v>
      </c>
      <c r="BD43" s="132">
        <v>21228</v>
      </c>
      <c r="BE43" s="132">
        <v>22677</v>
      </c>
      <c r="BF43" s="132">
        <v>24153</v>
      </c>
      <c r="BG43" s="132">
        <v>23592</v>
      </c>
      <c r="BH43" s="132">
        <v>30042</v>
      </c>
    </row>
    <row r="44" spans="1:60" x14ac:dyDescent="0.25">
      <c r="A44" s="3" t="s">
        <v>22</v>
      </c>
      <c r="B44" s="3" t="s">
        <v>31</v>
      </c>
      <c r="C44" s="3" t="s">
        <v>31</v>
      </c>
      <c r="D44" s="3" t="s">
        <v>114</v>
      </c>
      <c r="E44" s="3" t="s">
        <v>60</v>
      </c>
      <c r="F44" s="3" t="s">
        <v>91</v>
      </c>
      <c r="H44" s="3" t="s">
        <v>369</v>
      </c>
      <c r="AY44" s="3">
        <v>79.2</v>
      </c>
      <c r="AZ44" s="3">
        <v>102.229</v>
      </c>
      <c r="BA44" s="3">
        <v>120</v>
      </c>
      <c r="BB44" s="3">
        <v>156</v>
      </c>
      <c r="BC44" s="3">
        <v>156</v>
      </c>
      <c r="BD44" s="3">
        <v>153</v>
      </c>
      <c r="BE44" s="3">
        <v>265</v>
      </c>
      <c r="BF44" s="3">
        <v>200</v>
      </c>
      <c r="BG44" s="3">
        <v>200</v>
      </c>
      <c r="BH44" s="3">
        <v>150</v>
      </c>
    </row>
    <row r="45" spans="1:60" x14ac:dyDescent="0.25">
      <c r="A45" s="3" t="s">
        <v>22</v>
      </c>
      <c r="B45" s="3" t="s">
        <v>92</v>
      </c>
      <c r="C45" s="3" t="s">
        <v>92</v>
      </c>
      <c r="D45" s="3" t="s">
        <v>114</v>
      </c>
      <c r="E45" s="3" t="s">
        <v>88</v>
      </c>
      <c r="F45" s="3" t="s">
        <v>91</v>
      </c>
      <c r="S45" s="3">
        <f t="shared" ref="S45:W45" si="0">S37</f>
        <v>0</v>
      </c>
      <c r="T45" s="3">
        <f t="shared" si="0"/>
        <v>0</v>
      </c>
      <c r="U45" s="3">
        <f t="shared" si="0"/>
        <v>0</v>
      </c>
      <c r="V45" s="3">
        <f t="shared" si="0"/>
        <v>0</v>
      </c>
      <c r="W45" s="3">
        <f t="shared" si="0"/>
        <v>0</v>
      </c>
      <c r="X45" s="3">
        <f t="shared" ref="X45:AG45" si="1">X37</f>
        <v>0</v>
      </c>
      <c r="Y45" s="3">
        <f t="shared" si="1"/>
        <v>0</v>
      </c>
      <c r="Z45" s="3">
        <f t="shared" si="1"/>
        <v>0</v>
      </c>
      <c r="AA45" s="3">
        <f t="shared" si="1"/>
        <v>0</v>
      </c>
      <c r="AB45" s="3">
        <f t="shared" si="1"/>
        <v>0</v>
      </c>
      <c r="AC45" s="3">
        <f t="shared" si="1"/>
        <v>0</v>
      </c>
      <c r="AD45" s="3">
        <f t="shared" si="1"/>
        <v>0</v>
      </c>
      <c r="AE45" s="3">
        <f t="shared" si="1"/>
        <v>0</v>
      </c>
      <c r="AF45" s="3">
        <f t="shared" si="1"/>
        <v>0</v>
      </c>
      <c r="AG45" s="3">
        <f t="shared" si="1"/>
        <v>0</v>
      </c>
      <c r="AH45" s="3">
        <f t="shared" ref="AH45:AI45" si="2">AH37</f>
        <v>0</v>
      </c>
      <c r="AI45" s="3">
        <f t="shared" si="2"/>
        <v>0</v>
      </c>
      <c r="AJ45" s="3">
        <f t="shared" ref="AJ45:AP47" si="3">AI37</f>
        <v>0</v>
      </c>
      <c r="AK45" s="3">
        <f t="shared" si="3"/>
        <v>0</v>
      </c>
      <c r="AL45" s="3">
        <f t="shared" si="3"/>
        <v>0</v>
      </c>
      <c r="AM45" s="3">
        <f t="shared" si="3"/>
        <v>0</v>
      </c>
      <c r="AN45" s="3">
        <f t="shared" si="3"/>
        <v>0</v>
      </c>
      <c r="AO45" s="3">
        <f t="shared" si="3"/>
        <v>0</v>
      </c>
      <c r="AP45" s="3">
        <f t="shared" si="3"/>
        <v>97</v>
      </c>
      <c r="AQ45" s="3">
        <f t="shared" ref="AQ45:AV45" si="4">AQ37</f>
        <v>75</v>
      </c>
      <c r="AR45" s="3">
        <f t="shared" si="4"/>
        <v>168.48400000000001</v>
      </c>
      <c r="AS45" s="3">
        <f t="shared" si="4"/>
        <v>137.16999999999999</v>
      </c>
      <c r="AT45" s="3">
        <f t="shared" si="4"/>
        <v>129.196</v>
      </c>
      <c r="AU45" s="3">
        <f t="shared" si="4"/>
        <v>129.196</v>
      </c>
      <c r="AV45" s="3">
        <f t="shared" si="4"/>
        <v>144.20500000000001</v>
      </c>
      <c r="AW45" s="3">
        <v>143.90100000000001</v>
      </c>
      <c r="AX45" s="3">
        <v>206</v>
      </c>
      <c r="AY45" s="3">
        <v>150.38499999999999</v>
      </c>
      <c r="AZ45" s="3">
        <v>159.1</v>
      </c>
      <c r="BA45" s="3">
        <v>156</v>
      </c>
      <c r="BB45" s="3">
        <v>190</v>
      </c>
      <c r="BC45" s="3">
        <v>201.72</v>
      </c>
      <c r="BD45" s="3">
        <v>252</v>
      </c>
      <c r="BE45" s="3">
        <v>797</v>
      </c>
      <c r="BF45" s="3">
        <v>280</v>
      </c>
      <c r="BG45" s="3">
        <v>280</v>
      </c>
      <c r="BH45" s="3">
        <v>193</v>
      </c>
    </row>
    <row r="46" spans="1:60" x14ac:dyDescent="0.25">
      <c r="A46" s="3" t="s">
        <v>22</v>
      </c>
      <c r="B46" s="3" t="s">
        <v>27</v>
      </c>
      <c r="C46" s="3" t="s">
        <v>27</v>
      </c>
      <c r="D46" s="3" t="s">
        <v>114</v>
      </c>
      <c r="E46" s="3" t="s">
        <v>88</v>
      </c>
      <c r="F46" s="3" t="s">
        <v>91</v>
      </c>
      <c r="H46" s="3" t="s">
        <v>365</v>
      </c>
      <c r="S46" s="3">
        <f t="shared" ref="S46:W46" si="5">S38</f>
        <v>0</v>
      </c>
      <c r="T46" s="3">
        <f t="shared" si="5"/>
        <v>0</v>
      </c>
      <c r="U46" s="3">
        <f t="shared" si="5"/>
        <v>0</v>
      </c>
      <c r="V46" s="3">
        <f t="shared" si="5"/>
        <v>0</v>
      </c>
      <c r="W46" s="3">
        <f t="shared" si="5"/>
        <v>0</v>
      </c>
      <c r="X46" s="3">
        <f t="shared" ref="X46:AG46" si="6">X38</f>
        <v>0</v>
      </c>
      <c r="Y46" s="3">
        <f t="shared" si="6"/>
        <v>0</v>
      </c>
      <c r="Z46" s="3">
        <f t="shared" si="6"/>
        <v>0</v>
      </c>
      <c r="AA46" s="3">
        <f t="shared" si="6"/>
        <v>0</v>
      </c>
      <c r="AB46" s="3">
        <f t="shared" si="6"/>
        <v>0</v>
      </c>
      <c r="AC46" s="3">
        <f t="shared" si="6"/>
        <v>0</v>
      </c>
      <c r="AD46" s="3">
        <f t="shared" si="6"/>
        <v>0</v>
      </c>
      <c r="AE46" s="3">
        <f t="shared" si="6"/>
        <v>0</v>
      </c>
      <c r="AF46" s="3">
        <f t="shared" si="6"/>
        <v>0</v>
      </c>
      <c r="AG46" s="3">
        <f t="shared" si="6"/>
        <v>0</v>
      </c>
      <c r="AH46" s="3">
        <f t="shared" ref="AH46:AI46" si="7">AH38</f>
        <v>0</v>
      </c>
      <c r="AI46" s="3">
        <f t="shared" si="7"/>
        <v>0</v>
      </c>
      <c r="AJ46" s="3">
        <f t="shared" si="3"/>
        <v>0</v>
      </c>
      <c r="AK46" s="3">
        <f t="shared" si="3"/>
        <v>0</v>
      </c>
      <c r="AL46" s="3">
        <f t="shared" si="3"/>
        <v>0</v>
      </c>
      <c r="AM46" s="3">
        <f t="shared" si="3"/>
        <v>0</v>
      </c>
      <c r="AN46" s="3">
        <f t="shared" si="3"/>
        <v>0</v>
      </c>
      <c r="AO46" s="3">
        <f t="shared" si="3"/>
        <v>0</v>
      </c>
      <c r="AP46" s="3">
        <f t="shared" si="3"/>
        <v>300</v>
      </c>
      <c r="AQ46" s="3">
        <f t="shared" ref="AQ46:AV46" si="8">AQ38</f>
        <v>630</v>
      </c>
      <c r="AR46" s="3">
        <f t="shared" si="8"/>
        <v>857.93600000000004</v>
      </c>
      <c r="AS46" s="3">
        <f t="shared" si="8"/>
        <v>805.99599999999998</v>
      </c>
      <c r="AT46" s="3">
        <f t="shared" si="8"/>
        <v>853.81600000000003</v>
      </c>
      <c r="AU46" s="3">
        <f t="shared" si="8"/>
        <v>798.28200000000004</v>
      </c>
      <c r="AV46" s="3">
        <f t="shared" si="8"/>
        <v>877.62</v>
      </c>
      <c r="AW46" s="3">
        <v>821.88300000000004</v>
      </c>
      <c r="AX46" s="3">
        <v>986.16099999999994</v>
      </c>
      <c r="AY46" s="3">
        <v>1015.821</v>
      </c>
      <c r="AZ46" s="3">
        <v>1205.056</v>
      </c>
      <c r="BA46" s="3">
        <v>1326.09</v>
      </c>
      <c r="BB46" s="3">
        <v>1493.4079999999999</v>
      </c>
      <c r="BC46" s="3">
        <v>1507.6</v>
      </c>
      <c r="BD46" s="3">
        <v>1681</v>
      </c>
      <c r="BE46" s="3">
        <v>2329</v>
      </c>
      <c r="BF46" s="3">
        <v>1685</v>
      </c>
      <c r="BG46" s="3">
        <v>1685</v>
      </c>
      <c r="BH46" s="3">
        <v>1370</v>
      </c>
    </row>
    <row r="47" spans="1:60" x14ac:dyDescent="0.25">
      <c r="A47" s="3" t="s">
        <v>22</v>
      </c>
      <c r="B47" s="3" t="s">
        <v>28</v>
      </c>
      <c r="C47" s="3" t="s">
        <v>28</v>
      </c>
      <c r="D47" s="3" t="s">
        <v>114</v>
      </c>
      <c r="E47" s="3" t="s">
        <v>88</v>
      </c>
      <c r="F47" s="3" t="s">
        <v>91</v>
      </c>
      <c r="S47" s="3">
        <f t="shared" ref="S47:W47" si="9">S39</f>
        <v>301.7</v>
      </c>
      <c r="T47" s="3">
        <f t="shared" si="9"/>
        <v>289.8</v>
      </c>
      <c r="U47" s="3">
        <f t="shared" si="9"/>
        <v>235.4</v>
      </c>
      <c r="V47" s="3">
        <f t="shared" si="9"/>
        <v>381.6</v>
      </c>
      <c r="W47" s="3">
        <f t="shared" si="9"/>
        <v>312.7</v>
      </c>
      <c r="X47" s="3">
        <f t="shared" ref="X47:AG47" si="10">X39</f>
        <v>344.5</v>
      </c>
      <c r="Y47" s="3">
        <f t="shared" si="10"/>
        <v>385.6</v>
      </c>
      <c r="Z47" s="3">
        <f t="shared" si="10"/>
        <v>355.5</v>
      </c>
      <c r="AA47" s="3">
        <f t="shared" si="10"/>
        <v>328.5</v>
      </c>
      <c r="AB47" s="3">
        <f t="shared" si="10"/>
        <v>336.3</v>
      </c>
      <c r="AC47" s="3">
        <f t="shared" si="10"/>
        <v>327</v>
      </c>
      <c r="AD47" s="3">
        <f t="shared" si="10"/>
        <v>291.7</v>
      </c>
      <c r="AE47" s="3">
        <f t="shared" si="10"/>
        <v>286.60000000000002</v>
      </c>
      <c r="AF47" s="3">
        <f t="shared" si="10"/>
        <v>276</v>
      </c>
      <c r="AG47" s="3">
        <f t="shared" si="10"/>
        <v>295</v>
      </c>
      <c r="AH47" s="3">
        <f t="shared" ref="AH47:AI47" si="11">AH39</f>
        <v>352</v>
      </c>
      <c r="AI47" s="3">
        <f t="shared" si="11"/>
        <v>446</v>
      </c>
      <c r="AJ47" s="3">
        <f t="shared" si="3"/>
        <v>446</v>
      </c>
      <c r="AK47" s="3">
        <f t="shared" si="3"/>
        <v>416</v>
      </c>
      <c r="AL47" s="3">
        <f t="shared" si="3"/>
        <v>465</v>
      </c>
      <c r="AM47" s="3">
        <f t="shared" si="3"/>
        <v>547</v>
      </c>
      <c r="AN47" s="3">
        <f t="shared" si="3"/>
        <v>448</v>
      </c>
      <c r="AO47" s="3">
        <f t="shared" si="3"/>
        <v>433</v>
      </c>
      <c r="AP47" s="3">
        <f t="shared" si="3"/>
        <v>481</v>
      </c>
      <c r="AQ47" s="3">
        <f t="shared" ref="AQ47:AV47" si="12">AQ39</f>
        <v>540</v>
      </c>
      <c r="AR47" s="3">
        <f t="shared" si="12"/>
        <v>659.77</v>
      </c>
      <c r="AS47" s="3">
        <f t="shared" si="12"/>
        <v>585.05200000000002</v>
      </c>
      <c r="AT47" s="3">
        <f t="shared" si="12"/>
        <v>524.07399999999996</v>
      </c>
      <c r="AU47" s="3">
        <f t="shared" si="12"/>
        <v>498.71499999999997</v>
      </c>
      <c r="AV47" s="3">
        <f t="shared" si="12"/>
        <v>550.63</v>
      </c>
      <c r="AW47" s="3">
        <v>548.88499999999999</v>
      </c>
      <c r="AX47" s="3">
        <v>632</v>
      </c>
      <c r="AY47" s="3">
        <v>682</v>
      </c>
      <c r="AZ47" s="3">
        <v>726.81700000000001</v>
      </c>
      <c r="BA47" s="3">
        <v>740</v>
      </c>
      <c r="BB47" s="3">
        <v>750</v>
      </c>
      <c r="BC47" s="3">
        <v>750</v>
      </c>
      <c r="BD47" s="3">
        <v>597</v>
      </c>
      <c r="BE47" s="3">
        <v>1253</v>
      </c>
      <c r="BF47" s="3">
        <v>865</v>
      </c>
      <c r="BG47" s="3">
        <v>865</v>
      </c>
      <c r="BH47" s="3">
        <v>595</v>
      </c>
    </row>
    <row r="48" spans="1:60" x14ac:dyDescent="0.25">
      <c r="A48" s="3" t="s">
        <v>22</v>
      </c>
      <c r="B48" s="3" t="s">
        <v>287</v>
      </c>
      <c r="C48" s="3" t="s">
        <v>287</v>
      </c>
      <c r="D48" s="3" t="s">
        <v>114</v>
      </c>
      <c r="E48" s="3" t="s">
        <v>88</v>
      </c>
      <c r="F48" s="3" t="s">
        <v>91</v>
      </c>
      <c r="S48" s="3">
        <f t="shared" ref="S48:W48" si="13">S40</f>
        <v>1704.6</v>
      </c>
      <c r="T48" s="3">
        <f t="shared" si="13"/>
        <v>1568.7</v>
      </c>
      <c r="U48" s="3">
        <f t="shared" si="13"/>
        <v>1466.2</v>
      </c>
      <c r="V48" s="3">
        <f t="shared" si="13"/>
        <v>1540.5</v>
      </c>
      <c r="W48" s="3">
        <f t="shared" si="13"/>
        <v>1585.5</v>
      </c>
      <c r="X48" s="3">
        <f t="shared" ref="X48:AG48" si="14">X40</f>
        <v>1669.9</v>
      </c>
      <c r="Y48" s="3">
        <f t="shared" si="14"/>
        <v>1929.8</v>
      </c>
      <c r="Z48" s="3">
        <f t="shared" si="14"/>
        <v>2107.3000000000002</v>
      </c>
      <c r="AA48" s="3">
        <f t="shared" si="14"/>
        <v>2110</v>
      </c>
      <c r="AB48" s="3">
        <f t="shared" si="14"/>
        <v>2121.1</v>
      </c>
      <c r="AC48" s="3">
        <f t="shared" si="14"/>
        <v>2245.1</v>
      </c>
      <c r="AD48" s="3">
        <f t="shared" si="14"/>
        <v>1879.3</v>
      </c>
      <c r="AE48" s="3">
        <f t="shared" si="14"/>
        <v>483.8</v>
      </c>
      <c r="AF48" s="3">
        <f t="shared" si="14"/>
        <v>296</v>
      </c>
      <c r="AG48" s="3">
        <f t="shared" si="14"/>
        <v>359</v>
      </c>
      <c r="AH48" s="3">
        <f t="shared" ref="AH48:AI48" si="15">AH40</f>
        <v>372</v>
      </c>
      <c r="AI48" s="3">
        <f t="shared" si="15"/>
        <v>62</v>
      </c>
      <c r="AJ48" s="3">
        <f>AI40</f>
        <v>62</v>
      </c>
    </row>
    <row r="49" spans="1:62" x14ac:dyDescent="0.25">
      <c r="A49" s="3" t="s">
        <v>22</v>
      </c>
      <c r="B49" s="3" t="s">
        <v>288</v>
      </c>
      <c r="C49" s="3" t="s">
        <v>288</v>
      </c>
      <c r="D49" s="3" t="s">
        <v>114</v>
      </c>
      <c r="E49" s="3" t="s">
        <v>88</v>
      </c>
      <c r="F49" s="3" t="s">
        <v>91</v>
      </c>
      <c r="S49" s="3">
        <f t="shared" ref="S49:W49" si="16">S41</f>
        <v>172.4</v>
      </c>
      <c r="T49" s="3">
        <f t="shared" si="16"/>
        <v>152.69999999999999</v>
      </c>
      <c r="U49" s="3">
        <f t="shared" si="16"/>
        <v>147.19999999999999</v>
      </c>
      <c r="V49" s="3">
        <f t="shared" si="16"/>
        <v>165.7</v>
      </c>
      <c r="W49" s="3">
        <f t="shared" si="16"/>
        <v>143.6</v>
      </c>
      <c r="X49" s="3">
        <f t="shared" ref="X49:AG49" si="17">X41</f>
        <v>180.1</v>
      </c>
      <c r="Y49" s="3">
        <f t="shared" si="17"/>
        <v>196.7</v>
      </c>
      <c r="Z49" s="3">
        <f t="shared" si="17"/>
        <v>230</v>
      </c>
      <c r="AA49" s="3">
        <f t="shared" si="17"/>
        <v>284.10000000000002</v>
      </c>
      <c r="AB49" s="3">
        <f t="shared" si="17"/>
        <v>344.6</v>
      </c>
      <c r="AC49" s="3">
        <f t="shared" si="17"/>
        <v>357.2</v>
      </c>
      <c r="AD49" s="3">
        <f t="shared" si="17"/>
        <v>307.10000000000002</v>
      </c>
      <c r="AE49" s="3">
        <f t="shared" si="17"/>
        <v>319.10000000000002</v>
      </c>
      <c r="AF49" s="3">
        <f t="shared" si="17"/>
        <v>340</v>
      </c>
      <c r="AG49" s="3">
        <f t="shared" si="17"/>
        <v>381</v>
      </c>
      <c r="AH49" s="3">
        <f t="shared" ref="AH49:AI49" si="18">AH41</f>
        <v>470</v>
      </c>
      <c r="AI49" s="3">
        <f t="shared" si="18"/>
        <v>434</v>
      </c>
      <c r="AJ49" s="3">
        <f>AI41</f>
        <v>434</v>
      </c>
    </row>
    <row r="50" spans="1:62" x14ac:dyDescent="0.25">
      <c r="A50" s="3" t="s">
        <v>22</v>
      </c>
      <c r="B50" s="3" t="s">
        <v>29</v>
      </c>
      <c r="C50" s="3" t="s">
        <v>29</v>
      </c>
      <c r="D50" s="3" t="s">
        <v>114</v>
      </c>
      <c r="E50" s="3" t="s">
        <v>88</v>
      </c>
      <c r="F50" s="3" t="s">
        <v>91</v>
      </c>
      <c r="H50" s="3" t="s">
        <v>367</v>
      </c>
      <c r="S50" s="3">
        <f t="shared" ref="S50:W50" si="19">S42</f>
        <v>0</v>
      </c>
      <c r="T50" s="3">
        <f t="shared" si="19"/>
        <v>0</v>
      </c>
      <c r="U50" s="3">
        <f t="shared" si="19"/>
        <v>0</v>
      </c>
      <c r="V50" s="3">
        <f t="shared" si="19"/>
        <v>0</v>
      </c>
      <c r="W50" s="3">
        <f t="shared" si="19"/>
        <v>0</v>
      </c>
      <c r="X50" s="3">
        <f t="shared" ref="X50:AG50" si="20">X42</f>
        <v>0</v>
      </c>
      <c r="Y50" s="3">
        <f t="shared" si="20"/>
        <v>0</v>
      </c>
      <c r="Z50" s="3">
        <f t="shared" si="20"/>
        <v>0</v>
      </c>
      <c r="AA50" s="3">
        <f t="shared" si="20"/>
        <v>0</v>
      </c>
      <c r="AB50" s="3">
        <f t="shared" si="20"/>
        <v>0</v>
      </c>
      <c r="AC50" s="3">
        <f t="shared" si="20"/>
        <v>0</v>
      </c>
      <c r="AD50" s="3">
        <f t="shared" si="20"/>
        <v>0</v>
      </c>
      <c r="AE50" s="3">
        <f t="shared" si="20"/>
        <v>0</v>
      </c>
      <c r="AF50" s="3">
        <f t="shared" si="20"/>
        <v>0</v>
      </c>
      <c r="AG50" s="3">
        <f t="shared" si="20"/>
        <v>0</v>
      </c>
      <c r="AH50" s="3">
        <f t="shared" ref="AH50:AI50" si="21">AH42</f>
        <v>0</v>
      </c>
      <c r="AI50" s="3">
        <f t="shared" si="21"/>
        <v>0</v>
      </c>
      <c r="AJ50" s="3">
        <f t="shared" ref="AJ50:AV50" si="22">AJ42</f>
        <v>0</v>
      </c>
      <c r="AK50" s="3">
        <f t="shared" si="22"/>
        <v>0</v>
      </c>
      <c r="AL50" s="3">
        <f t="shared" si="22"/>
        <v>0</v>
      </c>
      <c r="AM50" s="3">
        <f t="shared" si="22"/>
        <v>0</v>
      </c>
      <c r="AN50" s="3">
        <f t="shared" si="22"/>
        <v>0</v>
      </c>
      <c r="AO50" s="3">
        <f t="shared" si="22"/>
        <v>0</v>
      </c>
      <c r="AP50" s="3">
        <f t="shared" si="22"/>
        <v>0</v>
      </c>
      <c r="AQ50" s="3">
        <f t="shared" si="22"/>
        <v>0</v>
      </c>
      <c r="AR50" s="3">
        <f t="shared" si="22"/>
        <v>0</v>
      </c>
      <c r="AS50" s="3">
        <f t="shared" si="22"/>
        <v>179.64</v>
      </c>
      <c r="AT50" s="3">
        <f t="shared" si="22"/>
        <v>250.636</v>
      </c>
      <c r="AU50" s="3">
        <f t="shared" si="22"/>
        <v>250.636</v>
      </c>
      <c r="AV50" s="3">
        <f t="shared" si="22"/>
        <v>280</v>
      </c>
      <c r="AW50" s="3">
        <v>279.98200000000003</v>
      </c>
      <c r="AX50" s="3">
        <v>291</v>
      </c>
      <c r="AY50" s="3">
        <v>302.245</v>
      </c>
      <c r="AZ50" s="3">
        <v>353.31400000000002</v>
      </c>
      <c r="BA50" s="3">
        <v>366</v>
      </c>
      <c r="BB50" s="3">
        <v>425</v>
      </c>
      <c r="BC50" s="3">
        <v>427</v>
      </c>
      <c r="BD50" s="3">
        <v>416</v>
      </c>
      <c r="BE50" s="3">
        <v>470</v>
      </c>
      <c r="BF50" s="3">
        <v>460</v>
      </c>
      <c r="BG50" s="3">
        <v>200</v>
      </c>
      <c r="BH50" s="3">
        <v>350</v>
      </c>
    </row>
    <row r="51" spans="1:62" x14ac:dyDescent="0.25">
      <c r="A51" s="3" t="s">
        <v>22</v>
      </c>
      <c r="B51" s="3" t="s">
        <v>30</v>
      </c>
      <c r="C51" s="3" t="s">
        <v>30</v>
      </c>
      <c r="D51" s="3" t="s">
        <v>114</v>
      </c>
      <c r="E51" s="3" t="s">
        <v>88</v>
      </c>
      <c r="F51" s="3" t="s">
        <v>91</v>
      </c>
      <c r="H51" s="3" t="s">
        <v>368</v>
      </c>
      <c r="S51" s="3">
        <f t="shared" ref="S51:W51" si="23">S43</f>
        <v>0</v>
      </c>
      <c r="T51" s="3">
        <f t="shared" si="23"/>
        <v>0</v>
      </c>
      <c r="U51" s="3">
        <f t="shared" si="23"/>
        <v>0</v>
      </c>
      <c r="V51" s="3">
        <f t="shared" si="23"/>
        <v>0</v>
      </c>
      <c r="W51" s="3">
        <f t="shared" si="23"/>
        <v>0</v>
      </c>
      <c r="X51" s="3">
        <f t="shared" ref="X51:AG51" si="24">X43</f>
        <v>0</v>
      </c>
      <c r="Y51" s="3">
        <f t="shared" si="24"/>
        <v>0</v>
      </c>
      <c r="Z51" s="3">
        <f t="shared" si="24"/>
        <v>0</v>
      </c>
      <c r="AA51" s="3">
        <f t="shared" si="24"/>
        <v>0</v>
      </c>
      <c r="AB51" s="3">
        <f t="shared" si="24"/>
        <v>0</v>
      </c>
      <c r="AC51" s="3">
        <f t="shared" si="24"/>
        <v>0</v>
      </c>
      <c r="AD51" s="3">
        <f t="shared" si="24"/>
        <v>0</v>
      </c>
      <c r="AE51" s="3">
        <f t="shared" si="24"/>
        <v>0</v>
      </c>
      <c r="AF51" s="3">
        <f t="shared" si="24"/>
        <v>0</v>
      </c>
      <c r="AG51" s="3">
        <f t="shared" si="24"/>
        <v>0</v>
      </c>
      <c r="AH51" s="3">
        <f t="shared" ref="AH51:AI51" si="25">AH43</f>
        <v>0</v>
      </c>
      <c r="AI51" s="3">
        <f t="shared" si="25"/>
        <v>0</v>
      </c>
      <c r="AJ51" s="3">
        <f t="shared" ref="AJ51:AV51" si="26">AJ43</f>
        <v>7619</v>
      </c>
      <c r="AK51" s="3">
        <f t="shared" si="26"/>
        <v>7934</v>
      </c>
      <c r="AL51" s="3">
        <f t="shared" si="26"/>
        <v>8929.6890000000003</v>
      </c>
      <c r="AM51" s="3">
        <f t="shared" si="26"/>
        <v>9163.9410000000007</v>
      </c>
      <c r="AN51" s="3">
        <f t="shared" si="26"/>
        <v>9110.3040000000001</v>
      </c>
      <c r="AO51" s="3">
        <f t="shared" si="26"/>
        <v>9315.8109999999997</v>
      </c>
      <c r="AP51" s="3">
        <f t="shared" si="26"/>
        <v>8814.1110000000008</v>
      </c>
      <c r="AQ51" s="3">
        <f t="shared" si="26"/>
        <v>9129.5939999999991</v>
      </c>
      <c r="AR51" s="3">
        <f t="shared" si="26"/>
        <v>9873.64</v>
      </c>
      <c r="AS51" s="3">
        <f t="shared" si="26"/>
        <v>10525.965</v>
      </c>
      <c r="AT51" s="3">
        <f t="shared" si="26"/>
        <v>11005.784</v>
      </c>
      <c r="AU51" s="3">
        <f t="shared" si="26"/>
        <v>10575.789000000001</v>
      </c>
      <c r="AV51" s="3">
        <f t="shared" si="26"/>
        <v>11204.18</v>
      </c>
      <c r="AW51" s="3">
        <v>11396.687</v>
      </c>
      <c r="AX51" s="3">
        <v>12526.511999999999</v>
      </c>
      <c r="AY51" s="3">
        <v>12927.634999999998</v>
      </c>
      <c r="AZ51" s="3">
        <v>14668.951999999999</v>
      </c>
      <c r="BA51" s="3">
        <v>15228.618</v>
      </c>
      <c r="BB51" s="3">
        <v>16704.592000000001</v>
      </c>
      <c r="BC51" s="3">
        <v>19289</v>
      </c>
      <c r="BD51" s="3">
        <v>21228</v>
      </c>
      <c r="BE51" s="3">
        <v>22677</v>
      </c>
      <c r="BF51" s="3">
        <v>24153</v>
      </c>
      <c r="BG51" s="3">
        <v>23592</v>
      </c>
      <c r="BH51" s="3">
        <v>30042</v>
      </c>
    </row>
    <row r="52" spans="1:62" x14ac:dyDescent="0.25">
      <c r="A52" s="3" t="s">
        <v>22</v>
      </c>
      <c r="B52" s="3" t="s">
        <v>31</v>
      </c>
      <c r="C52" s="3" t="s">
        <v>31</v>
      </c>
      <c r="D52" s="3" t="s">
        <v>114</v>
      </c>
      <c r="E52" s="3" t="s">
        <v>88</v>
      </c>
      <c r="F52" s="3" t="s">
        <v>91</v>
      </c>
      <c r="H52" s="3" t="s">
        <v>369</v>
      </c>
      <c r="S52" s="3">
        <f t="shared" ref="S52:W52" si="27">S44</f>
        <v>0</v>
      </c>
      <c r="T52" s="3">
        <f t="shared" si="27"/>
        <v>0</v>
      </c>
      <c r="U52" s="3">
        <f t="shared" si="27"/>
        <v>0</v>
      </c>
      <c r="V52" s="3">
        <f t="shared" si="27"/>
        <v>0</v>
      </c>
      <c r="W52" s="3">
        <f t="shared" si="27"/>
        <v>0</v>
      </c>
      <c r="X52" s="3">
        <f t="shared" ref="X52:AG52" si="28">X44</f>
        <v>0</v>
      </c>
      <c r="Y52" s="3">
        <f t="shared" si="28"/>
        <v>0</v>
      </c>
      <c r="Z52" s="3">
        <f t="shared" si="28"/>
        <v>0</v>
      </c>
      <c r="AA52" s="3">
        <f t="shared" si="28"/>
        <v>0</v>
      </c>
      <c r="AB52" s="3">
        <f t="shared" si="28"/>
        <v>0</v>
      </c>
      <c r="AC52" s="3">
        <f t="shared" si="28"/>
        <v>0</v>
      </c>
      <c r="AD52" s="3">
        <f t="shared" si="28"/>
        <v>0</v>
      </c>
      <c r="AE52" s="3">
        <f t="shared" si="28"/>
        <v>0</v>
      </c>
      <c r="AF52" s="3">
        <f t="shared" si="28"/>
        <v>0</v>
      </c>
      <c r="AG52" s="3">
        <f t="shared" si="28"/>
        <v>0</v>
      </c>
      <c r="AH52" s="3">
        <f t="shared" ref="AH52:AI52" si="29">AH44</f>
        <v>0</v>
      </c>
      <c r="AI52" s="3">
        <f t="shared" si="29"/>
        <v>0</v>
      </c>
      <c r="AJ52" s="3">
        <f t="shared" ref="AJ52:AV52" si="30">AJ44</f>
        <v>0</v>
      </c>
      <c r="AK52" s="3">
        <f t="shared" si="30"/>
        <v>0</v>
      </c>
      <c r="AL52" s="3">
        <f t="shared" si="30"/>
        <v>0</v>
      </c>
      <c r="AM52" s="3">
        <f t="shared" si="30"/>
        <v>0</v>
      </c>
      <c r="AN52" s="3">
        <f t="shared" si="30"/>
        <v>0</v>
      </c>
      <c r="AO52" s="3">
        <f t="shared" si="30"/>
        <v>0</v>
      </c>
      <c r="AP52" s="3">
        <f t="shared" si="30"/>
        <v>0</v>
      </c>
      <c r="AQ52" s="3">
        <f t="shared" si="30"/>
        <v>0</v>
      </c>
      <c r="AR52" s="3">
        <f t="shared" si="30"/>
        <v>0</v>
      </c>
      <c r="AS52" s="3">
        <f t="shared" si="30"/>
        <v>0</v>
      </c>
      <c r="AT52" s="3">
        <f t="shared" si="30"/>
        <v>0</v>
      </c>
      <c r="AU52" s="3">
        <f t="shared" si="30"/>
        <v>0</v>
      </c>
      <c r="AV52" s="3">
        <f t="shared" si="30"/>
        <v>0</v>
      </c>
      <c r="AW52" s="3">
        <v>0</v>
      </c>
      <c r="AX52" s="3">
        <v>0</v>
      </c>
      <c r="AY52" s="3">
        <v>79.2</v>
      </c>
      <c r="AZ52" s="3">
        <v>102.229</v>
      </c>
      <c r="BA52" s="3">
        <v>120</v>
      </c>
      <c r="BB52" s="3">
        <v>156</v>
      </c>
      <c r="BC52" s="3">
        <v>156</v>
      </c>
      <c r="BD52" s="3">
        <v>153</v>
      </c>
      <c r="BE52" s="3">
        <v>265</v>
      </c>
      <c r="BF52" s="3">
        <v>200</v>
      </c>
      <c r="BG52" s="3">
        <v>200</v>
      </c>
      <c r="BH52" s="3">
        <v>150</v>
      </c>
    </row>
    <row r="53" spans="1:62" s="112" customFormat="1" x14ac:dyDescent="0.25">
      <c r="A53" s="3" t="s">
        <v>22</v>
      </c>
      <c r="B53" s="1" t="s">
        <v>26</v>
      </c>
      <c r="C53" s="1" t="s">
        <v>32</v>
      </c>
      <c r="D53" s="3" t="s">
        <v>114</v>
      </c>
      <c r="E53" s="112" t="s">
        <v>88</v>
      </c>
      <c r="F53" s="3" t="s">
        <v>91</v>
      </c>
      <c r="G53" s="3"/>
      <c r="H53" s="3" t="s">
        <v>370</v>
      </c>
      <c r="AE53" s="130"/>
      <c r="AK53" s="121">
        <v>92.019000000000005</v>
      </c>
      <c r="AL53" s="121">
        <v>144.19400000000002</v>
      </c>
      <c r="AM53" s="121">
        <v>166.77199999999999</v>
      </c>
      <c r="AN53" s="121">
        <v>153</v>
      </c>
      <c r="AO53" s="121">
        <v>190</v>
      </c>
      <c r="AP53" s="121">
        <v>206</v>
      </c>
      <c r="AQ53" s="121">
        <v>165</v>
      </c>
      <c r="AR53" s="121">
        <v>170</v>
      </c>
      <c r="AS53" s="121">
        <v>96</v>
      </c>
      <c r="AT53" s="121">
        <v>101</v>
      </c>
      <c r="AU53" s="121">
        <v>95.843999999999994</v>
      </c>
      <c r="AV53" s="121">
        <v>89.518000000000001</v>
      </c>
      <c r="AW53" s="121">
        <v>94.83</v>
      </c>
      <c r="AX53" s="121">
        <v>100.95</v>
      </c>
      <c r="AY53" s="121">
        <v>101</v>
      </c>
      <c r="AZ53" s="121">
        <v>115</v>
      </c>
      <c r="BA53" s="121">
        <v>120</v>
      </c>
      <c r="BB53" s="121">
        <v>150</v>
      </c>
      <c r="BC53" s="121">
        <v>150</v>
      </c>
      <c r="BD53" s="121">
        <v>131</v>
      </c>
      <c r="BE53" s="121">
        <v>170</v>
      </c>
      <c r="BF53" s="121">
        <v>170</v>
      </c>
      <c r="BG53" s="121">
        <v>170</v>
      </c>
      <c r="BH53" s="121">
        <v>0</v>
      </c>
      <c r="BI53" s="121"/>
      <c r="BJ53" s="121"/>
    </row>
    <row r="54" spans="1:62" s="112" customFormat="1" x14ac:dyDescent="0.25">
      <c r="A54" s="3" t="s">
        <v>22</v>
      </c>
      <c r="B54" s="1" t="s">
        <v>26</v>
      </c>
      <c r="C54" s="1" t="s">
        <v>33</v>
      </c>
      <c r="D54" s="3" t="s">
        <v>114</v>
      </c>
      <c r="E54" s="112" t="s">
        <v>88</v>
      </c>
      <c r="F54" s="3" t="s">
        <v>91</v>
      </c>
      <c r="G54" s="3"/>
      <c r="H54" s="3" t="s">
        <v>371</v>
      </c>
      <c r="AE54" s="130"/>
      <c r="AK54" s="121">
        <v>82.33</v>
      </c>
      <c r="AL54" s="121">
        <v>80.730999999999995</v>
      </c>
      <c r="AM54" s="121">
        <v>84.254999999999995</v>
      </c>
      <c r="AN54" s="121">
        <v>82</v>
      </c>
      <c r="AO54" s="121">
        <v>157</v>
      </c>
      <c r="AP54" s="121">
        <v>166</v>
      </c>
      <c r="AQ54" s="121">
        <v>172</v>
      </c>
      <c r="AR54" s="121">
        <v>243</v>
      </c>
      <c r="AS54" s="121">
        <v>260</v>
      </c>
      <c r="AT54" s="121">
        <v>285</v>
      </c>
      <c r="AU54" s="121">
        <v>269.05</v>
      </c>
      <c r="AV54" s="121">
        <v>254.30500000000001</v>
      </c>
      <c r="AW54" s="121">
        <v>230.8</v>
      </c>
      <c r="AX54" s="121">
        <v>241.6</v>
      </c>
      <c r="AY54" s="121">
        <v>207.6</v>
      </c>
      <c r="AZ54" s="121">
        <v>241.6</v>
      </c>
      <c r="BA54" s="121">
        <v>246.5</v>
      </c>
      <c r="BB54" s="121">
        <v>280</v>
      </c>
      <c r="BC54" s="121">
        <v>280</v>
      </c>
      <c r="BD54" s="121">
        <v>260</v>
      </c>
      <c r="BE54" s="121">
        <v>318</v>
      </c>
      <c r="BF54" s="121">
        <v>318</v>
      </c>
      <c r="BG54" s="121">
        <v>318</v>
      </c>
      <c r="BH54" s="121">
        <v>0</v>
      </c>
      <c r="BI54" s="121"/>
      <c r="BJ54" s="121"/>
    </row>
    <row r="55" spans="1:62" s="112" customFormat="1" x14ac:dyDescent="0.25">
      <c r="A55" s="3" t="s">
        <v>22</v>
      </c>
      <c r="B55" s="1" t="s">
        <v>26</v>
      </c>
      <c r="C55" s="1" t="s">
        <v>34</v>
      </c>
      <c r="D55" s="3" t="s">
        <v>114</v>
      </c>
      <c r="E55" s="112" t="s">
        <v>88</v>
      </c>
      <c r="F55" s="3" t="s">
        <v>91</v>
      </c>
      <c r="G55" s="3"/>
      <c r="H55" s="3" t="s">
        <v>372</v>
      </c>
      <c r="AE55" s="130"/>
      <c r="AK55" s="121">
        <v>41.64</v>
      </c>
      <c r="AL55" s="121">
        <v>39.802999999999997</v>
      </c>
      <c r="AM55" s="121">
        <v>40.631</v>
      </c>
      <c r="AN55" s="121">
        <v>38</v>
      </c>
      <c r="AO55" s="121">
        <v>49</v>
      </c>
      <c r="AP55" s="121">
        <v>49</v>
      </c>
      <c r="AQ55" s="121">
        <v>54</v>
      </c>
      <c r="AR55" s="121">
        <v>79</v>
      </c>
      <c r="AS55" s="121">
        <v>79</v>
      </c>
      <c r="AT55" s="121">
        <v>92</v>
      </c>
      <c r="AU55" s="121">
        <v>86.129000000000005</v>
      </c>
      <c r="AV55" s="121">
        <v>87.034999999999997</v>
      </c>
      <c r="AW55" s="121">
        <v>105.93600000000001</v>
      </c>
      <c r="AX55" s="121">
        <v>95.45</v>
      </c>
      <c r="AY55" s="121">
        <v>90</v>
      </c>
      <c r="AZ55" s="121">
        <v>92</v>
      </c>
      <c r="BA55" s="121">
        <v>92</v>
      </c>
      <c r="BB55" s="121">
        <v>104</v>
      </c>
      <c r="BC55" s="121">
        <v>110</v>
      </c>
      <c r="BD55" s="121">
        <v>113</v>
      </c>
      <c r="BE55" s="121">
        <v>132</v>
      </c>
      <c r="BF55" s="121">
        <v>137</v>
      </c>
      <c r="BG55" s="121">
        <v>137</v>
      </c>
      <c r="BH55" s="121">
        <v>0</v>
      </c>
      <c r="BI55" s="121"/>
      <c r="BJ55" s="121"/>
    </row>
    <row r="56" spans="1:62" s="112" customFormat="1" x14ac:dyDescent="0.25">
      <c r="A56" s="3" t="s">
        <v>22</v>
      </c>
      <c r="B56" s="1" t="s">
        <v>26</v>
      </c>
      <c r="C56" s="1" t="s">
        <v>77</v>
      </c>
      <c r="D56" s="3" t="s">
        <v>114</v>
      </c>
      <c r="E56" s="112" t="s">
        <v>88</v>
      </c>
      <c r="F56" s="3" t="s">
        <v>91</v>
      </c>
      <c r="G56" s="3"/>
      <c r="H56" s="3" t="s">
        <v>373</v>
      </c>
      <c r="AE56" s="130"/>
      <c r="AK56" s="121">
        <v>5.016</v>
      </c>
      <c r="AL56" s="121">
        <v>4.673</v>
      </c>
      <c r="AM56" s="121">
        <v>4.88</v>
      </c>
      <c r="AN56" s="121">
        <v>0</v>
      </c>
      <c r="AO56" s="121">
        <v>0</v>
      </c>
      <c r="AP56" s="121">
        <v>10</v>
      </c>
      <c r="AQ56" s="121">
        <v>39</v>
      </c>
      <c r="AR56" s="121">
        <v>49</v>
      </c>
      <c r="AS56" s="121">
        <v>29</v>
      </c>
      <c r="AT56" s="121">
        <v>58</v>
      </c>
      <c r="AU56" s="121">
        <v>54.686999999999998</v>
      </c>
      <c r="AV56" s="121">
        <v>57.834000000000003</v>
      </c>
      <c r="AW56" s="121">
        <v>59.999000000000002</v>
      </c>
      <c r="AX56" s="121">
        <v>70</v>
      </c>
      <c r="AY56" s="121">
        <v>84</v>
      </c>
      <c r="AZ56" s="121">
        <v>105</v>
      </c>
      <c r="BA56" s="121">
        <v>105</v>
      </c>
      <c r="BB56" s="121">
        <v>148</v>
      </c>
      <c r="BC56" s="121">
        <v>150</v>
      </c>
      <c r="BD56" s="121">
        <v>128</v>
      </c>
      <c r="BE56" s="121">
        <v>179</v>
      </c>
      <c r="BF56" s="121">
        <v>200</v>
      </c>
      <c r="BG56" s="121">
        <v>200</v>
      </c>
      <c r="BH56" s="121">
        <v>90</v>
      </c>
      <c r="BI56" s="121"/>
      <c r="BJ56" s="121"/>
    </row>
    <row r="57" spans="1:62" s="112" customFormat="1" x14ac:dyDescent="0.25">
      <c r="A57" s="3" t="s">
        <v>22</v>
      </c>
      <c r="B57" s="1" t="s">
        <v>26</v>
      </c>
      <c r="C57" s="1" t="s">
        <v>35</v>
      </c>
      <c r="D57" s="3" t="s">
        <v>114</v>
      </c>
      <c r="E57" s="112" t="s">
        <v>88</v>
      </c>
      <c r="F57" s="3" t="s">
        <v>91</v>
      </c>
      <c r="G57" s="3"/>
      <c r="H57" s="3" t="s">
        <v>374</v>
      </c>
      <c r="AE57" s="130"/>
      <c r="AK57" s="121">
        <v>28.39</v>
      </c>
      <c r="AL57" s="121">
        <v>24.625</v>
      </c>
      <c r="AM57" s="121">
        <v>25.256</v>
      </c>
      <c r="AN57" s="121">
        <v>23</v>
      </c>
      <c r="AO57" s="121">
        <v>5</v>
      </c>
      <c r="AP57" s="121">
        <v>19</v>
      </c>
      <c r="AQ57" s="121">
        <v>43</v>
      </c>
      <c r="AR57" s="121">
        <v>43</v>
      </c>
      <c r="AS57" s="121">
        <v>37</v>
      </c>
      <c r="AT57" s="121">
        <v>37</v>
      </c>
      <c r="AU57" s="121">
        <v>35.024999999999999</v>
      </c>
      <c r="AV57" s="121">
        <v>44.802</v>
      </c>
      <c r="AW57" s="121">
        <v>54.287999999999997</v>
      </c>
      <c r="AX57" s="121">
        <v>71</v>
      </c>
      <c r="AY57" s="121">
        <v>69.5</v>
      </c>
      <c r="AZ57" s="121">
        <v>80.906000000000006</v>
      </c>
      <c r="BA57" s="121">
        <v>84</v>
      </c>
      <c r="BB57" s="121">
        <v>110</v>
      </c>
      <c r="BC57" s="121">
        <v>106</v>
      </c>
      <c r="BD57" s="121">
        <v>87</v>
      </c>
      <c r="BE57" s="121">
        <v>118</v>
      </c>
      <c r="BF57" s="121">
        <v>118</v>
      </c>
      <c r="BG57" s="121">
        <v>118</v>
      </c>
      <c r="BH57" s="121">
        <v>150</v>
      </c>
      <c r="BI57" s="121"/>
      <c r="BJ57" s="121"/>
    </row>
    <row r="58" spans="1:62" s="112" customFormat="1" x14ac:dyDescent="0.25">
      <c r="A58" s="3" t="s">
        <v>22</v>
      </c>
      <c r="B58" s="1" t="s">
        <v>26</v>
      </c>
      <c r="C58" s="1" t="s">
        <v>376</v>
      </c>
      <c r="D58" s="3" t="s">
        <v>114</v>
      </c>
      <c r="E58" s="112" t="s">
        <v>88</v>
      </c>
      <c r="F58" s="3" t="s">
        <v>91</v>
      </c>
      <c r="G58" s="3"/>
      <c r="H58" s="3" t="s">
        <v>375</v>
      </c>
      <c r="AE58" s="130"/>
      <c r="AK58" s="121">
        <v>109.333</v>
      </c>
      <c r="AL58" s="121">
        <v>91.573999999999998</v>
      </c>
      <c r="AM58" s="121">
        <v>87.471000000000004</v>
      </c>
      <c r="AN58" s="121">
        <v>89.775999999999996</v>
      </c>
      <c r="AO58" s="121">
        <v>196</v>
      </c>
      <c r="AP58" s="121">
        <v>196</v>
      </c>
      <c r="AQ58" s="121">
        <v>214</v>
      </c>
      <c r="AR58" s="121">
        <v>216</v>
      </c>
      <c r="AS58" s="121">
        <v>180</v>
      </c>
      <c r="AT58" s="121">
        <v>195</v>
      </c>
      <c r="AU58" s="121">
        <v>185.19</v>
      </c>
      <c r="AV58" s="121">
        <v>182.327</v>
      </c>
      <c r="AW58" s="121">
        <v>175.91499999999999</v>
      </c>
      <c r="AX58" s="121">
        <v>225</v>
      </c>
      <c r="AY58" s="121">
        <v>205</v>
      </c>
      <c r="AZ58" s="121">
        <v>221.54499999999999</v>
      </c>
      <c r="BA58" s="121">
        <v>226</v>
      </c>
      <c r="BB58" s="121">
        <v>259.5</v>
      </c>
      <c r="BC58" s="121">
        <v>255</v>
      </c>
      <c r="BD58" s="121">
        <v>198</v>
      </c>
      <c r="BE58" s="121">
        <v>280</v>
      </c>
      <c r="BF58" s="121">
        <v>275</v>
      </c>
      <c r="BG58" s="121">
        <v>275</v>
      </c>
      <c r="BH58" s="121">
        <v>70</v>
      </c>
      <c r="BI58" s="121"/>
      <c r="BJ58" s="121"/>
    </row>
    <row r="59" spans="1:62" s="112" customFormat="1" x14ac:dyDescent="0.25">
      <c r="A59" s="3" t="s">
        <v>22</v>
      </c>
      <c r="B59" s="1" t="s">
        <v>26</v>
      </c>
      <c r="C59" s="1" t="s">
        <v>36</v>
      </c>
      <c r="D59" s="3" t="s">
        <v>114</v>
      </c>
      <c r="E59" s="112" t="s">
        <v>88</v>
      </c>
      <c r="F59" s="3" t="s">
        <v>91</v>
      </c>
      <c r="G59" s="3"/>
      <c r="H59" s="3" t="s">
        <v>377</v>
      </c>
      <c r="AE59" s="130"/>
      <c r="AK59" s="121">
        <v>174.17099999999999</v>
      </c>
      <c r="AL59" s="121">
        <v>172.39500000000001</v>
      </c>
      <c r="AM59" s="121">
        <v>161.32599999999999</v>
      </c>
      <c r="AN59" s="121">
        <v>178</v>
      </c>
      <c r="AO59" s="121">
        <v>184</v>
      </c>
      <c r="AP59" s="121">
        <v>209</v>
      </c>
      <c r="AQ59" s="121">
        <v>267</v>
      </c>
      <c r="AR59" s="121">
        <v>304</v>
      </c>
      <c r="AS59" s="121">
        <v>293</v>
      </c>
      <c r="AT59" s="121">
        <v>321</v>
      </c>
      <c r="AU59" s="121">
        <v>303.16500000000002</v>
      </c>
      <c r="AV59" s="121">
        <v>282.20100000000002</v>
      </c>
      <c r="AW59" s="121">
        <v>272.52600000000001</v>
      </c>
      <c r="AX59" s="121">
        <v>310</v>
      </c>
      <c r="AY59" s="121">
        <v>306.959</v>
      </c>
      <c r="AZ59" s="121">
        <v>337.5</v>
      </c>
      <c r="BA59" s="121">
        <v>344</v>
      </c>
      <c r="BB59" s="121">
        <v>396</v>
      </c>
      <c r="BC59" s="121">
        <v>400</v>
      </c>
      <c r="BD59" s="121">
        <v>398</v>
      </c>
      <c r="BE59" s="121">
        <v>455</v>
      </c>
      <c r="BF59" s="121">
        <v>450</v>
      </c>
      <c r="BG59" s="121">
        <v>450</v>
      </c>
      <c r="BH59" s="121">
        <v>25</v>
      </c>
      <c r="BI59" s="121"/>
      <c r="BJ59" s="121"/>
    </row>
    <row r="60" spans="1:62" s="112" customFormat="1" x14ac:dyDescent="0.25">
      <c r="A60" s="3" t="s">
        <v>22</v>
      </c>
      <c r="B60" s="1" t="s">
        <v>26</v>
      </c>
      <c r="C60" s="1" t="s">
        <v>37</v>
      </c>
      <c r="D60" s="3" t="s">
        <v>114</v>
      </c>
      <c r="E60" s="112" t="s">
        <v>88</v>
      </c>
      <c r="F60" s="3" t="s">
        <v>91</v>
      </c>
      <c r="G60" s="3"/>
      <c r="H60" s="3" t="s">
        <v>378</v>
      </c>
      <c r="AE60" s="130"/>
      <c r="AK60" s="121">
        <v>58.326999999999998</v>
      </c>
      <c r="AL60" s="121">
        <v>57.798999999999999</v>
      </c>
      <c r="AM60" s="121">
        <v>65.155000000000001</v>
      </c>
      <c r="AN60" s="121">
        <v>68</v>
      </c>
      <c r="AO60" s="121">
        <v>103</v>
      </c>
      <c r="AP60" s="121">
        <v>107</v>
      </c>
      <c r="AQ60" s="121">
        <v>138</v>
      </c>
      <c r="AR60" s="121">
        <v>219</v>
      </c>
      <c r="AS60" s="121">
        <v>207</v>
      </c>
      <c r="AT60" s="121">
        <v>215</v>
      </c>
      <c r="AU60" s="121">
        <v>204.601</v>
      </c>
      <c r="AV60" s="121">
        <v>173.631</v>
      </c>
      <c r="AW60" s="121">
        <v>168.15299999999999</v>
      </c>
      <c r="AX60" s="121">
        <v>200.5</v>
      </c>
      <c r="AY60" s="121">
        <v>199.14099999999999</v>
      </c>
      <c r="AZ60" s="121">
        <v>220.727</v>
      </c>
      <c r="BA60" s="121">
        <v>226</v>
      </c>
      <c r="BB60" s="121">
        <v>285</v>
      </c>
      <c r="BC60" s="121">
        <v>290</v>
      </c>
      <c r="BD60" s="121">
        <v>351</v>
      </c>
      <c r="BE60" s="121">
        <v>332</v>
      </c>
      <c r="BF60" s="121">
        <v>332</v>
      </c>
      <c r="BG60" s="121">
        <v>332</v>
      </c>
      <c r="BH60" s="121">
        <v>20</v>
      </c>
      <c r="BI60" s="121"/>
      <c r="BJ60" s="121"/>
    </row>
    <row r="61" spans="1:62" s="112" customFormat="1" x14ac:dyDescent="0.25">
      <c r="A61" s="3" t="s">
        <v>22</v>
      </c>
      <c r="B61" s="1" t="s">
        <v>26</v>
      </c>
      <c r="C61" s="1" t="s">
        <v>380</v>
      </c>
      <c r="D61" s="3" t="s">
        <v>114</v>
      </c>
      <c r="E61" s="112" t="s">
        <v>88</v>
      </c>
      <c r="F61" s="3" t="s">
        <v>91</v>
      </c>
      <c r="G61" s="3"/>
      <c r="H61" s="3" t="s">
        <v>379</v>
      </c>
      <c r="AE61" s="130"/>
      <c r="AK61" s="121">
        <v>96.823999999999998</v>
      </c>
      <c r="AL61" s="121">
        <v>90.45</v>
      </c>
      <c r="AM61" s="121">
        <v>73.370999999999995</v>
      </c>
      <c r="AN61" s="121">
        <v>56</v>
      </c>
      <c r="AO61" s="121">
        <v>56</v>
      </c>
      <c r="AP61" s="121">
        <v>63</v>
      </c>
      <c r="AQ61" s="121">
        <v>88</v>
      </c>
      <c r="AR61" s="121">
        <v>94</v>
      </c>
      <c r="AS61" s="121">
        <v>106</v>
      </c>
      <c r="AT61" s="121">
        <v>113</v>
      </c>
      <c r="AU61" s="121">
        <v>114.254</v>
      </c>
      <c r="AV61" s="121">
        <v>175.4</v>
      </c>
      <c r="AW61" s="121">
        <v>194.17500000000001</v>
      </c>
      <c r="AX61" s="121">
        <v>228.5</v>
      </c>
      <c r="AY61" s="121">
        <v>257.5</v>
      </c>
      <c r="AZ61" s="121">
        <v>305</v>
      </c>
      <c r="BA61" s="121">
        <v>320</v>
      </c>
      <c r="BB61" s="121">
        <v>395</v>
      </c>
      <c r="BC61" s="121">
        <v>396</v>
      </c>
      <c r="BD61" s="121">
        <v>403</v>
      </c>
      <c r="BE61" s="121">
        <v>450</v>
      </c>
      <c r="BF61" s="121">
        <v>215</v>
      </c>
      <c r="BG61" s="121">
        <v>215</v>
      </c>
      <c r="BH61" s="121">
        <v>70</v>
      </c>
      <c r="BI61" s="121"/>
      <c r="BJ61" s="121"/>
    </row>
    <row r="62" spans="1:62" s="112" customFormat="1" x14ac:dyDescent="0.25">
      <c r="A62" s="1" t="s">
        <v>63</v>
      </c>
      <c r="B62" s="1" t="s">
        <v>282</v>
      </c>
      <c r="C62" s="1" t="s">
        <v>282</v>
      </c>
      <c r="D62" s="3" t="s">
        <v>114</v>
      </c>
      <c r="E62" s="112" t="s">
        <v>60</v>
      </c>
      <c r="F62" s="3" t="s">
        <v>91</v>
      </c>
      <c r="G62" s="3"/>
      <c r="H62" s="3"/>
      <c r="AA62" s="112">
        <v>4908.7</v>
      </c>
      <c r="AB62" s="112">
        <v>5792.5</v>
      </c>
      <c r="AC62" s="112">
        <v>5943.6</v>
      </c>
      <c r="AD62" s="135">
        <v>5670.4</v>
      </c>
      <c r="AE62" s="3">
        <v>5453.1</v>
      </c>
      <c r="AF62" s="3">
        <v>5552</v>
      </c>
      <c r="AG62" s="3">
        <v>5653.9</v>
      </c>
      <c r="AH62" s="3">
        <v>6527.9</v>
      </c>
      <c r="AI62" s="3">
        <v>7066.9</v>
      </c>
      <c r="AJ62" s="3">
        <v>8047.8</v>
      </c>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row>
    <row r="63" spans="1:62" s="112" customFormat="1" x14ac:dyDescent="0.25">
      <c r="A63" s="1" t="s">
        <v>63</v>
      </c>
      <c r="B63" s="3" t="s">
        <v>289</v>
      </c>
      <c r="C63" s="3" t="s">
        <v>289</v>
      </c>
      <c r="D63" s="3" t="s">
        <v>114</v>
      </c>
      <c r="E63" s="112" t="s">
        <v>60</v>
      </c>
      <c r="F63" s="3" t="s">
        <v>91</v>
      </c>
      <c r="G63" s="3"/>
      <c r="H63" s="3"/>
      <c r="AA63" s="112">
        <v>2247.8000000000002</v>
      </c>
      <c r="AB63" s="112">
        <v>1946.4</v>
      </c>
      <c r="AC63" s="112">
        <v>1901.8</v>
      </c>
      <c r="AD63" s="135">
        <v>2164.8000000000002</v>
      </c>
      <c r="AE63" s="3">
        <v>2179.8000000000002</v>
      </c>
      <c r="AF63" s="3">
        <v>2378</v>
      </c>
      <c r="AG63" s="3">
        <v>2322</v>
      </c>
      <c r="AH63" s="3">
        <v>3014</v>
      </c>
      <c r="AI63" s="3">
        <v>2862</v>
      </c>
      <c r="AJ63" s="3">
        <v>8291</v>
      </c>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row>
    <row r="64" spans="1:62" s="112" customFormat="1" x14ac:dyDescent="0.25">
      <c r="A64" s="1" t="s">
        <v>63</v>
      </c>
      <c r="B64" s="3" t="s">
        <v>290</v>
      </c>
      <c r="C64" s="3" t="s">
        <v>290</v>
      </c>
      <c r="D64" s="3" t="s">
        <v>114</v>
      </c>
      <c r="E64" s="112" t="s">
        <v>60</v>
      </c>
      <c r="F64" s="3" t="s">
        <v>91</v>
      </c>
      <c r="G64" s="3"/>
      <c r="H64" s="3"/>
      <c r="AA64" s="112">
        <v>1658.3</v>
      </c>
      <c r="AB64" s="112">
        <v>1686.6</v>
      </c>
      <c r="AC64" s="112">
        <v>1640.2</v>
      </c>
      <c r="AD64" s="135">
        <v>1618.7</v>
      </c>
      <c r="AE64" s="3">
        <v>1719</v>
      </c>
      <c r="AF64" s="3">
        <v>1638</v>
      </c>
      <c r="AG64" s="3">
        <v>1741</v>
      </c>
      <c r="AH64" s="3"/>
      <c r="AI64" s="3"/>
      <c r="AJ64" s="3"/>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row>
    <row r="65" spans="1:60" x14ac:dyDescent="0.25">
      <c r="A65" s="1" t="s">
        <v>63</v>
      </c>
      <c r="B65" s="3" t="s">
        <v>38</v>
      </c>
      <c r="C65" s="3" t="s">
        <v>38</v>
      </c>
      <c r="D65" s="3" t="s">
        <v>114</v>
      </c>
      <c r="E65" s="3" t="s">
        <v>60</v>
      </c>
      <c r="F65" s="3" t="s">
        <v>91</v>
      </c>
      <c r="AK65" s="3">
        <v>4488.5999999999995</v>
      </c>
      <c r="AL65" s="3">
        <v>4452.6608283576252</v>
      </c>
      <c r="AM65" s="3">
        <v>4418.3417101087589</v>
      </c>
      <c r="AN65" s="3">
        <v>4226.9404571045079</v>
      </c>
      <c r="AO65" s="3">
        <v>4609.8999999999996</v>
      </c>
      <c r="AP65" s="3">
        <v>4733.2</v>
      </c>
      <c r="AQ65" s="3">
        <v>4503</v>
      </c>
      <c r="AR65" s="3">
        <v>4497.6000000000004</v>
      </c>
      <c r="AS65" s="3">
        <v>4919.7</v>
      </c>
      <c r="AT65" s="3">
        <v>5073.7</v>
      </c>
      <c r="AU65" s="3">
        <v>4781.6000000000004</v>
      </c>
      <c r="AV65" s="3">
        <v>5148.1000000000004</v>
      </c>
      <c r="AW65" s="3">
        <v>5243</v>
      </c>
      <c r="AX65" s="3">
        <v>5584.2</v>
      </c>
      <c r="AY65" s="3">
        <v>5762.2</v>
      </c>
      <c r="AZ65" s="3">
        <v>6745.2</v>
      </c>
      <c r="BA65" s="132">
        <v>6886.5999999999995</v>
      </c>
      <c r="BB65" s="132">
        <v>7143.0999999999995</v>
      </c>
      <c r="BC65" s="132">
        <v>7705.4000000000005</v>
      </c>
      <c r="BD65" s="132">
        <v>7614.4</v>
      </c>
      <c r="BE65" s="132">
        <v>7795</v>
      </c>
      <c r="BF65" s="132">
        <v>7334.2</v>
      </c>
      <c r="BG65" s="132">
        <v>7334.2</v>
      </c>
      <c r="BH65" s="132">
        <v>3907.6</v>
      </c>
    </row>
    <row r="66" spans="1:60" x14ac:dyDescent="0.25">
      <c r="A66" s="3" t="s">
        <v>63</v>
      </c>
      <c r="B66" s="3" t="s">
        <v>38</v>
      </c>
      <c r="C66" s="136" t="s">
        <v>116</v>
      </c>
      <c r="D66" s="3" t="s">
        <v>114</v>
      </c>
      <c r="E66" s="3" t="s">
        <v>88</v>
      </c>
      <c r="F66" s="3" t="s">
        <v>91</v>
      </c>
      <c r="AO66" s="3">
        <v>1198.5000000000002</v>
      </c>
      <c r="AP66" s="3">
        <v>1280.2999999999997</v>
      </c>
      <c r="AQ66" s="3">
        <v>1377.3</v>
      </c>
      <c r="AR66" s="3">
        <v>1420.7</v>
      </c>
      <c r="AS66" s="3">
        <v>1721.9</v>
      </c>
      <c r="AT66" s="3">
        <v>1765.7</v>
      </c>
      <c r="AU66" s="3">
        <v>1659.2</v>
      </c>
      <c r="AV66" s="3">
        <v>1824.9</v>
      </c>
      <c r="AW66" s="3">
        <v>1784.1</v>
      </c>
      <c r="AX66" s="3">
        <v>1926.6</v>
      </c>
      <c r="AY66" s="3">
        <v>1907.7</v>
      </c>
      <c r="AZ66" s="3">
        <v>1921</v>
      </c>
      <c r="BA66" s="132">
        <v>1931</v>
      </c>
      <c r="BB66" s="132">
        <v>1971.8</v>
      </c>
      <c r="BC66" s="132">
        <v>1996.5</v>
      </c>
      <c r="BD66" s="132">
        <v>2061.1999999999998</v>
      </c>
      <c r="BE66" s="132">
        <v>2175</v>
      </c>
      <c r="BF66" s="132">
        <v>2195</v>
      </c>
      <c r="BG66" s="132">
        <v>2195</v>
      </c>
      <c r="BH66" s="132">
        <v>1035.9000000000001</v>
      </c>
    </row>
    <row r="67" spans="1:60" x14ac:dyDescent="0.25">
      <c r="A67" s="3" t="s">
        <v>63</v>
      </c>
      <c r="B67" s="3" t="s">
        <v>38</v>
      </c>
      <c r="C67" s="136" t="s">
        <v>117</v>
      </c>
      <c r="D67" s="3" t="s">
        <v>114</v>
      </c>
      <c r="E67" s="3" t="s">
        <v>88</v>
      </c>
      <c r="F67" s="3" t="s">
        <v>91</v>
      </c>
      <c r="AO67" s="3">
        <v>1215.5999999999999</v>
      </c>
      <c r="AP67" s="3">
        <v>1247.5</v>
      </c>
      <c r="AQ67" s="3">
        <v>1288.0999999999999</v>
      </c>
      <c r="AR67" s="3">
        <v>1341.3</v>
      </c>
      <c r="AS67" s="3">
        <v>1450.8</v>
      </c>
      <c r="AT67" s="3">
        <v>1501.4</v>
      </c>
      <c r="AU67" s="3">
        <v>1274.5999999999999</v>
      </c>
      <c r="AV67" s="3">
        <v>1345.7</v>
      </c>
      <c r="AW67" s="3">
        <v>1446.7</v>
      </c>
      <c r="AX67" s="3">
        <v>1628</v>
      </c>
      <c r="AY67" s="3">
        <v>1827.5</v>
      </c>
      <c r="AZ67" s="3">
        <v>2227.9</v>
      </c>
      <c r="BA67" s="132">
        <v>2746.7</v>
      </c>
      <c r="BB67" s="132">
        <v>2712.6</v>
      </c>
      <c r="BC67" s="132">
        <v>2693.2</v>
      </c>
      <c r="BD67" s="132">
        <v>3120.4</v>
      </c>
      <c r="BE67" s="132">
        <v>3216.5</v>
      </c>
      <c r="BF67" s="132">
        <v>2716.7</v>
      </c>
      <c r="BG67" s="132">
        <v>2716.7</v>
      </c>
      <c r="BH67" s="132">
        <v>1891.3</v>
      </c>
    </row>
    <row r="68" spans="1:60" x14ac:dyDescent="0.25">
      <c r="A68" s="3" t="s">
        <v>63</v>
      </c>
      <c r="B68" s="3" t="s">
        <v>38</v>
      </c>
      <c r="C68" s="136" t="s">
        <v>118</v>
      </c>
      <c r="D68" s="3" t="s">
        <v>114</v>
      </c>
      <c r="E68" s="3" t="s">
        <v>88</v>
      </c>
      <c r="F68" s="3" t="s">
        <v>91</v>
      </c>
      <c r="AO68" s="3">
        <v>1365</v>
      </c>
      <c r="AP68" s="3">
        <v>1337.5</v>
      </c>
      <c r="AQ68" s="3">
        <v>1229.9000000000001</v>
      </c>
      <c r="AR68" s="3">
        <v>1103.9000000000001</v>
      </c>
      <c r="AS68" s="3">
        <v>631.1</v>
      </c>
      <c r="AT68" s="3">
        <v>648.4</v>
      </c>
      <c r="AU68" s="3">
        <v>617</v>
      </c>
      <c r="AV68" s="3">
        <v>678.3</v>
      </c>
      <c r="AW68" s="3">
        <v>730.7</v>
      </c>
      <c r="AX68" s="3">
        <v>762.4</v>
      </c>
      <c r="AY68" s="3">
        <v>1352.3</v>
      </c>
      <c r="AZ68" s="3">
        <v>1384.1</v>
      </c>
      <c r="BA68" s="132">
        <v>1191.0999999999999</v>
      </c>
      <c r="BB68" s="132">
        <v>1306.2</v>
      </c>
      <c r="BC68" s="132">
        <v>1770.9</v>
      </c>
      <c r="BD68" s="132">
        <v>1568.9</v>
      </c>
      <c r="BE68" s="132">
        <v>1510</v>
      </c>
      <c r="BF68" s="132">
        <v>1530</v>
      </c>
      <c r="BG68" s="132">
        <v>1530</v>
      </c>
      <c r="BH68" s="132">
        <v>523</v>
      </c>
    </row>
    <row r="69" spans="1:60" x14ac:dyDescent="0.25">
      <c r="A69" s="3" t="s">
        <v>63</v>
      </c>
      <c r="B69" s="3" t="s">
        <v>38</v>
      </c>
      <c r="C69" s="136" t="s">
        <v>119</v>
      </c>
      <c r="D69" s="3" t="s">
        <v>114</v>
      </c>
      <c r="E69" s="3" t="s">
        <v>88</v>
      </c>
      <c r="F69" s="3" t="s">
        <v>91</v>
      </c>
      <c r="AO69" s="3">
        <v>830.79999999999984</v>
      </c>
      <c r="AP69" s="3">
        <v>840.89999999999986</v>
      </c>
      <c r="AQ69" s="3">
        <v>607.79999999999995</v>
      </c>
      <c r="AR69" s="3">
        <v>627.4</v>
      </c>
      <c r="AS69" s="3">
        <v>639.20000000000005</v>
      </c>
      <c r="AT69" s="3">
        <v>644.9</v>
      </c>
      <c r="AU69" s="3">
        <v>603.20000000000005</v>
      </c>
      <c r="AV69" s="3">
        <v>641</v>
      </c>
      <c r="AW69" s="3">
        <v>636.1</v>
      </c>
      <c r="AX69" s="3">
        <v>647.20000000000005</v>
      </c>
      <c r="AY69" s="3">
        <v>674.7</v>
      </c>
      <c r="AZ69" s="3">
        <v>688.5</v>
      </c>
      <c r="BA69" s="132">
        <v>712.7</v>
      </c>
      <c r="BB69" s="132">
        <v>724.5</v>
      </c>
      <c r="BC69" s="132">
        <v>751</v>
      </c>
      <c r="BD69" s="132">
        <v>777.9</v>
      </c>
      <c r="BE69" s="132">
        <v>805</v>
      </c>
      <c r="BF69" s="132">
        <v>805</v>
      </c>
      <c r="BG69" s="132">
        <v>805</v>
      </c>
      <c r="BH69" s="132">
        <v>432.5</v>
      </c>
    </row>
    <row r="70" spans="1:60" x14ac:dyDescent="0.25">
      <c r="A70" s="3" t="s">
        <v>63</v>
      </c>
      <c r="B70" s="3" t="s">
        <v>38</v>
      </c>
      <c r="C70" s="136" t="s">
        <v>120</v>
      </c>
      <c r="D70" s="3" t="s">
        <v>114</v>
      </c>
      <c r="E70" s="3" t="s">
        <v>88</v>
      </c>
      <c r="F70" s="3" t="s">
        <v>91</v>
      </c>
      <c r="BA70" s="132"/>
      <c r="BB70" s="132">
        <v>5</v>
      </c>
      <c r="BC70" s="132">
        <v>79.099999999999994</v>
      </c>
      <c r="BD70" s="132">
        <v>82.5</v>
      </c>
      <c r="BE70" s="132">
        <v>85</v>
      </c>
      <c r="BF70" s="132">
        <v>87.5</v>
      </c>
      <c r="BG70" s="132">
        <v>87.5</v>
      </c>
      <c r="BH70" s="132">
        <v>25</v>
      </c>
    </row>
    <row r="71" spans="1:60" x14ac:dyDescent="0.25">
      <c r="A71" s="3" t="s">
        <v>63</v>
      </c>
      <c r="B71" s="3" t="s">
        <v>39</v>
      </c>
      <c r="C71" s="3" t="s">
        <v>39</v>
      </c>
      <c r="D71" s="3" t="s">
        <v>114</v>
      </c>
      <c r="E71" s="3" t="s">
        <v>60</v>
      </c>
      <c r="F71" s="3" t="s">
        <v>91</v>
      </c>
      <c r="AH71" s="3">
        <v>563.86599999999999</v>
      </c>
      <c r="AI71" s="3">
        <v>572.5</v>
      </c>
      <c r="AJ71" s="3">
        <v>645.79999999999995</v>
      </c>
      <c r="AK71" s="3">
        <v>599.09999999999991</v>
      </c>
      <c r="AL71" s="3">
        <v>840.31071884859068</v>
      </c>
      <c r="AM71" s="3">
        <v>772.583380312023</v>
      </c>
      <c r="AN71" s="3">
        <v>719.88392180256767</v>
      </c>
      <c r="AO71" s="3">
        <v>593.79999999999995</v>
      </c>
      <c r="AP71" s="3">
        <v>511.4</v>
      </c>
      <c r="AQ71" s="3">
        <v>500</v>
      </c>
      <c r="AR71" s="3">
        <v>497</v>
      </c>
      <c r="AS71" s="3">
        <v>533.5</v>
      </c>
      <c r="AT71" s="3">
        <v>569.4</v>
      </c>
      <c r="AU71" s="3">
        <v>529.5</v>
      </c>
      <c r="AV71" s="3">
        <v>566</v>
      </c>
      <c r="AW71" s="3">
        <v>642</v>
      </c>
      <c r="AX71" s="3">
        <v>633.79999999999995</v>
      </c>
      <c r="AY71" s="3">
        <v>656</v>
      </c>
      <c r="AZ71" s="3">
        <v>690</v>
      </c>
      <c r="BA71" s="132">
        <v>724.8</v>
      </c>
      <c r="BB71" s="132">
        <v>783.9</v>
      </c>
      <c r="BC71" s="132">
        <v>828.7</v>
      </c>
      <c r="BD71" s="132">
        <v>880.7</v>
      </c>
      <c r="BE71" s="132">
        <v>935</v>
      </c>
      <c r="BF71" s="132">
        <v>935</v>
      </c>
      <c r="BG71" s="132">
        <v>935</v>
      </c>
      <c r="BH71" s="132">
        <v>588.70000000000005</v>
      </c>
    </row>
    <row r="72" spans="1:60" x14ac:dyDescent="0.25">
      <c r="A72" s="1" t="s">
        <v>63</v>
      </c>
      <c r="B72" s="3" t="s">
        <v>40</v>
      </c>
      <c r="C72" s="3" t="s">
        <v>40</v>
      </c>
      <c r="D72" s="3" t="s">
        <v>114</v>
      </c>
      <c r="E72" s="3" t="s">
        <v>60</v>
      </c>
      <c r="F72" s="3" t="s">
        <v>91</v>
      </c>
      <c r="AR72" s="3">
        <v>275</v>
      </c>
      <c r="AS72" s="3">
        <v>456</v>
      </c>
      <c r="AT72" s="3">
        <v>573.70000000000005</v>
      </c>
      <c r="AU72" s="3">
        <v>614.5</v>
      </c>
      <c r="AV72" s="3">
        <v>576</v>
      </c>
      <c r="AW72" s="3">
        <v>600.29999999999995</v>
      </c>
      <c r="AX72" s="3">
        <v>686.4</v>
      </c>
      <c r="AY72" s="3">
        <v>826.5</v>
      </c>
      <c r="AZ72" s="3">
        <v>760</v>
      </c>
      <c r="BA72" s="132">
        <v>926.9</v>
      </c>
      <c r="BB72" s="132">
        <v>1100</v>
      </c>
      <c r="BC72" s="132">
        <v>1100</v>
      </c>
      <c r="BD72" s="132">
        <v>1100</v>
      </c>
      <c r="BE72" s="132">
        <v>1200</v>
      </c>
      <c r="BF72" s="132">
        <v>1100</v>
      </c>
      <c r="BG72" s="132">
        <v>1100</v>
      </c>
      <c r="BH72" s="132">
        <v>568.9</v>
      </c>
    </row>
    <row r="73" spans="1:60" x14ac:dyDescent="0.25">
      <c r="A73" s="1" t="s">
        <v>63</v>
      </c>
      <c r="B73" s="3" t="s">
        <v>41</v>
      </c>
      <c r="C73" s="3" t="s">
        <v>41</v>
      </c>
      <c r="D73" s="3" t="s">
        <v>114</v>
      </c>
      <c r="E73" s="3" t="s">
        <v>60</v>
      </c>
      <c r="F73" s="3" t="s">
        <v>91</v>
      </c>
      <c r="AH73" s="3">
        <v>1230.6289999999999</v>
      </c>
      <c r="AI73" s="3">
        <v>1575</v>
      </c>
      <c r="AJ73" s="3">
        <v>1617.3</v>
      </c>
      <c r="AK73" s="3">
        <v>1961.1999999999998</v>
      </c>
      <c r="AL73" s="3">
        <v>2222.0366236018044</v>
      </c>
      <c r="AM73" s="3">
        <v>1774.2915406687657</v>
      </c>
      <c r="AN73" s="3">
        <v>2458.2601319861301</v>
      </c>
      <c r="AO73" s="3">
        <v>2869.8</v>
      </c>
      <c r="AP73" s="3">
        <v>3299.4</v>
      </c>
      <c r="AQ73" s="3">
        <v>3505.5</v>
      </c>
      <c r="AR73" s="3">
        <v>3625.8</v>
      </c>
      <c r="AS73" s="3">
        <v>3821.2</v>
      </c>
      <c r="AT73" s="3">
        <v>3706.9</v>
      </c>
      <c r="AU73" s="3">
        <v>3705.4999999999995</v>
      </c>
      <c r="AV73" s="3">
        <v>4113.2</v>
      </c>
      <c r="AW73" s="3">
        <v>3542.8</v>
      </c>
      <c r="AX73" s="3">
        <v>3996.2000000000003</v>
      </c>
      <c r="AY73" s="3">
        <v>4184</v>
      </c>
      <c r="AZ73" s="3">
        <v>4790</v>
      </c>
      <c r="BA73" s="132">
        <v>4086.8</v>
      </c>
      <c r="BB73" s="132">
        <v>4512.8</v>
      </c>
      <c r="BC73" s="132">
        <v>6210.7999999999993</v>
      </c>
      <c r="BD73" s="132">
        <v>6604.2999999999993</v>
      </c>
      <c r="BE73" s="132">
        <v>7619</v>
      </c>
      <c r="BF73" s="132">
        <v>7666.2</v>
      </c>
      <c r="BG73" s="132">
        <v>7666.2</v>
      </c>
      <c r="BH73" s="132">
        <v>8312.9</v>
      </c>
    </row>
    <row r="74" spans="1:60" x14ac:dyDescent="0.25">
      <c r="A74" s="1" t="s">
        <v>63</v>
      </c>
      <c r="B74" s="3" t="s">
        <v>42</v>
      </c>
      <c r="C74" s="3" t="s">
        <v>42</v>
      </c>
      <c r="D74" s="3" t="s">
        <v>114</v>
      </c>
      <c r="E74" s="3" t="s">
        <v>60</v>
      </c>
      <c r="F74" s="3" t="s">
        <v>91</v>
      </c>
      <c r="AK74" s="3">
        <v>5116</v>
      </c>
      <c r="AL74" s="3">
        <v>4683.4918291919803</v>
      </c>
      <c r="AM74" s="3">
        <v>5713.5833689104529</v>
      </c>
      <c r="AN74" s="3">
        <v>5564.9154891067938</v>
      </c>
      <c r="AO74" s="3">
        <v>5113.5</v>
      </c>
      <c r="AP74" s="3">
        <v>5427.2</v>
      </c>
      <c r="AQ74" s="3">
        <v>5764.7</v>
      </c>
      <c r="AR74" s="3">
        <v>6141.8</v>
      </c>
      <c r="AS74" s="3">
        <v>5146.3</v>
      </c>
      <c r="AT74" s="3">
        <v>4184</v>
      </c>
      <c r="AU74" s="3">
        <v>3724.9000000000005</v>
      </c>
      <c r="AV74" s="3">
        <v>3774</v>
      </c>
      <c r="AW74" s="3">
        <v>4625.5</v>
      </c>
      <c r="AX74" s="3">
        <v>5032.3</v>
      </c>
      <c r="AY74" s="3">
        <v>4942.5</v>
      </c>
      <c r="AZ74" s="3">
        <v>4749.1000000000004</v>
      </c>
      <c r="BA74" s="132">
        <v>4640.3999999999996</v>
      </c>
      <c r="BB74" s="132">
        <v>4134.7</v>
      </c>
      <c r="BC74" s="132">
        <v>4101.8999999999996</v>
      </c>
      <c r="BD74" s="132">
        <v>3974.9</v>
      </c>
      <c r="BE74" s="132">
        <v>4267</v>
      </c>
      <c r="BF74" s="132">
        <v>4220</v>
      </c>
      <c r="BG74" s="132">
        <v>4220</v>
      </c>
      <c r="BH74" s="132">
        <v>3131.9</v>
      </c>
    </row>
    <row r="75" spans="1:60" x14ac:dyDescent="0.25">
      <c r="A75" s="1" t="s">
        <v>63</v>
      </c>
      <c r="B75" s="3" t="s">
        <v>43</v>
      </c>
      <c r="C75" s="3" t="s">
        <v>43</v>
      </c>
      <c r="D75" s="3" t="s">
        <v>114</v>
      </c>
      <c r="E75" s="3" t="s">
        <v>60</v>
      </c>
      <c r="F75" s="3" t="s">
        <v>91</v>
      </c>
      <c r="AK75" s="3">
        <v>2999.8999999999996</v>
      </c>
      <c r="AL75" s="3">
        <v>3142.7000000000003</v>
      </c>
      <c r="AM75" s="3">
        <v>3307.4</v>
      </c>
      <c r="AN75" s="3">
        <v>3494.2</v>
      </c>
      <c r="AO75" s="3">
        <v>2949.9</v>
      </c>
      <c r="AP75" s="3">
        <v>3251.4</v>
      </c>
      <c r="AQ75" s="3">
        <v>3356.4</v>
      </c>
      <c r="AR75" s="3">
        <v>3470.4</v>
      </c>
      <c r="AS75" s="3">
        <v>3389.3</v>
      </c>
      <c r="AT75" s="3">
        <v>3488.4</v>
      </c>
      <c r="AU75" s="3">
        <v>3357.5</v>
      </c>
      <c r="AV75" s="3">
        <v>3315</v>
      </c>
      <c r="AW75" s="3">
        <v>3200.7</v>
      </c>
      <c r="AX75" s="3">
        <v>3199.7999999999997</v>
      </c>
      <c r="AY75" s="3">
        <v>3144.2</v>
      </c>
      <c r="AZ75" s="3">
        <v>3396.4</v>
      </c>
      <c r="BA75" s="132">
        <v>3127.2</v>
      </c>
      <c r="BB75" s="132">
        <v>3359.1000000000004</v>
      </c>
      <c r="BC75" s="132">
        <v>3365</v>
      </c>
      <c r="BD75" s="132">
        <v>3437.4</v>
      </c>
      <c r="BE75" s="132">
        <v>3740.451</v>
      </c>
      <c r="BF75" s="132">
        <v>3429</v>
      </c>
      <c r="BG75" s="132">
        <v>3392.3270000000002</v>
      </c>
      <c r="BH75" s="132">
        <v>2259.4</v>
      </c>
    </row>
    <row r="76" spans="1:60" x14ac:dyDescent="0.25">
      <c r="A76" s="1" t="s">
        <v>63</v>
      </c>
      <c r="B76" s="3" t="s">
        <v>44</v>
      </c>
      <c r="C76" s="3" t="s">
        <v>44</v>
      </c>
      <c r="D76" s="3" t="s">
        <v>114</v>
      </c>
      <c r="E76" s="3" t="s">
        <v>60</v>
      </c>
      <c r="F76" s="3" t="s">
        <v>91</v>
      </c>
      <c r="G76" s="3" t="s">
        <v>465</v>
      </c>
      <c r="AB76" s="3">
        <v>85.5</v>
      </c>
      <c r="AC76" s="3">
        <v>102.2</v>
      </c>
      <c r="AD76" s="3">
        <v>109.9</v>
      </c>
      <c r="AE76" s="3">
        <v>120.4</v>
      </c>
      <c r="AF76" s="3">
        <v>130</v>
      </c>
      <c r="AG76" s="3">
        <v>138.5</v>
      </c>
      <c r="AH76" s="3">
        <v>138.80000000000001</v>
      </c>
      <c r="AI76" s="3">
        <v>132.69999999999999</v>
      </c>
      <c r="AJ76" s="3">
        <v>227.3</v>
      </c>
      <c r="AK76" s="3">
        <v>198.6</v>
      </c>
      <c r="AL76" s="3">
        <v>230.4</v>
      </c>
      <c r="AM76" s="3">
        <v>178.9</v>
      </c>
      <c r="AN76" s="3">
        <v>162.4</v>
      </c>
      <c r="AO76" s="3">
        <v>115.9</v>
      </c>
      <c r="AP76" s="3">
        <v>146.80000000000001</v>
      </c>
      <c r="AQ76" s="3">
        <v>169.2</v>
      </c>
      <c r="AR76" s="3">
        <v>180.1</v>
      </c>
      <c r="AS76" s="3">
        <v>145.4</v>
      </c>
      <c r="AT76" s="3">
        <v>136.1</v>
      </c>
      <c r="AU76" s="3">
        <v>116.3</v>
      </c>
      <c r="AV76" s="3">
        <v>116.6</v>
      </c>
      <c r="AW76" s="3">
        <v>119</v>
      </c>
      <c r="AX76" s="3">
        <v>115</v>
      </c>
      <c r="AY76" s="3">
        <v>100</v>
      </c>
      <c r="AZ76" s="3">
        <v>100</v>
      </c>
      <c r="BA76" s="132">
        <v>110</v>
      </c>
      <c r="BB76" s="132">
        <v>120</v>
      </c>
      <c r="BC76" s="132">
        <v>127</v>
      </c>
      <c r="BD76" s="132">
        <v>137</v>
      </c>
      <c r="BE76" s="132">
        <v>143.5</v>
      </c>
      <c r="BF76" s="132">
        <v>143</v>
      </c>
      <c r="BG76" s="132">
        <v>143</v>
      </c>
      <c r="BH76" s="132">
        <v>0</v>
      </c>
    </row>
    <row r="77" spans="1:60" x14ac:dyDescent="0.25">
      <c r="A77" s="1" t="s">
        <v>63</v>
      </c>
      <c r="B77" s="3" t="s">
        <v>14</v>
      </c>
      <c r="C77" s="3" t="s">
        <v>14</v>
      </c>
      <c r="D77" s="3" t="s">
        <v>114</v>
      </c>
      <c r="E77" s="3" t="s">
        <v>60</v>
      </c>
      <c r="F77" s="3" t="s">
        <v>91</v>
      </c>
      <c r="H77" s="3" t="s">
        <v>335</v>
      </c>
      <c r="AB77" s="3">
        <v>14.7</v>
      </c>
      <c r="AC77" s="3">
        <v>16</v>
      </c>
      <c r="AD77" s="3">
        <v>15.9</v>
      </c>
      <c r="AE77" s="3">
        <v>16.8</v>
      </c>
      <c r="AF77" s="3">
        <v>18.3</v>
      </c>
      <c r="AG77" s="3">
        <v>20</v>
      </c>
      <c r="AH77" s="3">
        <v>19.999999999997442</v>
      </c>
      <c r="AI77" s="3">
        <v>22.900000000001739</v>
      </c>
      <c r="AJ77" s="3">
        <v>23.700000000000898</v>
      </c>
      <c r="AK77" s="3">
        <v>25.000000000000369</v>
      </c>
      <c r="AL77" s="3">
        <v>27.100000000001359</v>
      </c>
      <c r="AM77" s="3">
        <v>31.299999999998448</v>
      </c>
      <c r="AN77" s="3">
        <v>32.000000000002359</v>
      </c>
      <c r="AO77" s="3">
        <v>32.199999999999903</v>
      </c>
      <c r="AP77" s="3">
        <v>32.60000000000008</v>
      </c>
      <c r="AQ77" s="3">
        <v>33.600000000001558</v>
      </c>
      <c r="AR77" s="3">
        <v>36.600000000001188</v>
      </c>
      <c r="AS77" s="3">
        <v>36.599999999998175</v>
      </c>
      <c r="AT77" s="3">
        <v>38.299999999999187</v>
      </c>
      <c r="AU77" s="3">
        <v>35.299999999999997</v>
      </c>
      <c r="AV77" s="3">
        <v>37.500000000001279</v>
      </c>
      <c r="AW77" s="3">
        <v>37</v>
      </c>
      <c r="AX77" s="3">
        <v>37.400000000005548</v>
      </c>
      <c r="AY77" s="3">
        <v>37.899999999998727</v>
      </c>
      <c r="AZ77" s="3">
        <v>39.000000000003183</v>
      </c>
      <c r="BA77" s="132">
        <v>39.299999999999997</v>
      </c>
      <c r="BB77" s="132">
        <v>44.2</v>
      </c>
      <c r="BC77" s="132">
        <v>44.2</v>
      </c>
      <c r="BD77" s="132">
        <v>45.3</v>
      </c>
      <c r="BE77" s="132">
        <v>47.6</v>
      </c>
      <c r="BF77" s="132">
        <v>47.6</v>
      </c>
      <c r="BG77" s="132">
        <v>47.6</v>
      </c>
      <c r="BH77" s="132">
        <v>40.700000000000003</v>
      </c>
    </row>
    <row r="78" spans="1:60" x14ac:dyDescent="0.25">
      <c r="A78" s="1" t="s">
        <v>63</v>
      </c>
      <c r="B78" s="3" t="s">
        <v>63</v>
      </c>
      <c r="C78" s="3" t="s">
        <v>63</v>
      </c>
      <c r="D78" s="3" t="s">
        <v>114</v>
      </c>
      <c r="E78" s="3" t="s">
        <v>75</v>
      </c>
      <c r="F78" s="3" t="s">
        <v>91</v>
      </c>
      <c r="H78" s="3" t="s">
        <v>301</v>
      </c>
      <c r="I78" s="3">
        <v>3266.7080000000001</v>
      </c>
      <c r="J78" s="3">
        <v>3669.0219999999999</v>
      </c>
      <c r="K78" s="3">
        <v>3845.8760000000002</v>
      </c>
      <c r="L78" s="3">
        <v>4063.4459999999999</v>
      </c>
      <c r="M78" s="3">
        <v>4558.8</v>
      </c>
      <c r="N78" s="3">
        <v>5243.2</v>
      </c>
      <c r="O78" s="3">
        <v>5522.4</v>
      </c>
      <c r="P78" s="3">
        <v>5981.4</v>
      </c>
      <c r="Q78" s="3">
        <v>6809.2</v>
      </c>
      <c r="R78" s="3">
        <v>7230.5</v>
      </c>
      <c r="S78" s="3">
        <v>7550.7</v>
      </c>
      <c r="T78" s="3">
        <v>7764.2</v>
      </c>
      <c r="U78" s="3">
        <v>10875</v>
      </c>
      <c r="V78" s="3">
        <v>9001.6</v>
      </c>
      <c r="W78" s="3">
        <v>10968.9</v>
      </c>
      <c r="X78" s="3">
        <v>12221.8</v>
      </c>
      <c r="Y78" s="3">
        <v>13868.3</v>
      </c>
      <c r="Z78" s="3">
        <v>14316.1</v>
      </c>
      <c r="AA78" s="3">
        <v>14308.9</v>
      </c>
      <c r="AB78" s="3">
        <v>14548.2</v>
      </c>
      <c r="AC78" s="3">
        <v>13996.4</v>
      </c>
      <c r="AD78" s="3">
        <v>13884</v>
      </c>
      <c r="AE78" s="3">
        <v>13708.7</v>
      </c>
      <c r="AF78" s="3">
        <v>13638</v>
      </c>
      <c r="AG78" s="3">
        <v>13665</v>
      </c>
      <c r="AH78" s="3">
        <v>13601.794999999998</v>
      </c>
      <c r="AI78" s="3">
        <v>14252.900000000001</v>
      </c>
      <c r="AJ78" s="3">
        <v>14891.8</v>
      </c>
      <c r="AK78" s="3">
        <v>15388.399999999998</v>
      </c>
      <c r="AL78" s="3">
        <v>15598.7</v>
      </c>
      <c r="AM78" s="3">
        <v>16196.4</v>
      </c>
      <c r="AN78" s="3">
        <v>16658.600000000002</v>
      </c>
      <c r="AO78" s="3">
        <v>16285</v>
      </c>
      <c r="AP78" s="3">
        <v>17402</v>
      </c>
      <c r="AQ78" s="3">
        <v>17832.400000000001</v>
      </c>
      <c r="AR78" s="3">
        <v>18724.300000000003</v>
      </c>
      <c r="AS78" s="3">
        <v>18448</v>
      </c>
      <c r="AT78" s="3">
        <v>17770.5</v>
      </c>
      <c r="AU78" s="3">
        <v>16865.099999999999</v>
      </c>
      <c r="AV78" s="3">
        <v>17646.400000000001</v>
      </c>
      <c r="AW78" s="3">
        <v>18010.3</v>
      </c>
      <c r="AX78" s="3">
        <v>19285.100000000006</v>
      </c>
      <c r="AY78" s="3">
        <v>19653.3</v>
      </c>
      <c r="AZ78" s="3">
        <v>21269.700000000004</v>
      </c>
      <c r="BA78" s="132">
        <v>20542</v>
      </c>
      <c r="BB78" s="132">
        <v>21197.8</v>
      </c>
      <c r="BC78" s="132">
        <v>23483</v>
      </c>
      <c r="BD78" s="132">
        <v>23793.999999999996</v>
      </c>
      <c r="BE78" s="132">
        <v>25747.550999999999</v>
      </c>
      <c r="BF78" s="132">
        <v>24875</v>
      </c>
      <c r="BG78" s="132">
        <v>24838.327000000001</v>
      </c>
      <c r="BH78" s="132">
        <v>18800</v>
      </c>
    </row>
    <row r="79" spans="1:60" x14ac:dyDescent="0.25">
      <c r="A79" s="1" t="s">
        <v>63</v>
      </c>
      <c r="B79" s="3" t="s">
        <v>21</v>
      </c>
      <c r="C79" s="3" t="s">
        <v>21</v>
      </c>
      <c r="D79" s="3" t="s">
        <v>113</v>
      </c>
      <c r="E79" s="3" t="s">
        <v>60</v>
      </c>
      <c r="F79" s="3" t="s">
        <v>91</v>
      </c>
      <c r="H79" s="3" t="s">
        <v>363</v>
      </c>
      <c r="AQ79" s="3">
        <v>1002</v>
      </c>
    </row>
    <row r="80" spans="1:60" x14ac:dyDescent="0.25">
      <c r="A80" s="1" t="s">
        <v>63</v>
      </c>
      <c r="B80" s="3" t="s">
        <v>12</v>
      </c>
      <c r="C80" s="3" t="s">
        <v>12</v>
      </c>
      <c r="D80" s="3" t="s">
        <v>113</v>
      </c>
      <c r="E80" s="3" t="s">
        <v>60</v>
      </c>
      <c r="F80" s="3" t="s">
        <v>91</v>
      </c>
      <c r="H80" s="3" t="s">
        <v>364</v>
      </c>
      <c r="BB80" s="3">
        <v>60</v>
      </c>
    </row>
    <row r="81" spans="1:60" x14ac:dyDescent="0.25">
      <c r="A81" s="3" t="s">
        <v>61</v>
      </c>
      <c r="B81" s="3" t="s">
        <v>46</v>
      </c>
      <c r="C81" s="3" t="s">
        <v>46</v>
      </c>
      <c r="D81" s="3" t="s">
        <v>114</v>
      </c>
      <c r="E81" s="112" t="s">
        <v>60</v>
      </c>
      <c r="F81" s="3" t="s">
        <v>91</v>
      </c>
      <c r="H81" s="3" t="s">
        <v>381</v>
      </c>
      <c r="X81" s="3">
        <v>1260.989</v>
      </c>
      <c r="Y81" s="3">
        <v>1408.7</v>
      </c>
      <c r="Z81" s="3">
        <v>1684.6020000000001</v>
      </c>
      <c r="AA81" s="3">
        <v>1663.3720000000001</v>
      </c>
      <c r="AB81" s="3">
        <v>1965.6320000000001</v>
      </c>
      <c r="AC81" s="3">
        <v>1977</v>
      </c>
      <c r="AD81" s="3">
        <v>1870</v>
      </c>
      <c r="AE81" s="3">
        <v>1916</v>
      </c>
      <c r="AF81" s="3">
        <v>1989</v>
      </c>
      <c r="AG81" s="3">
        <v>2218</v>
      </c>
      <c r="AH81" s="3">
        <v>2390</v>
      </c>
      <c r="AI81" s="3">
        <v>3126</v>
      </c>
      <c r="AJ81" s="3">
        <v>3270</v>
      </c>
      <c r="AK81" s="3">
        <v>3271</v>
      </c>
      <c r="AL81" s="3">
        <v>3731.7170000000001</v>
      </c>
      <c r="AM81" s="3">
        <v>3939.701</v>
      </c>
      <c r="AN81" s="3">
        <v>4099</v>
      </c>
      <c r="AO81" s="3">
        <v>4065</v>
      </c>
      <c r="AP81" s="3">
        <v>4236</v>
      </c>
      <c r="AQ81" s="3">
        <v>4367.87</v>
      </c>
      <c r="AR81" s="3">
        <v>4748.3530000000001</v>
      </c>
      <c r="AS81" s="3">
        <v>4596.8519999999999</v>
      </c>
      <c r="AT81" s="3">
        <v>4906.6109999999999</v>
      </c>
      <c r="AU81" s="3">
        <v>4747.8410000000003</v>
      </c>
      <c r="AV81" s="3">
        <v>5436</v>
      </c>
      <c r="AW81" s="3">
        <v>5448.9089999999997</v>
      </c>
      <c r="AX81" s="3">
        <v>5773.5150000000003</v>
      </c>
      <c r="AY81" s="3">
        <v>5677.7709999999997</v>
      </c>
      <c r="AZ81" s="3">
        <v>6312.7860000000001</v>
      </c>
      <c r="BA81" s="3">
        <v>5434.2979999999998</v>
      </c>
      <c r="BB81" s="3">
        <v>5361.6750000000002</v>
      </c>
      <c r="BC81" s="3">
        <v>5439.7979999999998</v>
      </c>
      <c r="BD81" s="132">
        <v>6333</v>
      </c>
      <c r="BE81" s="132">
        <v>8636</v>
      </c>
      <c r="BF81" s="132">
        <v>6319</v>
      </c>
      <c r="BG81" s="132">
        <v>4473.9859999999999</v>
      </c>
      <c r="BH81" s="132">
        <v>4515.3019999999997</v>
      </c>
    </row>
    <row r="82" spans="1:60" x14ac:dyDescent="0.25">
      <c r="A82" s="3" t="s">
        <v>61</v>
      </c>
      <c r="B82" s="3" t="s">
        <v>46</v>
      </c>
      <c r="C82" s="3" t="s">
        <v>47</v>
      </c>
      <c r="D82" s="3" t="s">
        <v>114</v>
      </c>
      <c r="E82" s="112" t="s">
        <v>88</v>
      </c>
      <c r="F82" s="3" t="s">
        <v>91</v>
      </c>
      <c r="H82" s="3" t="s">
        <v>382</v>
      </c>
      <c r="AJ82" s="3">
        <v>506.7</v>
      </c>
      <c r="AK82" s="3">
        <v>495</v>
      </c>
      <c r="AL82" s="3">
        <v>603.93299999999999</v>
      </c>
      <c r="AM82" s="3">
        <v>668.29499999999996</v>
      </c>
      <c r="AN82" s="3">
        <v>598.05700000000002</v>
      </c>
      <c r="AO82" s="3">
        <v>541.12300000000005</v>
      </c>
      <c r="AP82" s="3">
        <v>524.00199999999995</v>
      </c>
      <c r="AQ82" s="3">
        <v>543.15499999999997</v>
      </c>
      <c r="AR82" s="3">
        <v>563.11</v>
      </c>
      <c r="AS82" s="3">
        <v>494.84199999999998</v>
      </c>
      <c r="AT82" s="3">
        <v>467.37200000000001</v>
      </c>
      <c r="AU82" s="3">
        <v>442.67700000000002</v>
      </c>
      <c r="AV82" s="3">
        <v>474.90700000000004</v>
      </c>
      <c r="AW82" s="3">
        <v>484.80700000000002</v>
      </c>
      <c r="AX82" s="3">
        <v>502.77499999999998</v>
      </c>
      <c r="AY82" s="3">
        <v>518.95000000000005</v>
      </c>
      <c r="AZ82" s="3">
        <v>629.04300000000001</v>
      </c>
      <c r="BA82" s="3">
        <v>679.80799999999999</v>
      </c>
      <c r="BB82" s="3">
        <v>622.27499999999998</v>
      </c>
      <c r="BC82" s="3">
        <v>620.19499999999994</v>
      </c>
      <c r="BD82" s="3">
        <v>651</v>
      </c>
      <c r="BE82" s="3">
        <v>731</v>
      </c>
      <c r="BF82" s="3">
        <v>732.95600000000002</v>
      </c>
      <c r="BG82" s="3">
        <v>709.01008841405439</v>
      </c>
      <c r="BH82" s="3">
        <v>434.24700000000001</v>
      </c>
    </row>
    <row r="83" spans="1:60" x14ac:dyDescent="0.25">
      <c r="A83" s="3" t="s">
        <v>61</v>
      </c>
      <c r="B83" s="3" t="s">
        <v>46</v>
      </c>
      <c r="C83" s="3" t="s">
        <v>48</v>
      </c>
      <c r="D83" s="3" t="s">
        <v>114</v>
      </c>
      <c r="E83" s="112" t="s">
        <v>88</v>
      </c>
      <c r="F83" s="3" t="s">
        <v>91</v>
      </c>
      <c r="H83" s="3" t="s">
        <v>383</v>
      </c>
      <c r="AJ83" s="3">
        <v>791.4</v>
      </c>
      <c r="AK83" s="3">
        <v>728</v>
      </c>
      <c r="AL83" s="3">
        <v>644.54100000000005</v>
      </c>
      <c r="AM83" s="3">
        <v>707.56299999999999</v>
      </c>
      <c r="AN83" s="3">
        <v>841.298</v>
      </c>
      <c r="AO83" s="3">
        <v>839.90600000000006</v>
      </c>
      <c r="AP83" s="3">
        <v>954.65200000000004</v>
      </c>
      <c r="AQ83" s="3">
        <v>758.60500000000002</v>
      </c>
      <c r="AR83" s="3">
        <v>904.53899999999999</v>
      </c>
      <c r="AS83" s="3">
        <v>845.23699999999997</v>
      </c>
      <c r="AT83" s="3">
        <v>804.71799999999996</v>
      </c>
      <c r="AU83" s="3">
        <v>777.25300000000004</v>
      </c>
      <c r="AV83" s="3">
        <v>809.29700000000003</v>
      </c>
      <c r="AW83" s="3">
        <v>822.13800000000003</v>
      </c>
      <c r="AX83" s="3">
        <v>847.76700000000005</v>
      </c>
      <c r="AY83" s="3">
        <v>848.98299999999995</v>
      </c>
      <c r="AZ83" s="3">
        <v>878.24599999999998</v>
      </c>
      <c r="BA83" s="3">
        <v>905.79300000000001</v>
      </c>
      <c r="BB83" s="3">
        <v>954.98500000000001</v>
      </c>
      <c r="BC83" s="3">
        <v>951.13599999999997</v>
      </c>
      <c r="BD83" s="3">
        <v>1046</v>
      </c>
      <c r="BE83" s="3">
        <v>1132</v>
      </c>
      <c r="BF83" s="3">
        <v>1153.5909999999999</v>
      </c>
      <c r="BG83" s="3">
        <v>1160.7560260728571</v>
      </c>
      <c r="BH83" s="3">
        <v>789.976</v>
      </c>
    </row>
    <row r="84" spans="1:60" x14ac:dyDescent="0.25">
      <c r="A84" s="3" t="s">
        <v>61</v>
      </c>
      <c r="B84" s="3" t="s">
        <v>46</v>
      </c>
      <c r="C84" s="3" t="s">
        <v>49</v>
      </c>
      <c r="D84" s="3" t="s">
        <v>114</v>
      </c>
      <c r="E84" s="112" t="s">
        <v>88</v>
      </c>
      <c r="F84" s="3" t="s">
        <v>91</v>
      </c>
      <c r="H84" s="3" t="s">
        <v>384</v>
      </c>
      <c r="AJ84" s="3">
        <v>383.8</v>
      </c>
      <c r="AK84" s="3">
        <v>382</v>
      </c>
      <c r="AL84" s="3">
        <v>414.584</v>
      </c>
      <c r="AM84" s="3">
        <v>413.76900000000001</v>
      </c>
      <c r="AN84" s="3">
        <v>377.137</v>
      </c>
      <c r="AO84" s="3">
        <v>398.43799999999999</v>
      </c>
      <c r="AP84" s="3">
        <v>397.67499999999995</v>
      </c>
      <c r="AQ84" s="3">
        <v>408.31299999999999</v>
      </c>
      <c r="AR84" s="3">
        <v>449.14499999999998</v>
      </c>
      <c r="AS84" s="3">
        <v>426.995</v>
      </c>
      <c r="AT84" s="3">
        <v>382.78399999999999</v>
      </c>
      <c r="AU84" s="3">
        <v>369.41399999999999</v>
      </c>
      <c r="AV84" s="3">
        <v>423.90800000000002</v>
      </c>
      <c r="AW84" s="3">
        <v>446.279</v>
      </c>
      <c r="AX84" s="3">
        <v>480.99600000000004</v>
      </c>
      <c r="AY84" s="3">
        <v>510.82600000000002</v>
      </c>
      <c r="AZ84" s="3">
        <v>594.16000000000008</v>
      </c>
      <c r="BA84" s="3">
        <v>568.197</v>
      </c>
      <c r="BB84" s="3">
        <v>610.79100000000005</v>
      </c>
      <c r="BC84" s="3">
        <v>608.27300000000002</v>
      </c>
      <c r="BD84" s="3">
        <v>662</v>
      </c>
      <c r="BE84" s="3">
        <v>782</v>
      </c>
      <c r="BF84" s="3">
        <v>738.43799999999999</v>
      </c>
      <c r="BG84" s="3">
        <v>761.21728269258892</v>
      </c>
      <c r="BH84" s="3">
        <v>0</v>
      </c>
    </row>
    <row r="85" spans="1:60" x14ac:dyDescent="0.25">
      <c r="A85" s="3" t="s">
        <v>61</v>
      </c>
      <c r="B85" s="3" t="s">
        <v>46</v>
      </c>
      <c r="C85" s="3" t="s">
        <v>386</v>
      </c>
      <c r="D85" s="3" t="s">
        <v>114</v>
      </c>
      <c r="E85" s="112" t="s">
        <v>88</v>
      </c>
      <c r="F85" s="3" t="s">
        <v>91</v>
      </c>
      <c r="H85" s="3" t="s">
        <v>385</v>
      </c>
      <c r="AJ85" s="3">
        <v>743</v>
      </c>
      <c r="AK85" s="3">
        <v>755</v>
      </c>
      <c r="AL85" s="3">
        <v>824.87400000000002</v>
      </c>
      <c r="AM85" s="3">
        <v>782.98099999999999</v>
      </c>
      <c r="AN85" s="3">
        <v>851.69100000000003</v>
      </c>
      <c r="AO85" s="3">
        <v>884.39200000000005</v>
      </c>
      <c r="AP85" s="3">
        <v>927.46699999999998</v>
      </c>
      <c r="AQ85" s="3">
        <v>958.88900000000001</v>
      </c>
      <c r="AR85" s="3">
        <v>999.84500000000003</v>
      </c>
      <c r="AS85" s="3">
        <v>976.48099999999999</v>
      </c>
      <c r="AT85" s="3">
        <v>996.01499999999999</v>
      </c>
      <c r="AU85" s="3">
        <v>953.56100000000004</v>
      </c>
      <c r="AV85" s="3">
        <v>1062.587</v>
      </c>
      <c r="AW85" s="3">
        <v>1087.453</v>
      </c>
      <c r="AX85" s="3">
        <v>1121.8600000000001</v>
      </c>
      <c r="AY85" s="3">
        <v>1117.694</v>
      </c>
      <c r="AZ85" s="3">
        <v>1195.8979999999999</v>
      </c>
      <c r="BA85" s="3">
        <v>1191.067</v>
      </c>
      <c r="BB85" s="3">
        <v>1226.0339999999999</v>
      </c>
      <c r="BC85" s="3">
        <v>1219.6869999999999</v>
      </c>
      <c r="BD85" s="3">
        <v>1273</v>
      </c>
      <c r="BE85" s="3">
        <v>1364</v>
      </c>
      <c r="BF85" s="3">
        <v>1356.4470000000001</v>
      </c>
      <c r="BG85" s="3">
        <v>1325.5274763032087</v>
      </c>
      <c r="BH85" s="3">
        <v>1447.9270000000001</v>
      </c>
    </row>
    <row r="86" spans="1:60" x14ac:dyDescent="0.25">
      <c r="A86" s="3" t="s">
        <v>61</v>
      </c>
      <c r="B86" s="3" t="s">
        <v>46</v>
      </c>
      <c r="C86" s="3" t="s">
        <v>50</v>
      </c>
      <c r="D86" s="3" t="s">
        <v>114</v>
      </c>
      <c r="E86" s="112" t="s">
        <v>88</v>
      </c>
      <c r="F86" s="3" t="s">
        <v>91</v>
      </c>
      <c r="H86" s="3" t="s">
        <v>387</v>
      </c>
      <c r="AJ86" s="3">
        <v>704.2</v>
      </c>
      <c r="AK86" s="3">
        <v>785</v>
      </c>
      <c r="AL86" s="3">
        <v>827.05600000000004</v>
      </c>
      <c r="AM86" s="3">
        <v>907.44799999999998</v>
      </c>
      <c r="AN86" s="3">
        <v>943.36599999999999</v>
      </c>
      <c r="AO86" s="3">
        <v>983.26499999999999</v>
      </c>
      <c r="AP86" s="3">
        <v>954.12199999999996</v>
      </c>
      <c r="AQ86" s="3">
        <v>1178.001</v>
      </c>
      <c r="AR86" s="3">
        <v>1398.5219999999999</v>
      </c>
      <c r="AS86" s="3">
        <v>1444.078</v>
      </c>
      <c r="AT86" s="3">
        <v>1876.1880000000001</v>
      </c>
      <c r="AU86" s="3">
        <v>1864.825</v>
      </c>
      <c r="AV86" s="3">
        <v>2087.0940000000001</v>
      </c>
      <c r="AW86" s="3">
        <v>2223.1439999999998</v>
      </c>
      <c r="AX86" s="3">
        <v>2344.5709999999999</v>
      </c>
      <c r="AY86" s="3">
        <v>2195.6410000000001</v>
      </c>
      <c r="AZ86" s="3">
        <v>2091.5219999999999</v>
      </c>
      <c r="BA86" s="3">
        <v>1689.056</v>
      </c>
      <c r="BB86" s="3">
        <v>1513.8689999999999</v>
      </c>
      <c r="BC86" s="3">
        <v>1498.8609999999999</v>
      </c>
      <c r="BD86" s="3">
        <v>1603</v>
      </c>
      <c r="BE86" s="3">
        <v>1708</v>
      </c>
      <c r="BF86" s="3">
        <v>1800.979</v>
      </c>
      <c r="BG86" s="3">
        <v>1696.561857452976</v>
      </c>
      <c r="BH86" s="3">
        <v>1531.373</v>
      </c>
    </row>
    <row r="87" spans="1:60" x14ac:dyDescent="0.25">
      <c r="A87" s="3" t="s">
        <v>61</v>
      </c>
      <c r="B87" s="3" t="s">
        <v>46</v>
      </c>
      <c r="C87" s="3" t="s">
        <v>95</v>
      </c>
      <c r="D87" s="3" t="s">
        <v>114</v>
      </c>
      <c r="E87" s="112" t="s">
        <v>88</v>
      </c>
      <c r="F87" s="3" t="s">
        <v>91</v>
      </c>
      <c r="H87" s="3" t="s">
        <v>388</v>
      </c>
      <c r="AJ87" s="3">
        <v>89.6</v>
      </c>
      <c r="AK87" s="3">
        <v>75.5</v>
      </c>
      <c r="AL87" s="3">
        <v>113.541</v>
      </c>
      <c r="AM87" s="3">
        <v>144.54900000000001</v>
      </c>
      <c r="AN87" s="3">
        <v>134.304</v>
      </c>
      <c r="AO87" s="3">
        <v>120.029</v>
      </c>
      <c r="AP87" s="3">
        <v>126.664</v>
      </c>
      <c r="AQ87" s="3">
        <v>178.05500000000001</v>
      </c>
      <c r="AR87" s="3">
        <v>166.66800000000001</v>
      </c>
      <c r="AS87" s="3">
        <v>185.602</v>
      </c>
      <c r="AT87" s="3">
        <v>184.61699999999999</v>
      </c>
      <c r="AU87" s="3">
        <v>198.98500000000001</v>
      </c>
      <c r="AV87" s="3">
        <v>206.4</v>
      </c>
      <c r="AW87" s="3">
        <v>212.6</v>
      </c>
      <c r="AX87" s="3">
        <v>302.42700000000002</v>
      </c>
      <c r="AY87" s="3">
        <v>299.80099999999999</v>
      </c>
      <c r="AZ87" s="3">
        <v>455.81200000000001</v>
      </c>
      <c r="BA87" s="3">
        <v>323.39499999999998</v>
      </c>
      <c r="BB87" s="3">
        <v>342.68299999999999</v>
      </c>
      <c r="BC87" s="3">
        <v>377.07799999999997</v>
      </c>
      <c r="BD87" s="3">
        <v>419</v>
      </c>
      <c r="BE87" s="3">
        <v>461</v>
      </c>
      <c r="BF87" s="3">
        <v>470.11599999999999</v>
      </c>
      <c r="BG87" s="3">
        <v>450.59669571780495</v>
      </c>
      <c r="BH87" s="3">
        <v>327.21699999999998</v>
      </c>
    </row>
    <row r="88" spans="1:60" x14ac:dyDescent="0.25">
      <c r="A88" s="3" t="s">
        <v>61</v>
      </c>
      <c r="B88" s="3" t="s">
        <v>46</v>
      </c>
      <c r="C88" s="3" t="s">
        <v>21</v>
      </c>
      <c r="D88" s="3" t="s">
        <v>115</v>
      </c>
      <c r="E88" s="112" t="s">
        <v>88</v>
      </c>
      <c r="F88" s="3" t="s">
        <v>91</v>
      </c>
      <c r="H88" s="3" t="s">
        <v>363</v>
      </c>
      <c r="AQ88" s="3">
        <v>830</v>
      </c>
      <c r="BG88" s="3" t="s">
        <v>94</v>
      </c>
    </row>
    <row r="89" spans="1:60" x14ac:dyDescent="0.25">
      <c r="A89" s="3" t="s">
        <v>61</v>
      </c>
      <c r="B89" s="3" t="s">
        <v>51</v>
      </c>
      <c r="C89" s="3" t="s">
        <v>51</v>
      </c>
      <c r="D89" s="3" t="s">
        <v>114</v>
      </c>
      <c r="E89" s="112" t="s">
        <v>60</v>
      </c>
      <c r="F89" s="3" t="s">
        <v>91</v>
      </c>
      <c r="H89" s="3" t="s">
        <v>389</v>
      </c>
      <c r="X89" s="3">
        <v>163.845</v>
      </c>
      <c r="Y89" s="3">
        <v>215.32499999999999</v>
      </c>
      <c r="Z89" s="3">
        <v>246.71299999999999</v>
      </c>
      <c r="AA89" s="3">
        <v>380.75700000000001</v>
      </c>
      <c r="AB89" s="3">
        <v>521.04</v>
      </c>
      <c r="AC89" s="3">
        <v>700</v>
      </c>
      <c r="AD89" s="3">
        <v>545</v>
      </c>
      <c r="AE89" s="3">
        <v>565</v>
      </c>
      <c r="AF89" s="3">
        <v>678</v>
      </c>
      <c r="AG89" s="3">
        <v>662</v>
      </c>
      <c r="AH89" s="3">
        <v>634</v>
      </c>
      <c r="AI89" s="3">
        <v>598</v>
      </c>
      <c r="AJ89" s="3">
        <v>684.54600000000005</v>
      </c>
      <c r="AK89" s="3">
        <v>708</v>
      </c>
      <c r="AL89" s="3">
        <v>608</v>
      </c>
      <c r="AM89" s="3">
        <v>705.68499999999995</v>
      </c>
      <c r="AN89" s="3">
        <v>752.03700000000003</v>
      </c>
      <c r="AO89" s="3">
        <v>676.87599999999998</v>
      </c>
      <c r="AP89" s="3">
        <v>755.84699999999998</v>
      </c>
      <c r="AQ89" s="3">
        <v>819</v>
      </c>
      <c r="AR89" s="3">
        <v>856.6</v>
      </c>
      <c r="AS89" s="3">
        <v>750</v>
      </c>
      <c r="AT89" s="3">
        <v>750.82399999999996</v>
      </c>
      <c r="AU89" s="3">
        <v>774.9620000000001</v>
      </c>
      <c r="AV89" s="3">
        <v>850</v>
      </c>
      <c r="AW89" s="3">
        <v>863.9</v>
      </c>
      <c r="AX89" s="3">
        <v>964</v>
      </c>
      <c r="AY89" s="3">
        <v>952</v>
      </c>
      <c r="AZ89" s="3">
        <v>1198.5</v>
      </c>
      <c r="BA89" s="3">
        <v>985.5</v>
      </c>
      <c r="BB89" s="3">
        <v>1034</v>
      </c>
      <c r="BC89" s="3">
        <v>1316</v>
      </c>
      <c r="BD89" s="3">
        <v>1168</v>
      </c>
      <c r="BE89" s="3">
        <v>2375</v>
      </c>
      <c r="BF89" s="3">
        <v>1460</v>
      </c>
      <c r="BG89" s="3">
        <v>1156.9170000000001</v>
      </c>
      <c r="BH89" s="132">
        <v>832</v>
      </c>
    </row>
    <row r="90" spans="1:60" x14ac:dyDescent="0.25">
      <c r="A90" s="3" t="s">
        <v>61</v>
      </c>
      <c r="B90" s="3" t="s">
        <v>51</v>
      </c>
      <c r="C90" s="3" t="s">
        <v>390</v>
      </c>
      <c r="D90" s="3" t="s">
        <v>114</v>
      </c>
      <c r="E90" s="112" t="s">
        <v>88</v>
      </c>
      <c r="F90" s="3" t="s">
        <v>91</v>
      </c>
      <c r="H90" s="3" t="s">
        <v>391</v>
      </c>
      <c r="X90" s="3">
        <v>163.286</v>
      </c>
      <c r="Y90" s="3">
        <v>163.435</v>
      </c>
      <c r="Z90" s="3">
        <v>180.94499999999999</v>
      </c>
      <c r="AA90" s="3">
        <v>192.06399999999999</v>
      </c>
      <c r="AB90" s="3">
        <v>225.85</v>
      </c>
      <c r="AC90" s="3">
        <v>243</v>
      </c>
      <c r="AD90" s="3">
        <v>258</v>
      </c>
      <c r="AE90" s="3">
        <v>268</v>
      </c>
      <c r="AF90" s="3">
        <v>277</v>
      </c>
      <c r="AG90" s="3">
        <v>280</v>
      </c>
      <c r="AH90" s="3">
        <v>282</v>
      </c>
      <c r="AI90" s="3">
        <v>312</v>
      </c>
      <c r="AJ90" s="3">
        <v>330</v>
      </c>
      <c r="AK90" s="3">
        <v>357</v>
      </c>
      <c r="AL90" s="3">
        <v>336</v>
      </c>
      <c r="AM90" s="3">
        <v>379</v>
      </c>
      <c r="AN90" s="3">
        <v>397</v>
      </c>
      <c r="AO90" s="3">
        <v>438</v>
      </c>
      <c r="AP90" s="3">
        <v>446</v>
      </c>
      <c r="AQ90" s="3">
        <v>472</v>
      </c>
      <c r="AR90" s="3">
        <v>520</v>
      </c>
      <c r="AS90" s="3">
        <v>497.4</v>
      </c>
      <c r="AT90" s="3">
        <v>567</v>
      </c>
      <c r="AU90" s="3">
        <v>579.77099999999996</v>
      </c>
      <c r="AV90" s="3">
        <v>651</v>
      </c>
      <c r="AW90" s="3">
        <v>675.5</v>
      </c>
      <c r="AX90" s="3">
        <v>690</v>
      </c>
      <c r="AY90" s="3">
        <v>690</v>
      </c>
      <c r="AZ90" s="3">
        <v>724.5</v>
      </c>
      <c r="BA90" s="3">
        <v>724.5</v>
      </c>
      <c r="BB90" s="132">
        <v>754</v>
      </c>
      <c r="BC90" s="132">
        <v>804</v>
      </c>
      <c r="BD90" s="132">
        <v>833</v>
      </c>
      <c r="BE90" s="132">
        <v>1196</v>
      </c>
      <c r="BF90" s="132">
        <v>1080</v>
      </c>
      <c r="BG90" s="132">
        <v>857.15899999999999</v>
      </c>
      <c r="BH90" s="132">
        <v>707</v>
      </c>
    </row>
    <row r="91" spans="1:60" x14ac:dyDescent="0.25">
      <c r="A91" s="3" t="s">
        <v>61</v>
      </c>
      <c r="B91" s="3" t="s">
        <v>51</v>
      </c>
      <c r="C91" s="3" t="s">
        <v>52</v>
      </c>
      <c r="D91" s="3" t="s">
        <v>114</v>
      </c>
      <c r="E91" s="112" t="s">
        <v>88</v>
      </c>
      <c r="F91" s="3" t="s">
        <v>91</v>
      </c>
      <c r="H91" s="3" t="s">
        <v>392</v>
      </c>
      <c r="X91" s="3">
        <v>0</v>
      </c>
      <c r="Y91" s="3">
        <v>49.098999999999997</v>
      </c>
      <c r="Z91" s="3">
        <v>63.713000000000001</v>
      </c>
      <c r="AA91" s="3">
        <v>86.066999999999993</v>
      </c>
      <c r="AB91" s="3">
        <v>231.23400000000001</v>
      </c>
      <c r="AC91" s="3">
        <v>417</v>
      </c>
      <c r="AD91" s="3">
        <v>301</v>
      </c>
      <c r="AE91" s="3">
        <v>313</v>
      </c>
      <c r="AF91" s="3">
        <v>306</v>
      </c>
      <c r="AG91" s="3">
        <v>325</v>
      </c>
      <c r="AH91" s="3">
        <v>246</v>
      </c>
      <c r="AI91" s="3">
        <v>250</v>
      </c>
      <c r="AJ91" s="3">
        <v>291</v>
      </c>
      <c r="AK91" s="3">
        <v>279</v>
      </c>
      <c r="AL91" s="3">
        <v>208</v>
      </c>
      <c r="AM91" s="3">
        <v>244</v>
      </c>
      <c r="AN91" s="3">
        <v>177</v>
      </c>
      <c r="AO91" s="3">
        <v>177</v>
      </c>
      <c r="AP91" s="3">
        <v>135</v>
      </c>
      <c r="AQ91" s="3">
        <v>175</v>
      </c>
      <c r="AR91" s="3">
        <v>195</v>
      </c>
      <c r="AS91" s="3">
        <v>173.25299999999999</v>
      </c>
      <c r="AT91" s="3">
        <v>128.44300000000001</v>
      </c>
      <c r="AU91" s="3">
        <v>130.57400000000001</v>
      </c>
      <c r="AV91" s="3">
        <v>143</v>
      </c>
      <c r="AW91" s="3">
        <v>138.1</v>
      </c>
      <c r="AX91" s="3">
        <v>155</v>
      </c>
      <c r="AY91" s="3">
        <v>153</v>
      </c>
      <c r="AZ91" s="3">
        <v>155</v>
      </c>
      <c r="BA91" s="3">
        <v>155</v>
      </c>
      <c r="BB91" s="132">
        <v>162</v>
      </c>
      <c r="BC91" s="132">
        <v>261</v>
      </c>
      <c r="BD91" s="132">
        <v>238</v>
      </c>
      <c r="BE91" s="132">
        <v>522</v>
      </c>
      <c r="BF91" s="132">
        <v>212</v>
      </c>
      <c r="BG91" s="132">
        <v>212</v>
      </c>
      <c r="BH91" s="132">
        <v>37</v>
      </c>
    </row>
    <row r="92" spans="1:60" x14ac:dyDescent="0.25">
      <c r="A92" s="3" t="s">
        <v>61</v>
      </c>
      <c r="B92" s="3" t="s">
        <v>51</v>
      </c>
      <c r="C92" s="3" t="s">
        <v>93</v>
      </c>
      <c r="D92" s="3" t="s">
        <v>114</v>
      </c>
      <c r="E92" s="112" t="s">
        <v>88</v>
      </c>
      <c r="F92" s="3" t="s">
        <v>91</v>
      </c>
      <c r="AH92" s="3">
        <v>107</v>
      </c>
      <c r="AI92" s="3">
        <v>21</v>
      </c>
      <c r="AJ92" s="3">
        <v>64</v>
      </c>
      <c r="AK92" s="3">
        <v>43</v>
      </c>
      <c r="AL92" s="3">
        <v>43</v>
      </c>
      <c r="AM92" s="3">
        <v>30</v>
      </c>
      <c r="AN92" s="3">
        <v>48</v>
      </c>
      <c r="AO92" s="3">
        <v>59</v>
      </c>
      <c r="AP92" s="3">
        <v>79</v>
      </c>
      <c r="AQ92" s="3">
        <v>98</v>
      </c>
      <c r="AR92" s="3">
        <v>80</v>
      </c>
      <c r="AS92" s="3">
        <v>70</v>
      </c>
      <c r="AT92" s="3">
        <v>55.381</v>
      </c>
      <c r="AU92" s="3">
        <v>55.97</v>
      </c>
      <c r="AV92" s="3">
        <v>56</v>
      </c>
      <c r="AW92" s="3">
        <v>50.3</v>
      </c>
      <c r="AX92" s="3">
        <v>119</v>
      </c>
      <c r="AY92" s="3">
        <v>109</v>
      </c>
      <c r="AZ92" s="3">
        <v>319</v>
      </c>
      <c r="BA92" s="3">
        <v>106</v>
      </c>
      <c r="BB92" s="132">
        <v>118</v>
      </c>
      <c r="BC92" s="132">
        <v>251</v>
      </c>
      <c r="BD92" s="132">
        <v>97</v>
      </c>
      <c r="BE92" s="132">
        <v>657</v>
      </c>
      <c r="BF92" s="132">
        <v>168</v>
      </c>
      <c r="BG92" s="132">
        <v>87.757999999999996</v>
      </c>
      <c r="BH92" s="132">
        <v>88</v>
      </c>
    </row>
    <row r="93" spans="1:60" x14ac:dyDescent="0.25">
      <c r="A93" s="3" t="s">
        <v>61</v>
      </c>
      <c r="B93" s="3" t="s">
        <v>51</v>
      </c>
      <c r="C93" s="3" t="s">
        <v>21</v>
      </c>
      <c r="D93" s="3" t="s">
        <v>115</v>
      </c>
      <c r="E93" s="112" t="s">
        <v>88</v>
      </c>
      <c r="F93" s="3" t="s">
        <v>91</v>
      </c>
      <c r="H93" s="3" t="s">
        <v>363</v>
      </c>
      <c r="AQ93" s="3">
        <v>580</v>
      </c>
    </row>
    <row r="94" spans="1:60" x14ac:dyDescent="0.25">
      <c r="A94" s="3" t="s">
        <v>53</v>
      </c>
      <c r="B94" s="3" t="s">
        <v>54</v>
      </c>
      <c r="C94" s="3" t="s">
        <v>54</v>
      </c>
      <c r="D94" s="3" t="s">
        <v>114</v>
      </c>
      <c r="E94" s="3" t="s">
        <v>88</v>
      </c>
      <c r="F94" s="3" t="s">
        <v>91</v>
      </c>
      <c r="H94" s="3" t="s">
        <v>393</v>
      </c>
      <c r="AI94" s="3">
        <v>719</v>
      </c>
      <c r="AJ94" s="3">
        <v>761</v>
      </c>
      <c r="AK94" s="3">
        <v>553</v>
      </c>
      <c r="AL94" s="3">
        <v>869</v>
      </c>
      <c r="AM94" s="3">
        <v>1043</v>
      </c>
      <c r="AN94" s="3">
        <v>1281</v>
      </c>
      <c r="AO94" s="3">
        <v>847</v>
      </c>
      <c r="AP94" s="3">
        <v>830</v>
      </c>
      <c r="AQ94" s="3">
        <v>933</v>
      </c>
      <c r="AR94" s="3">
        <v>1006.471</v>
      </c>
      <c r="AS94" s="3">
        <v>827.57799999999997</v>
      </c>
      <c r="AT94" s="3">
        <v>673</v>
      </c>
      <c r="AU94" s="3">
        <v>794.22699999999998</v>
      </c>
      <c r="AV94" s="3">
        <v>1220.079</v>
      </c>
      <c r="AW94" s="3">
        <v>1104.558</v>
      </c>
      <c r="AX94" s="3">
        <v>776.65300000000002</v>
      </c>
      <c r="AY94" s="3">
        <v>781.74600000000009</v>
      </c>
      <c r="AZ94" s="3">
        <v>840.94299999999998</v>
      </c>
      <c r="BA94" s="132">
        <v>819.78499999999997</v>
      </c>
      <c r="BB94" s="132">
        <v>737.27499999999998</v>
      </c>
      <c r="BC94" s="132">
        <v>765.55799999999999</v>
      </c>
      <c r="BD94" s="132">
        <v>936.95399999999995</v>
      </c>
      <c r="BE94" s="132">
        <v>987.10699999999997</v>
      </c>
      <c r="BF94" s="132">
        <v>741.63400000000001</v>
      </c>
      <c r="BG94" s="132">
        <v>741.63400000000001</v>
      </c>
      <c r="BH94" s="132">
        <v>758.75400000000002</v>
      </c>
    </row>
    <row r="95" spans="1:60" x14ac:dyDescent="0.25">
      <c r="A95" s="3" t="s">
        <v>53</v>
      </c>
      <c r="B95" s="3" t="s">
        <v>55</v>
      </c>
      <c r="C95" s="3" t="s">
        <v>55</v>
      </c>
      <c r="D95" s="3" t="s">
        <v>114</v>
      </c>
      <c r="E95" s="3" t="s">
        <v>88</v>
      </c>
      <c r="F95" s="3" t="s">
        <v>91</v>
      </c>
      <c r="H95" s="3" t="s">
        <v>394</v>
      </c>
      <c r="AO95" s="3">
        <v>616</v>
      </c>
      <c r="AP95" s="3">
        <v>485</v>
      </c>
      <c r="AQ95" s="3">
        <v>514</v>
      </c>
      <c r="AR95" s="3">
        <v>383.03699999999998</v>
      </c>
      <c r="AS95" s="3">
        <v>341.74400000000003</v>
      </c>
      <c r="AT95" s="3">
        <v>290</v>
      </c>
      <c r="AU95" s="3">
        <v>302.98099999999999</v>
      </c>
      <c r="AV95" s="3">
        <v>287.99799999999993</v>
      </c>
      <c r="AW95" s="3">
        <v>307.77300000000002</v>
      </c>
      <c r="AX95" s="3">
        <v>347.036</v>
      </c>
      <c r="AY95" s="3">
        <v>128.78800000000001</v>
      </c>
      <c r="AZ95" s="3">
        <v>134.75200000000001</v>
      </c>
    </row>
    <row r="96" spans="1:60" x14ac:dyDescent="0.25">
      <c r="A96" s="3" t="s">
        <v>53</v>
      </c>
      <c r="B96" s="3" t="s">
        <v>56</v>
      </c>
      <c r="C96" s="3" t="s">
        <v>56</v>
      </c>
      <c r="D96" s="3" t="s">
        <v>114</v>
      </c>
      <c r="E96" s="3" t="s">
        <v>88</v>
      </c>
      <c r="F96" s="3" t="s">
        <v>91</v>
      </c>
      <c r="H96" s="3" t="s">
        <v>395</v>
      </c>
      <c r="AQ96" s="132"/>
      <c r="AR96" s="132"/>
      <c r="AS96" s="132"/>
      <c r="AT96" s="132"/>
      <c r="AU96" s="132"/>
      <c r="AV96" s="132"/>
      <c r="AW96" s="132"/>
      <c r="AX96" s="132"/>
      <c r="AY96" s="132"/>
      <c r="AZ96" s="132"/>
      <c r="BA96" s="132">
        <v>434.89700000000005</v>
      </c>
      <c r="BB96" s="132">
        <v>432.29900000000004</v>
      </c>
      <c r="BC96" s="132">
        <v>402.27700000000004</v>
      </c>
      <c r="BD96" s="132">
        <v>467</v>
      </c>
      <c r="BE96" s="132">
        <v>431</v>
      </c>
      <c r="BF96" s="132">
        <v>409.44099999999997</v>
      </c>
      <c r="BG96" s="132">
        <v>409.44099999999997</v>
      </c>
      <c r="BH96" s="132">
        <v>0</v>
      </c>
    </row>
    <row r="97" spans="1:60" x14ac:dyDescent="0.25">
      <c r="A97" s="3" t="s">
        <v>81</v>
      </c>
      <c r="B97" s="3" t="s">
        <v>82</v>
      </c>
      <c r="C97" s="3" t="s">
        <v>82</v>
      </c>
      <c r="D97" s="3" t="s">
        <v>114</v>
      </c>
      <c r="E97" s="3" t="s">
        <v>88</v>
      </c>
      <c r="F97" s="3" t="s">
        <v>91</v>
      </c>
      <c r="AJ97" s="3">
        <v>756</v>
      </c>
      <c r="AK97" s="3">
        <v>800</v>
      </c>
      <c r="AL97" s="3">
        <v>866</v>
      </c>
      <c r="AM97" s="3">
        <v>742</v>
      </c>
      <c r="AN97" s="3">
        <v>769</v>
      </c>
      <c r="AO97" s="3">
        <v>819</v>
      </c>
      <c r="AP97" s="3">
        <v>480</v>
      </c>
      <c r="AQ97" s="3">
        <v>510</v>
      </c>
      <c r="AR97" s="3">
        <v>581</v>
      </c>
      <c r="AS97" s="3">
        <v>579.83799999999997</v>
      </c>
      <c r="AT97" s="3">
        <v>581</v>
      </c>
      <c r="AU97" s="3">
        <v>581.90499999999997</v>
      </c>
      <c r="AV97" s="3">
        <v>585.66399999999999</v>
      </c>
      <c r="AW97" s="3">
        <v>588.51300000000003</v>
      </c>
      <c r="AX97" s="3">
        <v>630.73500000000001</v>
      </c>
      <c r="AY97" s="3">
        <v>673.36599999999999</v>
      </c>
      <c r="AZ97" s="3">
        <v>722.26199999999994</v>
      </c>
      <c r="BA97" s="132">
        <v>779</v>
      </c>
      <c r="BB97" s="132">
        <v>750</v>
      </c>
      <c r="BC97" s="132">
        <v>815.00900000000001</v>
      </c>
      <c r="BD97" s="132">
        <v>882</v>
      </c>
      <c r="BE97" s="132">
        <v>916</v>
      </c>
      <c r="BF97" s="132">
        <v>943</v>
      </c>
      <c r="BG97" s="132">
        <v>935</v>
      </c>
      <c r="BH97" s="132">
        <v>943</v>
      </c>
    </row>
    <row r="98" spans="1:60" x14ac:dyDescent="0.25">
      <c r="A98" s="3" t="s">
        <v>83</v>
      </c>
      <c r="B98" s="3" t="s">
        <v>57</v>
      </c>
      <c r="C98" s="3" t="s">
        <v>57</v>
      </c>
      <c r="D98" s="3" t="s">
        <v>114</v>
      </c>
      <c r="E98" s="3" t="s">
        <v>88</v>
      </c>
      <c r="F98" s="3" t="s">
        <v>91</v>
      </c>
      <c r="AK98" s="3">
        <v>448</v>
      </c>
      <c r="AL98" s="3">
        <v>476</v>
      </c>
      <c r="AM98" s="3">
        <v>523</v>
      </c>
      <c r="AN98" s="3">
        <v>517</v>
      </c>
      <c r="AO98" s="3">
        <v>517</v>
      </c>
      <c r="AP98" s="3">
        <v>546</v>
      </c>
      <c r="AQ98" s="3">
        <v>617</v>
      </c>
      <c r="AR98" s="3">
        <v>659</v>
      </c>
      <c r="AS98" s="3">
        <v>608.78599999999994</v>
      </c>
      <c r="AT98" s="3">
        <v>593.66399999999999</v>
      </c>
      <c r="AU98" s="3">
        <v>562.61199999999997</v>
      </c>
      <c r="AV98" s="3">
        <v>576.93499999999995</v>
      </c>
      <c r="AW98" s="3">
        <v>573.93499999999995</v>
      </c>
      <c r="AX98" s="3">
        <v>618.01499999999999</v>
      </c>
      <c r="AY98" s="3">
        <v>605.26700000000005</v>
      </c>
      <c r="AZ98" s="3">
        <v>613.46199999999999</v>
      </c>
      <c r="BA98" s="132">
        <v>615.46199999999999</v>
      </c>
      <c r="BB98" s="132">
        <v>623.46199999999999</v>
      </c>
      <c r="BC98" s="132">
        <v>642.46199999999999</v>
      </c>
      <c r="BD98" s="132">
        <v>762</v>
      </c>
      <c r="BE98" s="132">
        <v>808</v>
      </c>
      <c r="BF98" s="132">
        <v>793.11</v>
      </c>
      <c r="BG98" s="132">
        <v>793.11</v>
      </c>
      <c r="BH98" s="132">
        <v>124</v>
      </c>
    </row>
    <row r="99" spans="1:60" x14ac:dyDescent="0.25">
      <c r="A99" s="3" t="s">
        <v>84</v>
      </c>
      <c r="B99" s="3" t="s">
        <v>110</v>
      </c>
      <c r="C99" s="3" t="s">
        <v>401</v>
      </c>
      <c r="D99" s="3" t="s">
        <v>114</v>
      </c>
      <c r="E99" s="3" t="s">
        <v>88</v>
      </c>
      <c r="F99" s="3" t="s">
        <v>91</v>
      </c>
      <c r="G99" s="3" t="s">
        <v>396</v>
      </c>
      <c r="H99" s="3" t="s">
        <v>399</v>
      </c>
      <c r="AU99" s="3">
        <v>56.588999999999999</v>
      </c>
      <c r="AV99" s="3">
        <v>69</v>
      </c>
      <c r="AW99" s="3">
        <v>72.421999999999997</v>
      </c>
      <c r="AX99" s="3">
        <v>100.955</v>
      </c>
      <c r="AY99" s="3">
        <v>117.66200000000001</v>
      </c>
      <c r="AZ99" s="3">
        <v>114.166</v>
      </c>
      <c r="BA99" s="132">
        <v>129.44999999999999</v>
      </c>
      <c r="BB99" s="132">
        <v>164.45099999999999</v>
      </c>
      <c r="BC99" s="132">
        <v>219.96</v>
      </c>
      <c r="BD99" s="132">
        <v>211.16200000000001</v>
      </c>
      <c r="BE99" s="132">
        <v>211.16200000000001</v>
      </c>
      <c r="BF99" s="132">
        <v>148.23400000000001</v>
      </c>
      <c r="BG99" s="132">
        <v>182.2</v>
      </c>
      <c r="BH99" s="132">
        <v>200.05699999999999</v>
      </c>
    </row>
    <row r="100" spans="1:60" x14ac:dyDescent="0.25">
      <c r="A100" s="3" t="s">
        <v>84</v>
      </c>
      <c r="B100" s="3" t="s">
        <v>109</v>
      </c>
      <c r="C100" s="3" t="s">
        <v>400</v>
      </c>
      <c r="D100" s="3" t="s">
        <v>114</v>
      </c>
      <c r="E100" s="3" t="s">
        <v>88</v>
      </c>
      <c r="F100" s="3" t="s">
        <v>91</v>
      </c>
      <c r="G100" s="3" t="s">
        <v>397</v>
      </c>
      <c r="H100" s="3" t="s">
        <v>402</v>
      </c>
      <c r="AT100" s="3">
        <v>61.375</v>
      </c>
      <c r="AU100" s="3">
        <v>58.180999999999997</v>
      </c>
      <c r="AV100" s="3">
        <v>72.656000000000006</v>
      </c>
      <c r="AW100" s="3">
        <v>78.343999999999994</v>
      </c>
      <c r="AX100" s="3">
        <v>94.55</v>
      </c>
      <c r="AY100" s="3">
        <v>88.594999999999999</v>
      </c>
      <c r="AZ100" s="3">
        <v>108.54</v>
      </c>
      <c r="BA100" s="132">
        <v>121.521</v>
      </c>
      <c r="BB100" s="132">
        <v>156.84699999999998</v>
      </c>
      <c r="BC100" s="132">
        <v>168.01299999999998</v>
      </c>
      <c r="BD100" s="132">
        <v>220.429</v>
      </c>
      <c r="BE100" s="132">
        <v>182.429</v>
      </c>
      <c r="BF100" s="132">
        <v>68.119</v>
      </c>
      <c r="BG100" s="132">
        <v>161.345</v>
      </c>
      <c r="BH100" s="132">
        <v>221.429</v>
      </c>
    </row>
    <row r="101" spans="1:60" x14ac:dyDescent="0.25">
      <c r="A101" s="3" t="s">
        <v>84</v>
      </c>
      <c r="B101" s="3" t="s">
        <v>111</v>
      </c>
      <c r="C101" s="3" t="s">
        <v>112</v>
      </c>
      <c r="D101" s="3" t="s">
        <v>114</v>
      </c>
      <c r="E101" s="3" t="s">
        <v>88</v>
      </c>
      <c r="F101" s="3" t="s">
        <v>91</v>
      </c>
      <c r="G101" s="3" t="s">
        <v>398</v>
      </c>
      <c r="AQ101" s="3">
        <v>2646</v>
      </c>
      <c r="AR101" s="3">
        <v>2261.7800000000002</v>
      </c>
      <c r="AS101" s="3">
        <v>2261.5590000000002</v>
      </c>
      <c r="AT101" s="3">
        <v>2236.8629999999998</v>
      </c>
      <c r="AU101" s="3">
        <v>2097.4690000000001</v>
      </c>
      <c r="AV101" s="3">
        <v>2236.9409999999998</v>
      </c>
      <c r="AW101" s="3">
        <v>2277.4540000000002</v>
      </c>
      <c r="AX101" s="3">
        <v>2369.596</v>
      </c>
      <c r="AY101" s="3">
        <v>2425.12</v>
      </c>
      <c r="AZ101" s="3">
        <v>2477.9690000000001</v>
      </c>
      <c r="BA101" s="132">
        <v>2502.7109999999998</v>
      </c>
      <c r="BB101" s="132">
        <v>2767.0279999999998</v>
      </c>
      <c r="BC101" s="132">
        <v>2923.424</v>
      </c>
      <c r="BD101" s="132">
        <v>2888.424</v>
      </c>
      <c r="BE101" s="132">
        <v>2894.424</v>
      </c>
      <c r="BF101" s="132">
        <v>1994</v>
      </c>
      <c r="BG101" s="132">
        <v>2718.1239999999998</v>
      </c>
      <c r="BH101" s="132">
        <v>2869.424</v>
      </c>
    </row>
    <row r="102" spans="1:60" x14ac:dyDescent="0.25">
      <c r="A102" s="3" t="s">
        <v>84</v>
      </c>
      <c r="B102" s="3" t="s">
        <v>110</v>
      </c>
      <c r="C102" s="3" t="s">
        <v>401</v>
      </c>
      <c r="D102" s="3" t="s">
        <v>114</v>
      </c>
      <c r="E102" s="3" t="s">
        <v>60</v>
      </c>
      <c r="F102" s="3" t="s">
        <v>91</v>
      </c>
      <c r="G102" s="3" t="s">
        <v>396</v>
      </c>
      <c r="AE102" s="3">
        <f t="shared" ref="AE102:AP102" si="31">AE99</f>
        <v>0</v>
      </c>
      <c r="AF102" s="3">
        <f t="shared" si="31"/>
        <v>0</v>
      </c>
      <c r="AG102" s="3">
        <f t="shared" si="31"/>
        <v>0</v>
      </c>
      <c r="AH102" s="3">
        <f t="shared" si="31"/>
        <v>0</v>
      </c>
      <c r="AI102" s="3">
        <f t="shared" si="31"/>
        <v>0</v>
      </c>
      <c r="AJ102" s="3">
        <f t="shared" si="31"/>
        <v>0</v>
      </c>
      <c r="AK102" s="3">
        <f t="shared" si="31"/>
        <v>0</v>
      </c>
      <c r="AL102" s="3">
        <f t="shared" si="31"/>
        <v>0</v>
      </c>
      <c r="AM102" s="3">
        <f t="shared" si="31"/>
        <v>0</v>
      </c>
      <c r="AN102" s="3">
        <f t="shared" si="31"/>
        <v>0</v>
      </c>
      <c r="AO102" s="3">
        <f t="shared" si="31"/>
        <v>0</v>
      </c>
      <c r="AP102" s="3">
        <f t="shared" si="31"/>
        <v>0</v>
      </c>
      <c r="AQ102" s="3">
        <f t="shared" ref="AQ102:AV104" si="32">AQ99</f>
        <v>0</v>
      </c>
      <c r="AR102" s="3">
        <f t="shared" si="32"/>
        <v>0</v>
      </c>
      <c r="AS102" s="3">
        <f t="shared" si="32"/>
        <v>0</v>
      </c>
      <c r="AT102" s="3">
        <f t="shared" si="32"/>
        <v>0</v>
      </c>
      <c r="AU102" s="3">
        <f t="shared" si="32"/>
        <v>56.588999999999999</v>
      </c>
      <c r="AV102" s="3">
        <f t="shared" si="32"/>
        <v>69</v>
      </c>
      <c r="AW102" s="3">
        <v>72.421999999999997</v>
      </c>
      <c r="AX102" s="3">
        <v>100.955</v>
      </c>
      <c r="AY102" s="3">
        <v>117.66200000000001</v>
      </c>
      <c r="AZ102" s="3">
        <v>114.166</v>
      </c>
      <c r="BA102" s="3">
        <v>129.44999999999999</v>
      </c>
      <c r="BB102" s="132">
        <v>164.45099999999999</v>
      </c>
      <c r="BC102" s="132">
        <v>219.96</v>
      </c>
      <c r="BD102" s="132">
        <v>211.16200000000001</v>
      </c>
      <c r="BE102" s="132">
        <v>211.16200000000001</v>
      </c>
      <c r="BF102" s="132">
        <v>148.23400000000001</v>
      </c>
      <c r="BG102" s="132">
        <v>182.2</v>
      </c>
      <c r="BH102" s="132">
        <v>200.05699999999999</v>
      </c>
    </row>
    <row r="103" spans="1:60" x14ac:dyDescent="0.25">
      <c r="A103" s="3" t="s">
        <v>84</v>
      </c>
      <c r="B103" s="3" t="s">
        <v>109</v>
      </c>
      <c r="C103" s="3" t="s">
        <v>400</v>
      </c>
      <c r="D103" s="3" t="s">
        <v>114</v>
      </c>
      <c r="E103" s="3" t="s">
        <v>60</v>
      </c>
      <c r="F103" s="3" t="s">
        <v>91</v>
      </c>
      <c r="G103" s="3" t="s">
        <v>397</v>
      </c>
      <c r="AE103" s="3">
        <f t="shared" ref="AE103:AP103" si="33">AE100</f>
        <v>0</v>
      </c>
      <c r="AF103" s="3">
        <f t="shared" si="33"/>
        <v>0</v>
      </c>
      <c r="AG103" s="3">
        <f t="shared" si="33"/>
        <v>0</v>
      </c>
      <c r="AH103" s="3">
        <f t="shared" si="33"/>
        <v>0</v>
      </c>
      <c r="AI103" s="3">
        <f t="shared" si="33"/>
        <v>0</v>
      </c>
      <c r="AJ103" s="3">
        <f t="shared" si="33"/>
        <v>0</v>
      </c>
      <c r="AK103" s="3">
        <f t="shared" si="33"/>
        <v>0</v>
      </c>
      <c r="AL103" s="3">
        <f t="shared" si="33"/>
        <v>0</v>
      </c>
      <c r="AM103" s="3">
        <f t="shared" si="33"/>
        <v>0</v>
      </c>
      <c r="AN103" s="3">
        <f t="shared" si="33"/>
        <v>0</v>
      </c>
      <c r="AO103" s="3">
        <f t="shared" si="33"/>
        <v>0</v>
      </c>
      <c r="AP103" s="3">
        <f t="shared" si="33"/>
        <v>0</v>
      </c>
      <c r="AQ103" s="3">
        <f>AQ100</f>
        <v>0</v>
      </c>
      <c r="AR103" s="3">
        <f t="shared" si="32"/>
        <v>0</v>
      </c>
      <c r="AS103" s="3">
        <f t="shared" si="32"/>
        <v>0</v>
      </c>
      <c r="AT103" s="3">
        <f t="shared" si="32"/>
        <v>61.375</v>
      </c>
      <c r="AU103" s="3">
        <f t="shared" si="32"/>
        <v>58.180999999999997</v>
      </c>
      <c r="AV103" s="3">
        <f t="shared" si="32"/>
        <v>72.656000000000006</v>
      </c>
      <c r="AW103" s="3">
        <v>78.343999999999994</v>
      </c>
      <c r="AX103" s="3">
        <v>94.55</v>
      </c>
      <c r="AY103" s="3">
        <v>88.594999999999999</v>
      </c>
      <c r="AZ103" s="3">
        <v>108.54</v>
      </c>
      <c r="BA103" s="3">
        <v>121.521</v>
      </c>
      <c r="BB103" s="132">
        <v>156.84699999999998</v>
      </c>
      <c r="BC103" s="132">
        <v>168.01299999999998</v>
      </c>
      <c r="BD103" s="132">
        <v>220.429</v>
      </c>
      <c r="BE103" s="132">
        <v>182.429</v>
      </c>
      <c r="BF103" s="132">
        <v>68.119</v>
      </c>
      <c r="BG103" s="132">
        <v>161.345</v>
      </c>
      <c r="BH103" s="132">
        <v>221.429</v>
      </c>
    </row>
    <row r="104" spans="1:60" x14ac:dyDescent="0.25">
      <c r="A104" s="3" t="s">
        <v>84</v>
      </c>
      <c r="B104" s="3" t="s">
        <v>111</v>
      </c>
      <c r="C104" s="3" t="s">
        <v>112</v>
      </c>
      <c r="D104" s="3" t="s">
        <v>114</v>
      </c>
      <c r="E104" s="3" t="s">
        <v>60</v>
      </c>
      <c r="F104" s="3" t="s">
        <v>91</v>
      </c>
      <c r="G104" s="3" t="s">
        <v>398</v>
      </c>
      <c r="AE104" s="3">
        <f t="shared" ref="AE104:AP104" si="34">AE101</f>
        <v>0</v>
      </c>
      <c r="AF104" s="3">
        <f t="shared" si="34"/>
        <v>0</v>
      </c>
      <c r="AG104" s="3">
        <f t="shared" si="34"/>
        <v>0</v>
      </c>
      <c r="AH104" s="3">
        <f t="shared" si="34"/>
        <v>0</v>
      </c>
      <c r="AI104" s="3">
        <f t="shared" si="34"/>
        <v>0</v>
      </c>
      <c r="AJ104" s="3">
        <f t="shared" si="34"/>
        <v>0</v>
      </c>
      <c r="AK104" s="3">
        <f t="shared" si="34"/>
        <v>0</v>
      </c>
      <c r="AL104" s="3">
        <f t="shared" si="34"/>
        <v>0</v>
      </c>
      <c r="AM104" s="3">
        <f t="shared" si="34"/>
        <v>0</v>
      </c>
      <c r="AN104" s="3">
        <f t="shared" si="34"/>
        <v>0</v>
      </c>
      <c r="AO104" s="3">
        <f t="shared" si="34"/>
        <v>0</v>
      </c>
      <c r="AP104" s="3">
        <f t="shared" si="34"/>
        <v>0</v>
      </c>
      <c r="AQ104" s="3">
        <f t="shared" si="32"/>
        <v>2646</v>
      </c>
      <c r="AR104" s="3">
        <f t="shared" si="32"/>
        <v>2261.7800000000002</v>
      </c>
      <c r="AS104" s="3">
        <f t="shared" si="32"/>
        <v>2261.5590000000002</v>
      </c>
      <c r="AT104" s="3">
        <f t="shared" si="32"/>
        <v>2236.8629999999998</v>
      </c>
      <c r="AU104" s="3">
        <f t="shared" si="32"/>
        <v>2097.4690000000001</v>
      </c>
      <c r="AV104" s="3">
        <f t="shared" si="32"/>
        <v>2236.9409999999998</v>
      </c>
      <c r="AW104" s="3">
        <v>2277.4540000000002</v>
      </c>
      <c r="AX104" s="3">
        <v>2369.596</v>
      </c>
      <c r="AY104" s="3">
        <v>2425.12</v>
      </c>
      <c r="AZ104" s="3">
        <v>2477.9690000000001</v>
      </c>
      <c r="BA104" s="3">
        <v>2502.7109999999998</v>
      </c>
      <c r="BB104" s="132">
        <v>2767.0279999999998</v>
      </c>
      <c r="BC104" s="132">
        <v>2923.424</v>
      </c>
      <c r="BD104" s="132">
        <v>2888.424</v>
      </c>
      <c r="BE104" s="132">
        <v>2894.424</v>
      </c>
      <c r="BF104" s="132">
        <v>1994</v>
      </c>
      <c r="BG104" s="132">
        <v>2718.1239999999998</v>
      </c>
      <c r="BH104" s="132">
        <v>2869.424</v>
      </c>
    </row>
    <row r="105" spans="1:60" x14ac:dyDescent="0.25">
      <c r="A105" s="3" t="s">
        <v>84</v>
      </c>
      <c r="B105" s="3" t="s">
        <v>45</v>
      </c>
      <c r="C105" s="3" t="s">
        <v>45</v>
      </c>
      <c r="D105" s="3" t="s">
        <v>114</v>
      </c>
      <c r="E105" s="3" t="s">
        <v>60</v>
      </c>
      <c r="F105" s="3" t="s">
        <v>91</v>
      </c>
      <c r="H105" s="3" t="s">
        <v>403</v>
      </c>
      <c r="AE105" s="3">
        <v>506</v>
      </c>
      <c r="AF105" s="3">
        <v>566</v>
      </c>
      <c r="AG105" s="3">
        <v>565</v>
      </c>
      <c r="AH105" s="3">
        <v>550</v>
      </c>
      <c r="AI105" s="3">
        <v>553</v>
      </c>
      <c r="AJ105" s="3">
        <v>546</v>
      </c>
      <c r="AK105" s="3">
        <v>522</v>
      </c>
      <c r="AL105" s="3">
        <v>574</v>
      </c>
      <c r="AM105" s="3">
        <v>586</v>
      </c>
      <c r="AN105" s="3">
        <v>615</v>
      </c>
      <c r="AO105" s="3">
        <v>662</v>
      </c>
      <c r="AP105" s="3">
        <v>639.96500000000003</v>
      </c>
      <c r="AQ105" s="3">
        <v>672.82500000000005</v>
      </c>
      <c r="AR105" s="3">
        <v>636.34299999999996</v>
      </c>
      <c r="AS105" s="3">
        <v>649.46500000000003</v>
      </c>
      <c r="AT105" s="3">
        <v>665.84500000000003</v>
      </c>
      <c r="AU105" s="3">
        <v>676.9140000000001</v>
      </c>
      <c r="AV105" s="3">
        <v>687.577</v>
      </c>
      <c r="AW105" s="3">
        <v>600.48300000000006</v>
      </c>
      <c r="AX105" s="3">
        <v>640.19500000000005</v>
      </c>
      <c r="AY105" s="3">
        <v>664.81500000000005</v>
      </c>
      <c r="AZ105" s="3">
        <v>640.19500000000005</v>
      </c>
      <c r="BA105" s="3">
        <v>660.52299999999991</v>
      </c>
      <c r="BB105" s="3">
        <v>460.714</v>
      </c>
      <c r="BC105" s="132">
        <v>1607.6310000000001</v>
      </c>
      <c r="BD105" s="132">
        <v>1455.43</v>
      </c>
      <c r="BE105" s="132">
        <v>1450.1969999999999</v>
      </c>
      <c r="BF105" s="132">
        <v>886.19699999999989</v>
      </c>
      <c r="BG105" s="132">
        <v>1368.385</v>
      </c>
      <c r="BH105" s="132">
        <v>1485.354</v>
      </c>
    </row>
    <row r="106" spans="1:60" x14ac:dyDescent="0.25">
      <c r="A106" s="3" t="s">
        <v>84</v>
      </c>
      <c r="B106" s="3" t="s">
        <v>45</v>
      </c>
      <c r="C106" s="3" t="s">
        <v>64</v>
      </c>
      <c r="D106" s="3" t="s">
        <v>114</v>
      </c>
      <c r="E106" s="3" t="s">
        <v>88</v>
      </c>
      <c r="F106" s="3" t="s">
        <v>91</v>
      </c>
      <c r="AE106" s="3">
        <v>27</v>
      </c>
      <c r="AF106" s="3">
        <v>43</v>
      </c>
      <c r="AG106" s="3">
        <v>51</v>
      </c>
      <c r="AH106" s="3">
        <v>46</v>
      </c>
      <c r="AI106" s="3">
        <v>42</v>
      </c>
      <c r="AJ106" s="3">
        <v>36</v>
      </c>
      <c r="AK106" s="3">
        <v>39</v>
      </c>
      <c r="AL106" s="3">
        <v>44</v>
      </c>
      <c r="AM106" s="3">
        <v>47</v>
      </c>
      <c r="AN106" s="3">
        <v>42</v>
      </c>
    </row>
    <row r="107" spans="1:60" x14ac:dyDescent="0.25">
      <c r="A107" s="3" t="s">
        <v>84</v>
      </c>
      <c r="B107" s="3" t="s">
        <v>45</v>
      </c>
      <c r="C107" s="3" t="s">
        <v>65</v>
      </c>
      <c r="D107" s="3" t="s">
        <v>114</v>
      </c>
      <c r="E107" s="3" t="s">
        <v>88</v>
      </c>
      <c r="F107" s="3" t="s">
        <v>91</v>
      </c>
      <c r="AE107" s="3">
        <v>212</v>
      </c>
      <c r="AF107" s="3">
        <v>225</v>
      </c>
      <c r="AG107" s="3">
        <v>209</v>
      </c>
      <c r="AH107" s="3">
        <v>209</v>
      </c>
      <c r="AI107" s="3">
        <v>210</v>
      </c>
      <c r="AJ107" s="3">
        <v>210</v>
      </c>
      <c r="AK107" s="3">
        <v>214</v>
      </c>
      <c r="AL107" s="3">
        <v>218</v>
      </c>
      <c r="AM107" s="3">
        <v>219</v>
      </c>
      <c r="AN107" s="3">
        <v>216</v>
      </c>
    </row>
    <row r="108" spans="1:60" x14ac:dyDescent="0.25">
      <c r="A108" s="3" t="s">
        <v>84</v>
      </c>
      <c r="B108" s="3" t="s">
        <v>45</v>
      </c>
      <c r="C108" s="3" t="s">
        <v>66</v>
      </c>
      <c r="D108" s="3" t="s">
        <v>114</v>
      </c>
      <c r="E108" s="3" t="s">
        <v>88</v>
      </c>
      <c r="F108" s="3" t="s">
        <v>91</v>
      </c>
      <c r="AE108" s="3">
        <v>131</v>
      </c>
      <c r="AF108" s="3">
        <v>137</v>
      </c>
      <c r="AG108" s="3">
        <v>140</v>
      </c>
      <c r="AH108" s="3">
        <v>126</v>
      </c>
      <c r="AI108" s="3">
        <v>126</v>
      </c>
      <c r="AJ108" s="3">
        <v>126</v>
      </c>
      <c r="AK108" s="3">
        <v>127</v>
      </c>
      <c r="AL108" s="3">
        <v>126</v>
      </c>
      <c r="AM108" s="3">
        <v>128</v>
      </c>
      <c r="AN108" s="3">
        <v>126</v>
      </c>
      <c r="AO108" s="3">
        <v>117</v>
      </c>
      <c r="AP108" s="3">
        <v>111</v>
      </c>
      <c r="AQ108" s="3">
        <v>120.464</v>
      </c>
      <c r="AR108" s="3">
        <v>133.19499999999999</v>
      </c>
      <c r="AS108" s="3">
        <v>131.97499999999999</v>
      </c>
      <c r="AT108" s="3">
        <v>121.617</v>
      </c>
      <c r="AU108" s="3">
        <v>120.852</v>
      </c>
      <c r="AV108" s="3">
        <v>122.78799999999998</v>
      </c>
      <c r="AW108" s="3">
        <v>126.17499999999998</v>
      </c>
      <c r="AX108" s="3">
        <v>116.602</v>
      </c>
      <c r="AY108" s="3">
        <v>119.82</v>
      </c>
      <c r="AZ108" s="3">
        <v>134.54000000000002</v>
      </c>
      <c r="BA108" s="3">
        <v>145.64936913389323</v>
      </c>
      <c r="BB108" s="3">
        <v>156.86736130884154</v>
      </c>
      <c r="BC108" s="132">
        <v>304.43400000000003</v>
      </c>
      <c r="BD108" s="132">
        <v>288.77199999999999</v>
      </c>
      <c r="BE108" s="132">
        <v>288.77199999999999</v>
      </c>
      <c r="BF108" s="132">
        <v>223.81800000000001</v>
      </c>
      <c r="BG108" s="132">
        <v>285.21199999999999</v>
      </c>
      <c r="BH108" s="132">
        <v>291.80200000000002</v>
      </c>
    </row>
    <row r="109" spans="1:60" x14ac:dyDescent="0.25">
      <c r="A109" s="3" t="s">
        <v>84</v>
      </c>
      <c r="B109" s="3" t="s">
        <v>45</v>
      </c>
      <c r="C109" s="3" t="s">
        <v>67</v>
      </c>
      <c r="D109" s="3" t="s">
        <v>114</v>
      </c>
      <c r="E109" s="3" t="s">
        <v>88</v>
      </c>
      <c r="F109" s="3" t="s">
        <v>91</v>
      </c>
      <c r="AE109" s="3">
        <v>137</v>
      </c>
      <c r="AF109" s="3">
        <v>161</v>
      </c>
      <c r="AG109" s="3">
        <v>166</v>
      </c>
      <c r="AH109" s="3">
        <v>170</v>
      </c>
      <c r="AI109" s="3">
        <v>175</v>
      </c>
      <c r="AJ109" s="3">
        <v>172</v>
      </c>
      <c r="AK109" s="3">
        <v>180</v>
      </c>
      <c r="AL109" s="3">
        <v>181</v>
      </c>
      <c r="AM109" s="3">
        <v>180</v>
      </c>
      <c r="AN109" s="3">
        <v>185</v>
      </c>
    </row>
    <row r="110" spans="1:60" x14ac:dyDescent="0.25">
      <c r="A110" s="3" t="s">
        <v>84</v>
      </c>
      <c r="B110" s="3" t="s">
        <v>45</v>
      </c>
      <c r="C110" s="3" t="s">
        <v>68</v>
      </c>
      <c r="D110" s="3" t="s">
        <v>114</v>
      </c>
      <c r="E110" s="3" t="s">
        <v>88</v>
      </c>
      <c r="F110" s="3" t="s">
        <v>91</v>
      </c>
      <c r="AJ110" s="3">
        <v>1</v>
      </c>
      <c r="AK110" s="3">
        <v>1</v>
      </c>
      <c r="AL110" s="3">
        <v>5</v>
      </c>
      <c r="AM110" s="3">
        <v>5</v>
      </c>
      <c r="AN110" s="3">
        <v>5</v>
      </c>
      <c r="AO110" s="3">
        <v>5</v>
      </c>
      <c r="AP110" s="3">
        <v>5</v>
      </c>
      <c r="AQ110" s="3">
        <v>112.47</v>
      </c>
      <c r="AR110" s="3">
        <v>14.625</v>
      </c>
      <c r="AS110" s="3">
        <v>45.969000000000001</v>
      </c>
      <c r="AT110" s="3">
        <v>118.64700000000001</v>
      </c>
      <c r="AU110" s="3">
        <v>110.22</v>
      </c>
      <c r="AV110" s="3">
        <v>99.051000000000002</v>
      </c>
      <c r="AW110" s="3">
        <v>0</v>
      </c>
      <c r="AX110" s="3">
        <v>0</v>
      </c>
      <c r="AY110" s="3">
        <v>0</v>
      </c>
      <c r="AZ110" s="3">
        <v>0</v>
      </c>
      <c r="BA110" s="3">
        <v>0</v>
      </c>
      <c r="BB110" s="3">
        <v>0</v>
      </c>
    </row>
    <row r="111" spans="1:60" x14ac:dyDescent="0.25">
      <c r="A111" s="3" t="s">
        <v>84</v>
      </c>
      <c r="B111" s="3" t="s">
        <v>45</v>
      </c>
      <c r="C111" s="3" t="s">
        <v>69</v>
      </c>
      <c r="D111" s="3" t="s">
        <v>114</v>
      </c>
      <c r="E111" s="3" t="s">
        <v>88</v>
      </c>
      <c r="F111" s="3" t="s">
        <v>91</v>
      </c>
      <c r="AS111" s="3">
        <v>160.83699999999999</v>
      </c>
      <c r="AT111" s="3">
        <v>157.041</v>
      </c>
      <c r="AU111" s="3">
        <v>160.232</v>
      </c>
      <c r="AV111" s="3">
        <v>159.73200000000003</v>
      </c>
      <c r="AW111" s="3">
        <v>217.44200000000001</v>
      </c>
      <c r="AX111" s="3">
        <v>217.44200000000001</v>
      </c>
      <c r="AY111" s="3">
        <v>157.38200000000001</v>
      </c>
      <c r="AZ111" s="3">
        <v>236.245</v>
      </c>
      <c r="BA111" s="3">
        <v>257.78399999999999</v>
      </c>
      <c r="BB111" s="3">
        <v>276.09021217865148</v>
      </c>
      <c r="BC111" s="132">
        <v>307.17599999999999</v>
      </c>
      <c r="BD111" s="132">
        <v>299.37700000000001</v>
      </c>
      <c r="BE111" s="132">
        <v>299.37700000000001</v>
      </c>
      <c r="BF111" s="132">
        <v>0</v>
      </c>
      <c r="BG111" s="132">
        <v>289.77999999999997</v>
      </c>
      <c r="BH111" s="132">
        <v>307.947</v>
      </c>
    </row>
    <row r="112" spans="1:60" x14ac:dyDescent="0.25">
      <c r="A112" s="3" t="s">
        <v>84</v>
      </c>
      <c r="B112" s="3" t="s">
        <v>45</v>
      </c>
      <c r="C112" s="3" t="s">
        <v>70</v>
      </c>
      <c r="D112" s="3" t="s">
        <v>114</v>
      </c>
      <c r="E112" s="3" t="s">
        <v>88</v>
      </c>
      <c r="F112" s="3" t="s">
        <v>91</v>
      </c>
      <c r="AS112" s="3">
        <v>138.14099999999999</v>
      </c>
      <c r="AT112" s="3">
        <v>99.991</v>
      </c>
      <c r="AU112" s="3">
        <v>101.71199999999999</v>
      </c>
      <c r="AV112" s="3">
        <v>103.804</v>
      </c>
      <c r="AW112" s="3">
        <v>0</v>
      </c>
      <c r="AX112" s="3">
        <v>0</v>
      </c>
      <c r="AY112" s="3">
        <v>79.459000000000003</v>
      </c>
      <c r="AZ112" s="3">
        <v>0</v>
      </c>
      <c r="BA112" s="3">
        <v>0</v>
      </c>
      <c r="BB112" s="3">
        <v>0</v>
      </c>
      <c r="BC112" s="132"/>
      <c r="BD112" s="132"/>
      <c r="BE112" s="132"/>
      <c r="BF112" s="132"/>
      <c r="BG112" s="132"/>
      <c r="BH112" s="132"/>
    </row>
    <row r="113" spans="1:63" x14ac:dyDescent="0.25">
      <c r="A113" s="3" t="s">
        <v>84</v>
      </c>
      <c r="B113" s="3" t="s">
        <v>45</v>
      </c>
      <c r="C113" s="3" t="s">
        <v>71</v>
      </c>
      <c r="D113" s="3" t="s">
        <v>114</v>
      </c>
      <c r="E113" s="3" t="s">
        <v>88</v>
      </c>
      <c r="F113" s="3" t="s">
        <v>91</v>
      </c>
      <c r="AS113" s="3">
        <v>99.191999999999993</v>
      </c>
      <c r="AT113" s="3">
        <v>92.271000000000015</v>
      </c>
      <c r="AU113" s="3">
        <v>94.510999999999996</v>
      </c>
      <c r="AV113" s="3">
        <v>94.310999999999993</v>
      </c>
      <c r="AW113" s="3">
        <v>69.75</v>
      </c>
      <c r="AX113" s="3">
        <v>69.75</v>
      </c>
      <c r="AY113" s="3">
        <v>99.728000000000009</v>
      </c>
      <c r="AZ113" s="3">
        <v>101.38800000000001</v>
      </c>
      <c r="BA113" s="3">
        <v>78.024000000000001</v>
      </c>
      <c r="BB113" s="3">
        <v>82.189218792195618</v>
      </c>
      <c r="BC113" s="132">
        <v>104.22</v>
      </c>
      <c r="BD113" s="132">
        <v>101.093</v>
      </c>
      <c r="BE113" s="132">
        <v>101.093</v>
      </c>
      <c r="BF113" s="132">
        <v>137.07300000000001</v>
      </c>
      <c r="BG113" s="132">
        <v>104.657</v>
      </c>
      <c r="BH113" s="132">
        <v>110.59399999999999</v>
      </c>
    </row>
    <row r="114" spans="1:63" x14ac:dyDescent="0.25">
      <c r="A114" s="3" t="s">
        <v>84</v>
      </c>
      <c r="B114" s="3" t="s">
        <v>45</v>
      </c>
      <c r="C114" s="3" t="s">
        <v>72</v>
      </c>
      <c r="D114" s="3" t="s">
        <v>114</v>
      </c>
      <c r="E114" s="3" t="s">
        <v>88</v>
      </c>
      <c r="F114" s="3" t="s">
        <v>91</v>
      </c>
      <c r="AO114" s="3">
        <v>112</v>
      </c>
      <c r="AP114" s="3">
        <v>110</v>
      </c>
      <c r="AQ114" s="3">
        <v>105.84799999999998</v>
      </c>
      <c r="AR114" s="3">
        <v>149.08600000000001</v>
      </c>
      <c r="AS114" s="3">
        <v>152.81100000000001</v>
      </c>
      <c r="AT114" s="3">
        <v>111.267</v>
      </c>
      <c r="AU114" s="3">
        <v>113.354</v>
      </c>
      <c r="AV114" s="3">
        <v>118.03399999999999</v>
      </c>
      <c r="AW114" s="3">
        <v>111.62100000000001</v>
      </c>
      <c r="AX114" s="3">
        <v>111.62100000000001</v>
      </c>
      <c r="AY114" s="3">
        <v>135.798</v>
      </c>
      <c r="AZ114" s="3">
        <v>123.979</v>
      </c>
      <c r="BA114" s="3">
        <v>127.86500000000001</v>
      </c>
      <c r="BB114" s="3">
        <v>138.39100666191732</v>
      </c>
      <c r="BC114" s="132">
        <v>200.256</v>
      </c>
      <c r="BD114" s="132">
        <v>198.636</v>
      </c>
      <c r="BE114" s="132">
        <v>198.636</v>
      </c>
      <c r="BF114" s="132">
        <v>136.52600000000001</v>
      </c>
      <c r="BG114" s="132">
        <v>190.565</v>
      </c>
      <c r="BH114" s="132">
        <v>209.43899999999999</v>
      </c>
    </row>
    <row r="115" spans="1:63" x14ac:dyDescent="0.25">
      <c r="A115" s="3" t="s">
        <v>84</v>
      </c>
      <c r="B115" s="3" t="s">
        <v>45</v>
      </c>
      <c r="C115" s="3" t="s">
        <v>73</v>
      </c>
      <c r="D115" s="3" t="s">
        <v>114</v>
      </c>
      <c r="E115" s="3" t="s">
        <v>88</v>
      </c>
      <c r="F115" s="3" t="s">
        <v>91</v>
      </c>
      <c r="AO115" s="3">
        <v>58</v>
      </c>
      <c r="AP115" s="3">
        <v>51</v>
      </c>
      <c r="AQ115" s="3">
        <v>88.451999999999998</v>
      </c>
      <c r="AR115" s="3">
        <v>90.515000000000001</v>
      </c>
      <c r="AS115" s="3">
        <v>91.515000000000001</v>
      </c>
      <c r="AT115" s="3">
        <v>83.22999999999999</v>
      </c>
      <c r="AU115" s="3">
        <v>85.78</v>
      </c>
      <c r="AV115" s="3">
        <v>88.435000000000002</v>
      </c>
      <c r="AW115" s="3">
        <v>75.495000000000005</v>
      </c>
      <c r="AX115" s="3">
        <v>75.495000000000005</v>
      </c>
      <c r="AY115" s="3">
        <v>51.225999999999999</v>
      </c>
      <c r="AZ115" s="3">
        <v>83.38300000000001</v>
      </c>
      <c r="BA115" s="3">
        <v>93.057000000000002</v>
      </c>
      <c r="BB115" s="3">
        <v>130.03904434967271</v>
      </c>
      <c r="BC115" s="132">
        <v>284.60700000000003</v>
      </c>
      <c r="BD115" s="132">
        <v>273.221</v>
      </c>
      <c r="BE115" s="132">
        <v>273.221</v>
      </c>
      <c r="BF115" s="132">
        <v>165.041</v>
      </c>
      <c r="BG115" s="132">
        <v>283.221</v>
      </c>
      <c r="BH115" s="132">
        <v>279.721</v>
      </c>
    </row>
    <row r="116" spans="1:63" x14ac:dyDescent="0.25">
      <c r="A116" s="3" t="s">
        <v>84</v>
      </c>
      <c r="B116" s="3" t="s">
        <v>45</v>
      </c>
      <c r="C116" s="3" t="s">
        <v>21</v>
      </c>
      <c r="D116" s="3" t="s">
        <v>115</v>
      </c>
      <c r="E116" s="3" t="s">
        <v>88</v>
      </c>
      <c r="F116" s="3" t="s">
        <v>91</v>
      </c>
      <c r="H116" s="3" t="s">
        <v>363</v>
      </c>
      <c r="AN116" s="3">
        <v>74</v>
      </c>
    </row>
    <row r="117" spans="1:63" x14ac:dyDescent="0.25">
      <c r="A117" s="3" t="s">
        <v>74</v>
      </c>
      <c r="B117" s="3" t="s">
        <v>74</v>
      </c>
      <c r="C117" s="3" t="s">
        <v>74</v>
      </c>
      <c r="D117" s="3" t="s">
        <v>114</v>
      </c>
      <c r="E117" s="3" t="s">
        <v>75</v>
      </c>
      <c r="F117" s="3" t="s">
        <v>91</v>
      </c>
      <c r="H117" s="3" t="s">
        <v>308</v>
      </c>
      <c r="I117" s="3">
        <v>698.83500000000004</v>
      </c>
      <c r="J117" s="3">
        <v>771.69500000000005</v>
      </c>
      <c r="K117" s="3">
        <v>2763.7449999999999</v>
      </c>
      <c r="L117" s="3">
        <v>5498.6350000000002</v>
      </c>
      <c r="M117" s="3">
        <v>5402.5609999999997</v>
      </c>
      <c r="N117" s="3">
        <v>4669.415</v>
      </c>
      <c r="O117" s="3">
        <v>3030.6689999999999</v>
      </c>
      <c r="P117" s="3">
        <v>3676.0129999999999</v>
      </c>
      <c r="Q117" s="3">
        <v>3688.6880000000001</v>
      </c>
      <c r="R117" s="3">
        <v>4067</v>
      </c>
      <c r="S117" s="3">
        <v>4353.6549999999997</v>
      </c>
      <c r="T117" s="3">
        <v>3663.8409999999999</v>
      </c>
      <c r="U117" s="3">
        <v>5364.0919999999996</v>
      </c>
      <c r="V117" s="3">
        <v>5027.442</v>
      </c>
      <c r="W117" s="3">
        <v>5155.125</v>
      </c>
      <c r="X117" s="3">
        <v>5461.808</v>
      </c>
      <c r="Y117" s="3">
        <v>6094.2870000000003</v>
      </c>
      <c r="Z117" s="3">
        <v>6668.8530000000001</v>
      </c>
      <c r="AA117" s="3">
        <v>6892.424</v>
      </c>
      <c r="AB117" s="3">
        <v>6658.9269999999997</v>
      </c>
      <c r="AC117" s="3">
        <v>7240.8869999999997</v>
      </c>
      <c r="AD117" s="3">
        <v>6528</v>
      </c>
      <c r="AE117" s="3">
        <v>6799</v>
      </c>
      <c r="AF117" s="3">
        <v>7360</v>
      </c>
      <c r="AG117" s="3">
        <v>7591</v>
      </c>
      <c r="AH117" s="3">
        <v>7433</v>
      </c>
      <c r="AI117" s="3">
        <v>7812</v>
      </c>
      <c r="AJ117" s="3">
        <v>8100</v>
      </c>
      <c r="AK117" s="3">
        <v>8083</v>
      </c>
      <c r="AL117" s="3">
        <v>8368</v>
      </c>
      <c r="AM117" s="3">
        <v>8029</v>
      </c>
      <c r="AN117" s="3">
        <v>7617.4</v>
      </c>
      <c r="AO117" s="3">
        <v>7725.1</v>
      </c>
      <c r="AP117" s="3">
        <v>7472.3239999999996</v>
      </c>
      <c r="AQ117" s="3">
        <v>7802</v>
      </c>
      <c r="AR117" s="3">
        <v>10300</v>
      </c>
      <c r="AS117" s="3">
        <v>8682</v>
      </c>
      <c r="AT117" s="3">
        <v>9218</v>
      </c>
      <c r="AU117" s="3">
        <v>7901</v>
      </c>
      <c r="AV117" s="3">
        <v>8200</v>
      </c>
      <c r="AW117" s="3">
        <v>8140</v>
      </c>
      <c r="AX117" s="3">
        <v>8139.8869999999997</v>
      </c>
      <c r="AY117" s="3">
        <v>8058.4880000000003</v>
      </c>
      <c r="AZ117" s="3">
        <v>8824.4879999999994</v>
      </c>
      <c r="BA117" s="132">
        <v>8799.6913999999997</v>
      </c>
      <c r="BB117" s="132">
        <v>9457.02</v>
      </c>
      <c r="BC117" s="132">
        <v>9378.5209999999988</v>
      </c>
      <c r="BD117" s="132">
        <v>8597.68</v>
      </c>
      <c r="BE117" s="132">
        <v>11821.675000000001</v>
      </c>
      <c r="BF117" s="132">
        <v>9162.2309999999998</v>
      </c>
      <c r="BG117" s="132">
        <v>9101.5889999999999</v>
      </c>
      <c r="BH117" s="132">
        <v>4200</v>
      </c>
    </row>
    <row r="118" spans="1:63" x14ac:dyDescent="0.25">
      <c r="A118" s="3" t="s">
        <v>74</v>
      </c>
      <c r="B118" s="3" t="s">
        <v>54</v>
      </c>
      <c r="C118" s="3" t="s">
        <v>54</v>
      </c>
      <c r="D118" s="3" t="s">
        <v>114</v>
      </c>
      <c r="E118" s="3" t="s">
        <v>60</v>
      </c>
      <c r="F118" s="3" t="s">
        <v>91</v>
      </c>
      <c r="H118" s="3" t="s">
        <v>404</v>
      </c>
      <c r="W118" s="3">
        <v>397.9</v>
      </c>
      <c r="X118" s="3">
        <v>424.2</v>
      </c>
      <c r="Y118" s="3">
        <v>458.9</v>
      </c>
      <c r="Z118" s="3">
        <v>492.5</v>
      </c>
      <c r="AA118" s="3">
        <v>496.7</v>
      </c>
      <c r="AB118" s="3">
        <v>588.1</v>
      </c>
      <c r="AC118" s="3">
        <v>614.29999999999995</v>
      </c>
      <c r="AD118" s="3">
        <v>482.5</v>
      </c>
      <c r="AE118" s="3">
        <v>535</v>
      </c>
      <c r="AF118" s="3">
        <v>531</v>
      </c>
      <c r="AG118" s="3">
        <v>552</v>
      </c>
      <c r="AH118" s="3">
        <v>512</v>
      </c>
      <c r="AI118" s="3">
        <v>585</v>
      </c>
      <c r="AJ118" s="3">
        <v>599</v>
      </c>
      <c r="AK118" s="3">
        <v>585</v>
      </c>
      <c r="AL118" s="3">
        <v>525</v>
      </c>
      <c r="AM118" s="3">
        <v>520</v>
      </c>
      <c r="AN118" s="3">
        <v>535</v>
      </c>
      <c r="AO118" s="3">
        <v>569</v>
      </c>
      <c r="AP118" s="3">
        <v>553.80000000000007</v>
      </c>
      <c r="AQ118" s="3">
        <v>544</v>
      </c>
      <c r="AR118" s="3">
        <v>507.05</v>
      </c>
      <c r="AS118" s="3">
        <v>517.79999999999995</v>
      </c>
      <c r="AT118" s="3">
        <v>500.79999999999995</v>
      </c>
      <c r="AU118" s="3">
        <v>493.5</v>
      </c>
      <c r="AV118" s="3">
        <v>482</v>
      </c>
      <c r="AW118" s="3">
        <v>475.70000000000005</v>
      </c>
      <c r="AX118" s="3">
        <v>474</v>
      </c>
      <c r="AY118" s="3">
        <v>488.5</v>
      </c>
      <c r="AZ118" s="3">
        <v>494.39900000000006</v>
      </c>
      <c r="BA118" s="132">
        <v>695.06309999999996</v>
      </c>
      <c r="BB118" s="132">
        <v>750.44200000000001</v>
      </c>
      <c r="BC118" s="132">
        <v>626.89499999999998</v>
      </c>
      <c r="BD118" s="132">
        <v>740.947</v>
      </c>
      <c r="BE118" s="132">
        <v>802.27599999999995</v>
      </c>
      <c r="BF118" s="132">
        <v>758.10299999999995</v>
      </c>
      <c r="BG118" s="132">
        <v>756.07299999999998</v>
      </c>
      <c r="BH118" s="132">
        <v>501</v>
      </c>
    </row>
    <row r="119" spans="1:63" x14ac:dyDescent="0.25">
      <c r="A119" s="3" t="s">
        <v>74</v>
      </c>
      <c r="B119" s="3" t="s">
        <v>54</v>
      </c>
      <c r="C119" s="3" t="s">
        <v>76</v>
      </c>
      <c r="D119" s="3" t="s">
        <v>114</v>
      </c>
      <c r="E119" s="3" t="s">
        <v>88</v>
      </c>
      <c r="F119" s="3" t="s">
        <v>91</v>
      </c>
      <c r="H119" s="3" t="s">
        <v>408</v>
      </c>
      <c r="AJ119" s="3">
        <v>97</v>
      </c>
      <c r="AK119" s="3">
        <v>101</v>
      </c>
      <c r="AL119" s="3">
        <v>94</v>
      </c>
      <c r="AM119" s="3">
        <v>97</v>
      </c>
      <c r="AN119" s="3">
        <v>81</v>
      </c>
      <c r="AO119" s="3">
        <v>111</v>
      </c>
      <c r="AP119" s="3">
        <v>119.756</v>
      </c>
      <c r="AQ119" s="3">
        <v>98.048000000000002</v>
      </c>
      <c r="AR119" s="3">
        <v>87.126000000000005</v>
      </c>
      <c r="AS119" s="3">
        <v>99.4298</v>
      </c>
      <c r="AT119" s="3">
        <v>84.453400000000002</v>
      </c>
      <c r="AU119" s="3">
        <v>104.4079</v>
      </c>
      <c r="AV119" s="3">
        <v>90.0762</v>
      </c>
      <c r="AW119" s="3">
        <v>87.503900000000002</v>
      </c>
      <c r="AX119" s="3">
        <v>85.895799999999994</v>
      </c>
      <c r="AY119" s="3">
        <v>95.350999999999999</v>
      </c>
      <c r="AZ119" s="3">
        <v>76.733000000000004</v>
      </c>
      <c r="BA119" s="132">
        <v>85.895799999999994</v>
      </c>
      <c r="BB119" s="132">
        <v>95.350999999999999</v>
      </c>
      <c r="BC119" s="132">
        <v>76.733000000000004</v>
      </c>
      <c r="BD119" s="132">
        <v>93.402000000000001</v>
      </c>
      <c r="BE119" s="132">
        <v>100.44799999999999</v>
      </c>
      <c r="BF119" s="132">
        <v>100.44799999999999</v>
      </c>
      <c r="BG119" s="132">
        <v>96</v>
      </c>
      <c r="BH119" s="132">
        <v>33.542999999999999</v>
      </c>
    </row>
    <row r="120" spans="1:63" x14ac:dyDescent="0.25">
      <c r="A120" s="3" t="s">
        <v>74</v>
      </c>
      <c r="B120" s="3" t="s">
        <v>54</v>
      </c>
      <c r="C120" s="3" t="s">
        <v>77</v>
      </c>
      <c r="D120" s="3" t="s">
        <v>114</v>
      </c>
      <c r="E120" s="3" t="s">
        <v>88</v>
      </c>
      <c r="F120" s="3" t="s">
        <v>91</v>
      </c>
      <c r="H120" s="3" t="s">
        <v>406</v>
      </c>
      <c r="AJ120" s="3">
        <v>93</v>
      </c>
      <c r="AK120" s="3">
        <v>100</v>
      </c>
      <c r="AL120" s="3">
        <v>105</v>
      </c>
      <c r="AM120" s="3">
        <v>104</v>
      </c>
      <c r="AN120" s="3">
        <v>110</v>
      </c>
      <c r="AO120" s="3">
        <v>111</v>
      </c>
      <c r="AP120" s="3">
        <v>117.458</v>
      </c>
      <c r="AQ120" s="3">
        <v>112.786</v>
      </c>
      <c r="AR120" s="3">
        <v>106.241</v>
      </c>
      <c r="AS120" s="3">
        <v>120.0853</v>
      </c>
      <c r="AT120" s="3">
        <v>102.24939999999999</v>
      </c>
      <c r="AU120" s="3">
        <v>114.8749</v>
      </c>
      <c r="AV120" s="3">
        <v>104.6876</v>
      </c>
      <c r="AW120" s="3">
        <v>104.1635</v>
      </c>
      <c r="AX120" s="3">
        <v>100.1237</v>
      </c>
      <c r="AY120" s="3">
        <v>108.50700000000001</v>
      </c>
      <c r="AZ120" s="3">
        <v>92.718999999999994</v>
      </c>
      <c r="BA120" s="132">
        <v>100.1237</v>
      </c>
      <c r="BB120" s="132">
        <v>108.50700000000001</v>
      </c>
      <c r="BC120" s="132">
        <v>92.718999999999994</v>
      </c>
      <c r="BD120" s="132">
        <v>113.42700000000001</v>
      </c>
      <c r="BE120" s="132">
        <v>116.14100000000001</v>
      </c>
      <c r="BF120" s="132">
        <v>116.14100000000001</v>
      </c>
      <c r="BG120" s="132">
        <v>111.5</v>
      </c>
      <c r="BH120" s="132">
        <v>78.947999999999993</v>
      </c>
    </row>
    <row r="121" spans="1:63" x14ac:dyDescent="0.25">
      <c r="A121" s="3" t="s">
        <v>74</v>
      </c>
      <c r="B121" s="3" t="s">
        <v>54</v>
      </c>
      <c r="C121" s="3" t="s">
        <v>78</v>
      </c>
      <c r="D121" s="3" t="s">
        <v>114</v>
      </c>
      <c r="E121" s="3" t="s">
        <v>88</v>
      </c>
      <c r="F121" s="3" t="s">
        <v>91</v>
      </c>
      <c r="H121" s="3" t="s">
        <v>409</v>
      </c>
      <c r="AO121" s="3">
        <v>188</v>
      </c>
      <c r="AP121" s="3">
        <v>192.43600000000001</v>
      </c>
      <c r="AQ121" s="3">
        <v>173.52500000000001</v>
      </c>
      <c r="AR121" s="3">
        <v>154.72</v>
      </c>
      <c r="AS121" s="3">
        <v>160.80070000000001</v>
      </c>
      <c r="AT121" s="3">
        <v>138.3475</v>
      </c>
      <c r="AU121" s="3">
        <v>154.3494</v>
      </c>
      <c r="AV121" s="3">
        <v>142.42910000000001</v>
      </c>
      <c r="AW121" s="3">
        <v>131.75729999999999</v>
      </c>
      <c r="AX121" s="3">
        <v>135.0831</v>
      </c>
      <c r="AY121" s="3">
        <v>143.191</v>
      </c>
      <c r="AZ121" s="3">
        <v>112.717</v>
      </c>
      <c r="BA121" s="132">
        <v>135.0831</v>
      </c>
      <c r="BB121" s="132">
        <v>143.191</v>
      </c>
      <c r="BC121" s="132">
        <v>112.717</v>
      </c>
      <c r="BD121" s="132">
        <v>133.80799999999999</v>
      </c>
      <c r="BE121" s="132">
        <v>137.857</v>
      </c>
      <c r="BF121" s="132">
        <v>137.857</v>
      </c>
      <c r="BG121" s="132">
        <v>132.5</v>
      </c>
      <c r="BH121" s="132">
        <v>58.597000000000001</v>
      </c>
    </row>
    <row r="122" spans="1:63" x14ac:dyDescent="0.25">
      <c r="A122" s="3" t="s">
        <v>74</v>
      </c>
      <c r="B122" s="3" t="s">
        <v>54</v>
      </c>
      <c r="C122" s="3" t="s">
        <v>79</v>
      </c>
      <c r="D122" s="3" t="s">
        <v>114</v>
      </c>
      <c r="E122" s="3" t="s">
        <v>88</v>
      </c>
      <c r="F122" s="3" t="s">
        <v>91</v>
      </c>
      <c r="H122" s="3" t="s">
        <v>407</v>
      </c>
      <c r="AO122" s="3">
        <v>78</v>
      </c>
      <c r="AP122" s="3">
        <v>85.213999999999999</v>
      </c>
      <c r="AQ122" s="3">
        <v>130.19</v>
      </c>
      <c r="AR122" s="3">
        <v>123.093</v>
      </c>
      <c r="AS122" s="3">
        <v>137.2817</v>
      </c>
      <c r="AT122" s="3">
        <v>130.1309</v>
      </c>
      <c r="AU122" s="3">
        <v>129.3304</v>
      </c>
      <c r="AV122" s="3">
        <v>129.69909999999999</v>
      </c>
      <c r="AW122" s="3">
        <v>113.1566</v>
      </c>
      <c r="AX122" s="3">
        <v>124.3079</v>
      </c>
      <c r="AY122" s="3">
        <v>134.62899999999999</v>
      </c>
      <c r="AZ122" s="3">
        <v>111.217</v>
      </c>
      <c r="BA122" s="132">
        <v>124.3079</v>
      </c>
      <c r="BB122" s="132">
        <v>134.62899999999999</v>
      </c>
      <c r="BC122" s="132">
        <v>111.217</v>
      </c>
      <c r="BD122" s="132">
        <v>131.09200000000001</v>
      </c>
      <c r="BE122" s="132">
        <v>132.46799999999999</v>
      </c>
      <c r="BF122" s="132">
        <v>132.46799999999999</v>
      </c>
      <c r="BG122" s="132">
        <v>127.03700000000001</v>
      </c>
      <c r="BH122" s="132">
        <v>91.646000000000001</v>
      </c>
    </row>
    <row r="123" spans="1:63" x14ac:dyDescent="0.25">
      <c r="A123" s="3" t="s">
        <v>74</v>
      </c>
      <c r="B123" s="3" t="s">
        <v>54</v>
      </c>
      <c r="C123" s="3" t="s">
        <v>80</v>
      </c>
      <c r="D123" s="3" t="s">
        <v>114</v>
      </c>
      <c r="E123" s="3" t="s">
        <v>88</v>
      </c>
      <c r="F123" s="3" t="s">
        <v>91</v>
      </c>
      <c r="AE123" s="132">
        <f t="shared" ref="AE123" si="35">AE118-AE119-AE120-AE121-AE122</f>
        <v>535</v>
      </c>
      <c r="AF123" s="132">
        <f t="shared" ref="AF123" si="36">AF118-AF119-AF120-AF121-AF122</f>
        <v>531</v>
      </c>
      <c r="AG123" s="132">
        <f t="shared" ref="AG123" si="37">AG118-AG119-AG120-AG121-AG122</f>
        <v>552</v>
      </c>
      <c r="AH123" s="132">
        <f t="shared" ref="AH123" si="38">AH118-AH119-AH120-AH121-AH122</f>
        <v>512</v>
      </c>
      <c r="AI123" s="132">
        <f t="shared" ref="AI123" si="39">AI118-AI119-AI120-AI121-AI122</f>
        <v>585</v>
      </c>
      <c r="AJ123" s="132">
        <f t="shared" ref="AJ123" si="40">AJ118-AJ119-AJ120-AJ121-AJ122</f>
        <v>409</v>
      </c>
      <c r="AK123" s="132">
        <f t="shared" ref="AK123" si="41">AK118-AK119-AK120-AK121-AK122</f>
        <v>384</v>
      </c>
      <c r="AL123" s="132">
        <f t="shared" ref="AL123" si="42">AL118-AL119-AL120-AL121-AL122</f>
        <v>326</v>
      </c>
      <c r="AM123" s="132">
        <f t="shared" ref="AM123" si="43">AM118-AM119-AM120-AM121-AM122</f>
        <v>319</v>
      </c>
      <c r="AN123" s="132">
        <f t="shared" ref="AN123" si="44">AN118-AN119-AN120-AN121-AN122</f>
        <v>344</v>
      </c>
      <c r="AO123" s="132">
        <f t="shared" ref="AO123" si="45">AO118-AO119-AO120-AO121-AO122</f>
        <v>81</v>
      </c>
      <c r="AP123" s="132">
        <f t="shared" ref="AP123" si="46">AP118-AP119-AP120-AP121-AP122</f>
        <v>38.936000000000121</v>
      </c>
      <c r="AQ123" s="132">
        <f t="shared" ref="AQ123" si="47">AQ118-AQ119-AQ120-AQ121-AQ122</f>
        <v>29.450999999999993</v>
      </c>
      <c r="AR123" s="132">
        <f t="shared" ref="AR123" si="48">AR118-AR119-AR120-AR121-AR122</f>
        <v>35.86999999999999</v>
      </c>
      <c r="AS123" s="132">
        <f t="shared" ref="AS123" si="49">AS118-AS119-AS120-AS121-AS122</f>
        <v>0.20249999999992951</v>
      </c>
      <c r="AT123" s="132">
        <f t="shared" ref="AT123" si="50">AT118-AT119-AT120-AT121-AT122</f>
        <v>45.618799999999993</v>
      </c>
      <c r="AU123" s="132">
        <f t="shared" ref="AU123" si="51">AU118-AU119-AU120-AU121-AU122</f>
        <v>-9.4625999999999522</v>
      </c>
      <c r="AV123" s="132">
        <f t="shared" ref="AV123" si="52">AV118-AV119-AV120-AV121-AV122</f>
        <v>15.108000000000061</v>
      </c>
      <c r="AW123" s="132">
        <v>39.118700000000075</v>
      </c>
      <c r="AX123" s="132">
        <v>28.589500000000001</v>
      </c>
      <c r="AY123" s="132">
        <v>6.8220000000000027</v>
      </c>
      <c r="AZ123" s="132">
        <v>101.01300000000008</v>
      </c>
      <c r="BA123" s="132">
        <v>249.65259999999995</v>
      </c>
      <c r="BB123" s="132">
        <v>268.76400000000001</v>
      </c>
      <c r="BC123" s="132">
        <v>233.50900000000007</v>
      </c>
      <c r="BD123" s="132">
        <v>269.21799999999996</v>
      </c>
      <c r="BE123" s="132">
        <v>315.36200000000008</v>
      </c>
      <c r="BF123" s="132">
        <v>271.18900000000008</v>
      </c>
      <c r="BG123" s="132">
        <v>289.03599999999994</v>
      </c>
      <c r="BH123" s="132">
        <v>238.26600000000002</v>
      </c>
    </row>
    <row r="124" spans="1:63" x14ac:dyDescent="0.25">
      <c r="A124" s="3" t="s">
        <v>74</v>
      </c>
      <c r="B124" s="3" t="s">
        <v>96</v>
      </c>
      <c r="C124" s="3" t="s">
        <v>96</v>
      </c>
      <c r="D124" s="3" t="s">
        <v>114</v>
      </c>
      <c r="E124" s="3" t="s">
        <v>88</v>
      </c>
      <c r="F124" s="3" t="s">
        <v>91</v>
      </c>
      <c r="H124" s="3" t="s">
        <v>405</v>
      </c>
      <c r="AH124" s="3">
        <v>2083.3960000000002</v>
      </c>
      <c r="AI124" s="3">
        <v>2119.3629999999998</v>
      </c>
      <c r="AJ124" s="3">
        <v>2047.704</v>
      </c>
      <c r="AK124" s="3">
        <v>2219.6590000000001</v>
      </c>
      <c r="AL124" s="3">
        <v>2316.9580000000001</v>
      </c>
      <c r="AM124" s="3">
        <v>2346.7109999999998</v>
      </c>
      <c r="AN124" s="3">
        <v>2306.6170000000002</v>
      </c>
      <c r="AO124" s="3">
        <v>2298.1880000000001</v>
      </c>
      <c r="AP124" s="3">
        <v>2392.0790000000002</v>
      </c>
      <c r="AQ124" s="3">
        <v>2405.797</v>
      </c>
      <c r="AR124" s="3">
        <v>2993.779</v>
      </c>
      <c r="AS124" s="3">
        <v>2756.47</v>
      </c>
      <c r="AT124" s="3">
        <v>2660</v>
      </c>
      <c r="AU124" s="3">
        <v>2511.4059999999999</v>
      </c>
      <c r="AV124" s="3">
        <v>2624.1489999999999</v>
      </c>
      <c r="AW124" s="3">
        <v>2631.4159</v>
      </c>
      <c r="AX124" s="3">
        <v>2650.7946999999999</v>
      </c>
      <c r="AY124" s="3">
        <v>2619.799</v>
      </c>
      <c r="AZ124" s="3">
        <v>2597.9989999999998</v>
      </c>
      <c r="BA124" s="132">
        <v>2596.4722000000002</v>
      </c>
      <c r="BB124" s="132">
        <v>2713.7930000000001</v>
      </c>
      <c r="BC124" s="132">
        <v>2572.857</v>
      </c>
      <c r="BD124" s="132">
        <v>3279</v>
      </c>
      <c r="BE124" s="132">
        <v>3292</v>
      </c>
      <c r="BF124" s="132">
        <v>3178</v>
      </c>
      <c r="BG124" s="132">
        <v>3195.0279999999998</v>
      </c>
      <c r="BH124" s="132">
        <v>2482</v>
      </c>
    </row>
    <row r="125" spans="1:63" s="112" customFormat="1" x14ac:dyDescent="0.25">
      <c r="A125" s="1" t="s">
        <v>100</v>
      </c>
      <c r="B125" s="1" t="s">
        <v>97</v>
      </c>
      <c r="C125" s="1" t="s">
        <v>421</v>
      </c>
      <c r="D125" s="3" t="s">
        <v>114</v>
      </c>
      <c r="E125" s="112" t="s">
        <v>60</v>
      </c>
      <c r="F125" s="3" t="s">
        <v>91</v>
      </c>
      <c r="G125" s="3" t="s">
        <v>410</v>
      </c>
      <c r="H125" s="3" t="s">
        <v>418</v>
      </c>
      <c r="W125" s="112">
        <v>146.80000000000001</v>
      </c>
      <c r="X125" s="112">
        <v>188</v>
      </c>
      <c r="Y125" s="112">
        <v>244.7</v>
      </c>
      <c r="Z125" s="112">
        <v>270.10000000000002</v>
      </c>
      <c r="AA125" s="112">
        <v>278.3</v>
      </c>
      <c r="AB125" s="112">
        <v>291.89999999999998</v>
      </c>
      <c r="AC125" s="112">
        <v>298.89999999999998</v>
      </c>
      <c r="AD125" s="112">
        <v>232</v>
      </c>
      <c r="AE125" s="112">
        <v>208</v>
      </c>
      <c r="AF125" s="112">
        <v>199</v>
      </c>
      <c r="AG125" s="137">
        <v>150</v>
      </c>
      <c r="AH125" s="137">
        <v>156</v>
      </c>
      <c r="AI125" s="137">
        <v>189</v>
      </c>
      <c r="AJ125" s="137">
        <v>198</v>
      </c>
      <c r="AK125" s="137">
        <v>147</v>
      </c>
      <c r="AL125" s="137">
        <v>119</v>
      </c>
      <c r="AM125" s="137">
        <v>130</v>
      </c>
      <c r="AN125" s="34">
        <v>137</v>
      </c>
      <c r="AO125" s="137">
        <v>130</v>
      </c>
      <c r="AP125" s="137">
        <v>147</v>
      </c>
      <c r="AQ125" s="137">
        <v>171</v>
      </c>
      <c r="AR125" s="137">
        <v>191</v>
      </c>
      <c r="AS125" s="34">
        <v>169.66</v>
      </c>
      <c r="AT125" s="34">
        <v>167.55600000000001</v>
      </c>
      <c r="AU125" s="34">
        <v>166</v>
      </c>
      <c r="AV125" s="34">
        <v>132.608</v>
      </c>
      <c r="AW125" s="34">
        <v>156.75</v>
      </c>
      <c r="AX125" s="34">
        <v>166</v>
      </c>
      <c r="AY125" s="34">
        <v>176.5</v>
      </c>
      <c r="AZ125" s="34">
        <v>188.92599999999999</v>
      </c>
      <c r="BA125" s="2">
        <v>198</v>
      </c>
      <c r="BB125" s="2">
        <v>248.5</v>
      </c>
      <c r="BC125" s="2">
        <v>255</v>
      </c>
      <c r="BD125" s="2">
        <v>280</v>
      </c>
      <c r="BE125" s="2">
        <v>223</v>
      </c>
      <c r="BF125" s="2">
        <v>165</v>
      </c>
      <c r="BG125" s="2">
        <v>230</v>
      </c>
      <c r="BH125" s="2">
        <v>290</v>
      </c>
      <c r="BI125" s="2"/>
      <c r="BJ125" s="34"/>
      <c r="BK125" s="34"/>
    </row>
    <row r="126" spans="1:63" s="112" customFormat="1" x14ac:dyDescent="0.25">
      <c r="A126" s="1" t="s">
        <v>100</v>
      </c>
      <c r="B126" s="1" t="s">
        <v>98</v>
      </c>
      <c r="C126" s="1" t="s">
        <v>107</v>
      </c>
      <c r="D126" s="3" t="s">
        <v>114</v>
      </c>
      <c r="E126" s="112" t="s">
        <v>60</v>
      </c>
      <c r="F126" s="3" t="s">
        <v>91</v>
      </c>
      <c r="G126" s="3" t="s">
        <v>411</v>
      </c>
      <c r="H126" s="3" t="s">
        <v>422</v>
      </c>
      <c r="W126" s="112">
        <v>9</v>
      </c>
      <c r="X126" s="112">
        <v>9.5</v>
      </c>
      <c r="Y126" s="112">
        <v>22.1</v>
      </c>
      <c r="Z126" s="112">
        <v>22.3</v>
      </c>
      <c r="AA126" s="112">
        <v>25.2</v>
      </c>
      <c r="AB126" s="112">
        <v>20.6</v>
      </c>
      <c r="AC126" s="112">
        <v>27.7</v>
      </c>
      <c r="AD126" s="112">
        <v>30</v>
      </c>
      <c r="AE126" s="112">
        <v>20</v>
      </c>
      <c r="AF126" s="112">
        <v>21</v>
      </c>
      <c r="AG126" s="137">
        <v>22</v>
      </c>
      <c r="AH126" s="137">
        <v>22</v>
      </c>
      <c r="AI126" s="137">
        <v>25</v>
      </c>
      <c r="AJ126" s="137">
        <v>29</v>
      </c>
      <c r="AK126" s="137">
        <v>29</v>
      </c>
      <c r="AL126" s="137">
        <v>34</v>
      </c>
      <c r="AM126" s="137">
        <v>36</v>
      </c>
      <c r="AN126" s="34">
        <v>55</v>
      </c>
      <c r="AO126" s="137">
        <v>35</v>
      </c>
      <c r="AP126" s="137">
        <v>36</v>
      </c>
      <c r="AQ126" s="137">
        <v>34</v>
      </c>
      <c r="AR126" s="137">
        <v>38</v>
      </c>
      <c r="AS126" s="34">
        <v>35.03</v>
      </c>
      <c r="AT126" s="34">
        <v>40</v>
      </c>
      <c r="AU126" s="34">
        <v>37.864999999999988</v>
      </c>
      <c r="AV126" s="34">
        <v>35.25</v>
      </c>
      <c r="AW126" s="34">
        <v>39.1</v>
      </c>
      <c r="AX126" s="34">
        <v>39.1</v>
      </c>
      <c r="AY126" s="34">
        <v>40.1</v>
      </c>
      <c r="AZ126" s="34">
        <v>40.6</v>
      </c>
      <c r="BA126" s="2">
        <v>41</v>
      </c>
      <c r="BB126" s="2">
        <v>43</v>
      </c>
      <c r="BC126" s="2">
        <v>44</v>
      </c>
      <c r="BD126" s="2">
        <v>54</v>
      </c>
      <c r="BE126" s="2">
        <v>49.04</v>
      </c>
      <c r="BF126" s="2">
        <v>44</v>
      </c>
      <c r="BG126" s="2">
        <v>44</v>
      </c>
      <c r="BH126" s="2">
        <v>43</v>
      </c>
      <c r="BI126" s="2"/>
      <c r="BJ126" s="34"/>
      <c r="BK126" s="34"/>
    </row>
    <row r="127" spans="1:63" s="112" customFormat="1" x14ac:dyDescent="0.25">
      <c r="A127" s="1" t="s">
        <v>100</v>
      </c>
      <c r="B127" s="1" t="s">
        <v>99</v>
      </c>
      <c r="C127" s="1" t="s">
        <v>420</v>
      </c>
      <c r="D127" s="3" t="s">
        <v>114</v>
      </c>
      <c r="E127" s="112" t="s">
        <v>60</v>
      </c>
      <c r="F127" s="3" t="s">
        <v>91</v>
      </c>
      <c r="G127" s="3" t="s">
        <v>412</v>
      </c>
      <c r="H127" s="3" t="s">
        <v>419</v>
      </c>
      <c r="W127" s="112">
        <v>29.7</v>
      </c>
      <c r="X127" s="112">
        <v>16.899999999999999</v>
      </c>
      <c r="Y127" s="112">
        <v>21.4</v>
      </c>
      <c r="Z127" s="112">
        <v>25.8</v>
      </c>
      <c r="AA127" s="112">
        <v>31.6</v>
      </c>
      <c r="AB127" s="112">
        <v>25.3</v>
      </c>
      <c r="AC127" s="112">
        <v>39.700000000000003</v>
      </c>
      <c r="AD127" s="112">
        <v>33</v>
      </c>
      <c r="AE127" s="112">
        <v>132</v>
      </c>
      <c r="AF127" s="112">
        <v>147</v>
      </c>
      <c r="AG127" s="137">
        <v>161</v>
      </c>
      <c r="AH127" s="137">
        <v>160</v>
      </c>
      <c r="AI127" s="137">
        <v>194</v>
      </c>
      <c r="AJ127" s="137">
        <v>205</v>
      </c>
      <c r="AK127" s="137">
        <v>210</v>
      </c>
      <c r="AL127" s="137">
        <v>225</v>
      </c>
      <c r="AM127" s="137">
        <v>227</v>
      </c>
      <c r="AN127" s="34">
        <v>234</v>
      </c>
      <c r="AO127" s="137">
        <v>229</v>
      </c>
      <c r="AP127" s="137">
        <v>235</v>
      </c>
      <c r="AQ127" s="137">
        <v>233</v>
      </c>
      <c r="AR127" s="137">
        <v>246</v>
      </c>
      <c r="AS127" s="34">
        <v>245.64599999999999</v>
      </c>
      <c r="AT127" s="34">
        <v>249.6</v>
      </c>
      <c r="AU127" s="34">
        <v>102.8318</v>
      </c>
      <c r="AV127" s="34">
        <v>257.5</v>
      </c>
      <c r="AW127" s="34">
        <v>268.5</v>
      </c>
      <c r="AX127" s="34">
        <v>295.7</v>
      </c>
      <c r="AY127" s="34">
        <v>325.97500000000002</v>
      </c>
      <c r="AZ127" s="34">
        <v>338.07499999999999</v>
      </c>
      <c r="BA127" s="2">
        <v>194.167</v>
      </c>
      <c r="BB127" s="2">
        <v>200</v>
      </c>
      <c r="BC127" s="2">
        <v>210</v>
      </c>
      <c r="BD127" s="2">
        <v>223</v>
      </c>
      <c r="BE127" s="2">
        <v>223</v>
      </c>
      <c r="BF127" s="2">
        <v>223</v>
      </c>
      <c r="BG127" s="2">
        <v>212.375</v>
      </c>
      <c r="BH127" s="2">
        <v>210</v>
      </c>
      <c r="BI127" s="2"/>
      <c r="BJ127" s="34"/>
      <c r="BK127" s="34"/>
    </row>
    <row r="128" spans="1:63" s="112" customFormat="1" x14ac:dyDescent="0.25">
      <c r="A128" s="1" t="s">
        <v>100</v>
      </c>
      <c r="B128" s="1" t="s">
        <v>108</v>
      </c>
      <c r="C128" s="1" t="s">
        <v>424</v>
      </c>
      <c r="D128" s="3" t="s">
        <v>114</v>
      </c>
      <c r="E128" s="112" t="s">
        <v>60</v>
      </c>
      <c r="F128" s="3" t="s">
        <v>91</v>
      </c>
      <c r="G128" s="3" t="s">
        <v>413</v>
      </c>
      <c r="H128" s="3" t="s">
        <v>423</v>
      </c>
      <c r="W128" s="112">
        <v>5.5</v>
      </c>
      <c r="X128" s="112">
        <v>2.4</v>
      </c>
      <c r="Y128" s="112">
        <v>4.0999999999999996</v>
      </c>
      <c r="Z128" s="112">
        <v>4.5999999999999996</v>
      </c>
      <c r="AA128" s="112">
        <v>4.3</v>
      </c>
      <c r="AB128" s="112">
        <v>4</v>
      </c>
      <c r="AC128" s="112">
        <v>4</v>
      </c>
      <c r="AD128" s="112">
        <v>3</v>
      </c>
      <c r="AE128" s="112">
        <v>2</v>
      </c>
      <c r="AF128" s="112">
        <v>4</v>
      </c>
      <c r="AG128" s="137">
        <v>9</v>
      </c>
      <c r="AH128" s="137">
        <v>5</v>
      </c>
      <c r="AI128" s="137">
        <v>11</v>
      </c>
      <c r="AJ128" s="137">
        <v>15</v>
      </c>
      <c r="AK128" s="137">
        <v>23</v>
      </c>
      <c r="AL128" s="137">
        <v>21</v>
      </c>
      <c r="AM128" s="137">
        <v>19</v>
      </c>
      <c r="AN128" s="34">
        <v>6</v>
      </c>
      <c r="AO128" s="137">
        <v>8</v>
      </c>
      <c r="AP128" s="137">
        <v>12</v>
      </c>
      <c r="AQ128" s="137">
        <v>18</v>
      </c>
      <c r="AR128" s="137">
        <v>18</v>
      </c>
      <c r="AS128" s="34">
        <v>9.7989999999999995</v>
      </c>
      <c r="AT128" s="34">
        <v>9</v>
      </c>
      <c r="AU128" s="34">
        <v>9.8000000000000007</v>
      </c>
      <c r="AV128" s="34">
        <v>7</v>
      </c>
      <c r="AW128" s="34">
        <v>6</v>
      </c>
      <c r="AX128" s="34">
        <v>8.5</v>
      </c>
      <c r="AY128" s="34">
        <v>12</v>
      </c>
      <c r="AZ128" s="34">
        <v>14</v>
      </c>
      <c r="BA128" s="34">
        <v>32.15</v>
      </c>
      <c r="BB128" s="34">
        <v>81.225999999999999</v>
      </c>
      <c r="BC128" s="34">
        <v>85.539000000000001</v>
      </c>
      <c r="BD128" s="34">
        <v>98.039999999999992</v>
      </c>
      <c r="BE128" s="2">
        <v>69.965999999999994</v>
      </c>
      <c r="BF128" s="2">
        <v>75</v>
      </c>
      <c r="BG128" s="2">
        <v>67.108000000000004</v>
      </c>
      <c r="BH128" s="2">
        <v>66.963999999999999</v>
      </c>
      <c r="BI128" s="2"/>
      <c r="BJ128" s="34"/>
      <c r="BK128" s="34"/>
    </row>
    <row r="129" spans="1:60" x14ac:dyDescent="0.25">
      <c r="A129" s="3" t="s">
        <v>101</v>
      </c>
      <c r="B129" s="3" t="s">
        <v>106</v>
      </c>
      <c r="C129" s="3" t="s">
        <v>106</v>
      </c>
      <c r="D129" s="3" t="s">
        <v>114</v>
      </c>
      <c r="E129" s="112" t="s">
        <v>60</v>
      </c>
      <c r="F129" s="3" t="s">
        <v>91</v>
      </c>
      <c r="H129" s="3" t="s">
        <v>414</v>
      </c>
      <c r="AD129" s="3">
        <v>877</v>
      </c>
      <c r="AE129" s="3">
        <v>888</v>
      </c>
      <c r="AF129" s="3">
        <v>926</v>
      </c>
      <c r="AG129" s="3">
        <v>981</v>
      </c>
      <c r="AH129" s="3">
        <v>1050</v>
      </c>
      <c r="AI129" s="3">
        <v>1146</v>
      </c>
      <c r="AJ129" s="3">
        <v>1423</v>
      </c>
      <c r="AK129" s="3">
        <v>1244</v>
      </c>
      <c r="AL129" s="3">
        <v>1695</v>
      </c>
      <c r="AM129" s="3">
        <v>1801</v>
      </c>
      <c r="AN129" s="3">
        <v>1876</v>
      </c>
      <c r="AO129" s="3">
        <v>2008</v>
      </c>
      <c r="AP129" s="3">
        <v>2270</v>
      </c>
      <c r="AQ129" s="3">
        <v>2062</v>
      </c>
      <c r="AR129" s="3">
        <v>2362</v>
      </c>
      <c r="AS129" s="3">
        <v>2509</v>
      </c>
      <c r="AT129" s="3">
        <v>2506</v>
      </c>
      <c r="AU129" s="3">
        <v>2386</v>
      </c>
      <c r="AV129" s="3">
        <v>2561</v>
      </c>
      <c r="AW129" s="3">
        <v>2596</v>
      </c>
      <c r="AX129" s="3">
        <v>2728</v>
      </c>
      <c r="AY129" s="3">
        <v>2791</v>
      </c>
      <c r="AZ129" s="3">
        <v>2872</v>
      </c>
      <c r="BA129" s="132">
        <v>3150</v>
      </c>
      <c r="BB129" s="132">
        <v>3246</v>
      </c>
      <c r="BC129" s="132">
        <v>3285</v>
      </c>
      <c r="BD129" s="132">
        <v>3367</v>
      </c>
      <c r="BE129" s="132">
        <v>3591.4380000000001</v>
      </c>
      <c r="BF129" s="132">
        <v>3644</v>
      </c>
      <c r="BG129" s="132">
        <v>3575.65</v>
      </c>
      <c r="BH129" s="132">
        <v>3166.866</v>
      </c>
    </row>
    <row r="130" spans="1:60" x14ac:dyDescent="0.25">
      <c r="A130" s="3" t="s">
        <v>101</v>
      </c>
      <c r="B130" s="3" t="s">
        <v>104</v>
      </c>
      <c r="C130" s="3" t="s">
        <v>104</v>
      </c>
      <c r="D130" s="3" t="s">
        <v>114</v>
      </c>
      <c r="E130" s="112" t="s">
        <v>60</v>
      </c>
      <c r="F130" s="3" t="s">
        <v>91</v>
      </c>
      <c r="H130" s="3" t="s">
        <v>415</v>
      </c>
      <c r="AD130" s="3">
        <v>65</v>
      </c>
      <c r="AE130" s="3">
        <v>97</v>
      </c>
      <c r="AF130" s="3">
        <v>90</v>
      </c>
      <c r="AG130" s="3">
        <v>141</v>
      </c>
      <c r="AH130" s="3">
        <v>165</v>
      </c>
      <c r="AI130" s="3">
        <v>291</v>
      </c>
      <c r="AJ130" s="3">
        <v>311</v>
      </c>
      <c r="AK130" s="3">
        <v>327</v>
      </c>
      <c r="AL130" s="3">
        <v>304</v>
      </c>
      <c r="AM130" s="3">
        <v>319</v>
      </c>
      <c r="AN130" s="3">
        <v>319</v>
      </c>
      <c r="AO130" s="3">
        <v>335</v>
      </c>
      <c r="AP130" s="3">
        <v>335</v>
      </c>
      <c r="AQ130" s="3">
        <v>372</v>
      </c>
      <c r="AR130" s="3">
        <v>397.053</v>
      </c>
      <c r="AS130" s="3">
        <v>610.91200000000003</v>
      </c>
      <c r="AT130" s="3">
        <v>405.053</v>
      </c>
      <c r="AU130" s="3">
        <v>384.07307733850001</v>
      </c>
      <c r="AV130" s="3">
        <v>436</v>
      </c>
      <c r="AW130" s="3">
        <v>443</v>
      </c>
      <c r="AX130" s="3">
        <v>324</v>
      </c>
      <c r="AY130" s="3">
        <v>324</v>
      </c>
      <c r="AZ130" s="3">
        <v>334</v>
      </c>
      <c r="BA130" s="132">
        <v>454</v>
      </c>
      <c r="BB130" s="132">
        <v>444</v>
      </c>
      <c r="BC130" s="132">
        <v>337</v>
      </c>
      <c r="BD130" s="132">
        <v>369</v>
      </c>
      <c r="BE130" s="132">
        <v>374</v>
      </c>
      <c r="BF130" s="132">
        <v>369</v>
      </c>
      <c r="BG130" s="132">
        <v>369</v>
      </c>
      <c r="BH130" s="132">
        <v>0</v>
      </c>
    </row>
    <row r="131" spans="1:60" x14ac:dyDescent="0.25">
      <c r="A131" s="3" t="s">
        <v>101</v>
      </c>
      <c r="B131" s="3" t="s">
        <v>103</v>
      </c>
      <c r="C131" s="3" t="s">
        <v>103</v>
      </c>
      <c r="D131" s="3" t="s">
        <v>114</v>
      </c>
      <c r="E131" s="112" t="s">
        <v>60</v>
      </c>
      <c r="F131" s="3" t="s">
        <v>91</v>
      </c>
      <c r="H131" s="3" t="s">
        <v>416</v>
      </c>
      <c r="AF131" s="3">
        <v>2384</v>
      </c>
      <c r="AG131" s="3">
        <v>2643</v>
      </c>
      <c r="AH131" s="3">
        <v>3341.5320000000002</v>
      </c>
      <c r="AI131" s="3">
        <v>4202.18</v>
      </c>
      <c r="AJ131" s="3">
        <v>6556.28</v>
      </c>
      <c r="AK131" s="3">
        <v>6485.2520000000004</v>
      </c>
      <c r="AL131" s="3">
        <v>7213.8</v>
      </c>
      <c r="AM131" s="3">
        <v>7979.9620000000004</v>
      </c>
      <c r="AN131" s="3">
        <v>8401.2800000000007</v>
      </c>
      <c r="AO131" s="3">
        <v>9118.5339999999997</v>
      </c>
      <c r="AP131" s="3">
        <v>9209.4760000000006</v>
      </c>
      <c r="AQ131" s="138">
        <v>6370</v>
      </c>
      <c r="AR131" s="138">
        <v>6749.5879999999997</v>
      </c>
      <c r="AS131" s="138">
        <v>6611.4779999999992</v>
      </c>
      <c r="AT131" s="3">
        <v>5665.67</v>
      </c>
      <c r="AU131" s="3">
        <v>5372.2137895149999</v>
      </c>
      <c r="AV131" s="3">
        <v>5863</v>
      </c>
      <c r="AW131" s="3">
        <v>6073</v>
      </c>
      <c r="AX131" s="3">
        <v>7371.7240000000002</v>
      </c>
      <c r="AY131" s="3">
        <v>7185.4030000000002</v>
      </c>
      <c r="AZ131" s="3">
        <v>8301.1659999999993</v>
      </c>
      <c r="BA131" s="132">
        <v>7274.24</v>
      </c>
      <c r="BB131" s="132">
        <v>7694.1959999999999</v>
      </c>
      <c r="BC131" s="132">
        <v>7020</v>
      </c>
      <c r="BD131" s="132">
        <v>8885</v>
      </c>
      <c r="BE131" s="132">
        <v>7882</v>
      </c>
      <c r="BF131" s="132">
        <v>9222.09</v>
      </c>
      <c r="BG131" s="132">
        <v>9248</v>
      </c>
      <c r="BH131" s="132">
        <v>4321</v>
      </c>
    </row>
    <row r="132" spans="1:60" x14ac:dyDescent="0.25">
      <c r="A132" s="3" t="s">
        <v>101</v>
      </c>
      <c r="B132" s="3" t="s">
        <v>102</v>
      </c>
      <c r="C132" s="3" t="s">
        <v>102</v>
      </c>
      <c r="D132" s="3" t="s">
        <v>114</v>
      </c>
      <c r="E132" s="112" t="s">
        <v>60</v>
      </c>
      <c r="F132" s="3" t="s">
        <v>91</v>
      </c>
      <c r="H132" s="3" t="s">
        <v>417</v>
      </c>
      <c r="I132" s="3">
        <v>2092.8969999999999</v>
      </c>
      <c r="J132" s="3">
        <v>2302.1260000000002</v>
      </c>
      <c r="K132" s="3">
        <v>2544.078</v>
      </c>
      <c r="L132" s="3">
        <v>2841.9360000000001</v>
      </c>
      <c r="M132" s="3">
        <v>3189.9760000000001</v>
      </c>
      <c r="N132" s="3">
        <v>3428.9349999999999</v>
      </c>
      <c r="O132" s="3">
        <v>3569.4059999999999</v>
      </c>
      <c r="P132" s="3">
        <v>3641.875</v>
      </c>
      <c r="Q132" s="3">
        <v>4023.9690000000001</v>
      </c>
      <c r="R132" s="3">
        <v>4493.5879999999997</v>
      </c>
      <c r="S132" s="3">
        <v>5149.4589999999998</v>
      </c>
      <c r="T132" s="3">
        <v>5262.2110000000002</v>
      </c>
      <c r="U132" s="3">
        <v>6182.91</v>
      </c>
      <c r="V132" s="139">
        <v>6666.6930000000002</v>
      </c>
      <c r="W132" s="3">
        <v>7144.7539999999999</v>
      </c>
      <c r="X132" s="3">
        <v>7576.3519999999999</v>
      </c>
      <c r="Y132" s="3">
        <v>8276.7389999999996</v>
      </c>
      <c r="Z132" s="3">
        <v>8921.6869999999999</v>
      </c>
      <c r="AA132" s="3">
        <v>10355.995999999999</v>
      </c>
      <c r="AB132" s="3">
        <v>10955.772999999999</v>
      </c>
      <c r="AC132" s="3">
        <v>11299.522000000001</v>
      </c>
      <c r="AD132" s="3">
        <v>11927.562</v>
      </c>
      <c r="AE132" s="3">
        <v>12740.843000000001</v>
      </c>
      <c r="AF132" s="3">
        <v>13674.843000000001</v>
      </c>
      <c r="AG132" s="3">
        <v>15629.156000000001</v>
      </c>
      <c r="AH132" s="3">
        <v>17840.587</v>
      </c>
      <c r="AI132" s="3">
        <v>20458.556</v>
      </c>
      <c r="AJ132" s="3">
        <v>23321.382000000001</v>
      </c>
      <c r="AK132" s="3">
        <v>27166.715</v>
      </c>
      <c r="AL132" s="3">
        <v>28036.627</v>
      </c>
      <c r="AM132" s="3">
        <v>28594.357</v>
      </c>
      <c r="AN132" s="3">
        <v>28560.417000000001</v>
      </c>
      <c r="AO132" s="3">
        <v>29178.504000000001</v>
      </c>
      <c r="AP132" s="3">
        <v>29607.07</v>
      </c>
      <c r="AQ132" s="3">
        <v>30096</v>
      </c>
      <c r="AR132" s="3">
        <v>31013.401000000002</v>
      </c>
      <c r="AS132" s="3">
        <v>32015.437000000002</v>
      </c>
      <c r="AT132" s="3">
        <v>30860.385999999999</v>
      </c>
      <c r="AU132" s="3">
        <v>29143.462</v>
      </c>
      <c r="AV132" s="3">
        <v>30070.062999999995</v>
      </c>
      <c r="AW132" s="3">
        <v>30311.348999999995</v>
      </c>
      <c r="AX132" s="3">
        <v>32311.349999999995</v>
      </c>
      <c r="AY132" s="3">
        <v>34229.139000000003</v>
      </c>
      <c r="AZ132" s="3">
        <v>37311.348999999987</v>
      </c>
      <c r="BA132" s="132">
        <v>38966.549000000014</v>
      </c>
      <c r="BB132" s="132">
        <v>41455</v>
      </c>
      <c r="BC132" s="132">
        <v>40775</v>
      </c>
      <c r="BD132" s="132">
        <v>44959</v>
      </c>
      <c r="BE132" s="132">
        <v>47625</v>
      </c>
      <c r="BF132" s="132">
        <v>46357.946000000004</v>
      </c>
      <c r="BG132" s="132">
        <v>46001.286999999997</v>
      </c>
      <c r="BH132" s="132">
        <v>27915.1</v>
      </c>
    </row>
    <row r="133" spans="1:60" x14ac:dyDescent="0.25">
      <c r="A133" s="3" t="s">
        <v>101</v>
      </c>
      <c r="B133" s="3" t="s">
        <v>102</v>
      </c>
      <c r="C133" s="1" t="s">
        <v>255</v>
      </c>
      <c r="D133" s="3" t="s">
        <v>114</v>
      </c>
      <c r="E133" s="112" t="s">
        <v>88</v>
      </c>
      <c r="F133" s="3" t="s">
        <v>91</v>
      </c>
      <c r="H133" s="3" t="s">
        <v>426</v>
      </c>
      <c r="I133" s="112">
        <v>691.66600000000005</v>
      </c>
      <c r="J133" s="112">
        <v>761.72699999999998</v>
      </c>
      <c r="K133" s="112">
        <v>815</v>
      </c>
      <c r="L133" s="112">
        <v>872.38800000000003</v>
      </c>
      <c r="M133" s="112">
        <v>937.12900000000002</v>
      </c>
      <c r="N133" s="112">
        <v>999.86900000000003</v>
      </c>
      <c r="O133" s="112">
        <v>989.35500000000002</v>
      </c>
      <c r="P133" s="112">
        <v>986.61699999999996</v>
      </c>
      <c r="Q133" s="112">
        <v>987.64200000000005</v>
      </c>
      <c r="R133" s="112">
        <v>1081.5809999999999</v>
      </c>
      <c r="S133" s="112">
        <v>1183.806</v>
      </c>
      <c r="T133" s="112">
        <v>1203.3689999999999</v>
      </c>
      <c r="U133" s="112">
        <v>1402.837</v>
      </c>
      <c r="V133" s="112">
        <v>1469.327</v>
      </c>
      <c r="W133" s="112">
        <v>1570.3489999999999</v>
      </c>
      <c r="X133" s="112">
        <v>1634.3320000000001</v>
      </c>
      <c r="Y133" s="112">
        <v>1714.7840000000001</v>
      </c>
      <c r="Z133" s="112">
        <v>1962.587</v>
      </c>
      <c r="AA133" s="112">
        <v>1981.3510000000001</v>
      </c>
      <c r="AB133" s="112">
        <v>2082.2669999999998</v>
      </c>
      <c r="AC133" s="112">
        <v>1913.819</v>
      </c>
      <c r="AD133" s="112">
        <v>2248</v>
      </c>
      <c r="AE133" s="112">
        <v>2381.1489999999999</v>
      </c>
      <c r="AF133" s="112">
        <v>2547.3139999999999</v>
      </c>
      <c r="AG133" s="112">
        <v>2925.2469999999998</v>
      </c>
      <c r="AH133" s="112">
        <v>3314.5540000000001</v>
      </c>
      <c r="AI133" s="112">
        <v>3754.4560000000001</v>
      </c>
      <c r="AJ133" s="112">
        <v>4181.2330000000002</v>
      </c>
      <c r="AK133" s="112">
        <v>4592.348</v>
      </c>
      <c r="AL133" s="112">
        <v>4739.2550000000001</v>
      </c>
      <c r="AM133" s="112">
        <v>4825.2579999999998</v>
      </c>
      <c r="AN133" s="112">
        <v>4793.3559999999998</v>
      </c>
      <c r="AO133" s="112">
        <v>4797.6390000000001</v>
      </c>
      <c r="AP133" s="112">
        <v>4830.6469999999999</v>
      </c>
      <c r="AQ133" s="112">
        <v>4966.9309999999996</v>
      </c>
      <c r="AR133" s="3">
        <v>5098.1689999999999</v>
      </c>
      <c r="AS133" s="3">
        <v>5050.0730000000003</v>
      </c>
      <c r="AT133" s="3">
        <v>5062.7619999999997</v>
      </c>
      <c r="AU133" s="3">
        <v>4779.4059999999999</v>
      </c>
      <c r="AV133" s="3">
        <v>4932.402</v>
      </c>
      <c r="AW133" s="3">
        <v>4953.0280000000002</v>
      </c>
      <c r="AX133" s="3">
        <v>5206.2920000000004</v>
      </c>
      <c r="AY133" s="3">
        <v>5659.9549999999999</v>
      </c>
      <c r="AZ133" s="3">
        <v>5964.8</v>
      </c>
      <c r="BA133" s="132">
        <v>6121.2879999999996</v>
      </c>
      <c r="BB133" s="132">
        <v>6440.4380000000001</v>
      </c>
      <c r="BC133" s="132">
        <v>6540</v>
      </c>
      <c r="BD133" s="132">
        <v>6909.6260000000002</v>
      </c>
      <c r="BE133" s="132">
        <v>7227</v>
      </c>
      <c r="BF133" s="132">
        <v>7224.1589999999997</v>
      </c>
      <c r="BG133" s="132">
        <v>7221.241</v>
      </c>
      <c r="BH133" s="132">
        <v>4531</v>
      </c>
    </row>
    <row r="134" spans="1:60" x14ac:dyDescent="0.25">
      <c r="A134" s="3" t="s">
        <v>101</v>
      </c>
      <c r="B134" s="3" t="s">
        <v>102</v>
      </c>
      <c r="C134" s="1" t="s">
        <v>256</v>
      </c>
      <c r="D134" s="3" t="s">
        <v>114</v>
      </c>
      <c r="E134" s="112" t="s">
        <v>88</v>
      </c>
      <c r="F134" s="3" t="s">
        <v>91</v>
      </c>
      <c r="H134" s="3" t="s">
        <v>427</v>
      </c>
      <c r="I134" s="3">
        <v>324.63</v>
      </c>
      <c r="J134" s="3">
        <v>370.01299999999998</v>
      </c>
      <c r="K134" s="3">
        <v>396.661</v>
      </c>
      <c r="L134" s="3">
        <v>447.90899999999999</v>
      </c>
      <c r="M134" s="3">
        <v>510.52600000000001</v>
      </c>
      <c r="N134" s="3">
        <v>527.48800000000006</v>
      </c>
      <c r="O134" s="3">
        <v>549.69299999999998</v>
      </c>
      <c r="P134" s="3">
        <v>59.637</v>
      </c>
      <c r="Q134" s="3">
        <v>624.25900000000001</v>
      </c>
      <c r="R134" s="3">
        <v>704.93899999999996</v>
      </c>
      <c r="S134" s="3">
        <v>805.26900000000001</v>
      </c>
      <c r="T134" s="3">
        <v>822.29200000000003</v>
      </c>
      <c r="U134" s="3">
        <v>930.00099999999998</v>
      </c>
      <c r="V134" s="3">
        <v>965.53599999999994</v>
      </c>
      <c r="W134" s="3">
        <v>1045.509</v>
      </c>
      <c r="X134" s="3">
        <v>1072.354</v>
      </c>
      <c r="Y134" s="3">
        <v>1126.942</v>
      </c>
      <c r="Z134" s="3">
        <v>1188.5930000000001</v>
      </c>
      <c r="AA134" s="3">
        <v>1214.7929999999999</v>
      </c>
      <c r="AB134" s="3">
        <v>1277.8800000000001</v>
      </c>
      <c r="AC134" s="3">
        <v>1257.374</v>
      </c>
      <c r="AD134" s="3">
        <v>1354.9459999999999</v>
      </c>
      <c r="AE134" s="3">
        <v>1432.529</v>
      </c>
      <c r="AF134" s="3">
        <v>1531.0609999999999</v>
      </c>
      <c r="AG134" s="3">
        <v>1792.509</v>
      </c>
      <c r="AH134" s="3">
        <v>2029.424</v>
      </c>
      <c r="AI134" s="3">
        <v>2298.5120000000002</v>
      </c>
      <c r="AJ134" s="3">
        <v>2572.6669999999999</v>
      </c>
      <c r="AK134" s="3">
        <v>2793.7330000000002</v>
      </c>
      <c r="AL134" s="3">
        <v>2878.6909999999998</v>
      </c>
      <c r="AM134" s="3">
        <v>2941.201</v>
      </c>
      <c r="AN134" s="3">
        <v>2921.7570000000001</v>
      </c>
      <c r="AO134" s="3">
        <v>2922.9290000000001</v>
      </c>
      <c r="AP134" s="3">
        <v>2938.47</v>
      </c>
      <c r="AQ134" s="3">
        <v>3014.6289999999999</v>
      </c>
      <c r="AR134" s="3">
        <v>3093.6080000000002</v>
      </c>
      <c r="AS134" s="3">
        <v>3065.2539999999999</v>
      </c>
      <c r="AT134" s="3">
        <v>3073.3020000000001</v>
      </c>
      <c r="AU134" s="3">
        <v>2901.2930000000001</v>
      </c>
      <c r="AV134" s="3">
        <v>2988.5839999999998</v>
      </c>
      <c r="AW134" s="3">
        <v>2995.8649999999998</v>
      </c>
      <c r="AX134" s="3">
        <v>3109.221</v>
      </c>
      <c r="AY134" s="3">
        <v>3209.9290000000001</v>
      </c>
      <c r="AZ134" s="3">
        <v>3383.201</v>
      </c>
      <c r="BA134" s="132">
        <v>3482.377</v>
      </c>
      <c r="BB134" s="132">
        <v>3625.2579999999998</v>
      </c>
      <c r="BC134" s="132">
        <v>3654</v>
      </c>
      <c r="BD134" s="132">
        <v>3810.3710000000001</v>
      </c>
      <c r="BE134" s="132">
        <v>3999</v>
      </c>
      <c r="BF134" s="132">
        <v>3982.3449999999998</v>
      </c>
      <c r="BG134" s="132">
        <v>3982.3449999999998</v>
      </c>
      <c r="BH134" s="132">
        <v>0</v>
      </c>
    </row>
    <row r="135" spans="1:60" x14ac:dyDescent="0.25">
      <c r="A135" s="3" t="s">
        <v>101</v>
      </c>
      <c r="B135" s="3" t="s">
        <v>102</v>
      </c>
      <c r="C135" s="1" t="s">
        <v>257</v>
      </c>
      <c r="D135" s="3" t="s">
        <v>114</v>
      </c>
      <c r="E135" s="112" t="s">
        <v>88</v>
      </c>
      <c r="F135" s="3" t="s">
        <v>91</v>
      </c>
      <c r="H135" s="3" t="s">
        <v>436</v>
      </c>
      <c r="I135" s="3">
        <v>50.033000000000001</v>
      </c>
      <c r="J135" s="3">
        <v>51.290999999999997</v>
      </c>
      <c r="K135" s="3">
        <v>55.573</v>
      </c>
      <c r="L135" s="3">
        <v>61.728000000000002</v>
      </c>
      <c r="M135" s="3">
        <v>65.212999999999994</v>
      </c>
      <c r="N135" s="3">
        <v>68.302999999999997</v>
      </c>
      <c r="O135" s="3">
        <v>71.114000000000004</v>
      </c>
      <c r="P135" s="3">
        <v>71.983000000000004</v>
      </c>
      <c r="Q135" s="3">
        <v>79.292000000000002</v>
      </c>
      <c r="R135" s="3">
        <v>88.674000000000007</v>
      </c>
      <c r="S135" s="3">
        <v>100.688</v>
      </c>
      <c r="T135" s="3">
        <v>98.840999999999994</v>
      </c>
      <c r="U135" s="3">
        <v>117.94499999999999</v>
      </c>
      <c r="V135" s="3">
        <v>126.297</v>
      </c>
      <c r="W135" s="3">
        <v>130.709</v>
      </c>
      <c r="X135" s="3">
        <v>135.749</v>
      </c>
      <c r="Y135" s="3">
        <v>148.91800000000001</v>
      </c>
      <c r="Z135" s="3">
        <v>158.417</v>
      </c>
      <c r="AA135" s="3">
        <v>161.30099999999999</v>
      </c>
      <c r="AB135" s="3">
        <v>169.52</v>
      </c>
      <c r="AC135" s="3">
        <v>162.43</v>
      </c>
      <c r="AD135" s="3">
        <v>182.923</v>
      </c>
      <c r="AE135" s="3">
        <v>195.82499999999999</v>
      </c>
      <c r="AF135" s="3">
        <v>209.41499999999999</v>
      </c>
      <c r="AG135" s="3">
        <v>234.18299999999999</v>
      </c>
      <c r="AH135" s="3">
        <v>268.81099999999998</v>
      </c>
      <c r="AI135" s="3">
        <v>306.21100000000001</v>
      </c>
      <c r="AJ135" s="3">
        <v>342.66399999999999</v>
      </c>
      <c r="AK135" s="3">
        <v>371.63600000000002</v>
      </c>
      <c r="AL135" s="3">
        <v>383.28199999999998</v>
      </c>
      <c r="AM135" s="3">
        <v>391.82900000000001</v>
      </c>
      <c r="AN135" s="3">
        <v>389.33600000000001</v>
      </c>
      <c r="AO135" s="3">
        <v>389.70299999999997</v>
      </c>
      <c r="AP135" s="3">
        <v>391.77300000000002</v>
      </c>
      <c r="AQ135" s="3">
        <v>402.01499999999999</v>
      </c>
      <c r="AR135" s="3">
        <v>412.53699999999998</v>
      </c>
      <c r="AS135" s="3">
        <v>408.92</v>
      </c>
      <c r="AT135" s="3">
        <v>409.947</v>
      </c>
      <c r="AU135" s="3">
        <v>387.00299999999999</v>
      </c>
      <c r="AV135" s="3">
        <v>397.88099999999997</v>
      </c>
      <c r="AW135" s="3">
        <v>397.7</v>
      </c>
      <c r="AX135" s="3">
        <v>412.82100000000003</v>
      </c>
      <c r="AY135" s="3">
        <v>424.79700000000003</v>
      </c>
      <c r="AZ135" s="3">
        <v>447.73500000000001</v>
      </c>
      <c r="BA135" s="132">
        <v>460.64400000000001</v>
      </c>
      <c r="BB135" s="132">
        <v>477.67899999999997</v>
      </c>
      <c r="BC135" s="132">
        <v>483</v>
      </c>
      <c r="BD135" s="132">
        <v>501.20699999999999</v>
      </c>
      <c r="BE135" s="132">
        <v>520</v>
      </c>
      <c r="BF135" s="132">
        <v>520.16300000000001</v>
      </c>
      <c r="BG135" s="132">
        <v>520.16300000000001</v>
      </c>
      <c r="BH135" s="132">
        <v>0</v>
      </c>
    </row>
    <row r="136" spans="1:60" x14ac:dyDescent="0.25">
      <c r="A136" s="3" t="s">
        <v>101</v>
      </c>
      <c r="B136" s="3" t="s">
        <v>102</v>
      </c>
      <c r="C136" s="140" t="s">
        <v>258</v>
      </c>
      <c r="D136" s="3" t="s">
        <v>114</v>
      </c>
      <c r="E136" s="112" t="s">
        <v>88</v>
      </c>
      <c r="F136" s="3" t="s">
        <v>91</v>
      </c>
      <c r="H136" s="3" t="s">
        <v>437</v>
      </c>
      <c r="I136" s="3">
        <v>173.51400000000001</v>
      </c>
      <c r="J136" s="3">
        <v>179.51599999999999</v>
      </c>
      <c r="K136" s="3">
        <v>219.6</v>
      </c>
      <c r="L136" s="3">
        <v>260.25299999999999</v>
      </c>
      <c r="M136" s="3">
        <v>302.767</v>
      </c>
      <c r="N136" s="3">
        <v>341.20600000000002</v>
      </c>
      <c r="O136" s="3">
        <v>369.46199999999999</v>
      </c>
      <c r="P136" s="3">
        <v>368.19099999999997</v>
      </c>
      <c r="Q136" s="3">
        <v>413.49200000000002</v>
      </c>
      <c r="R136" s="3">
        <v>464.02600000000001</v>
      </c>
      <c r="S136" s="3">
        <v>543.57600000000002</v>
      </c>
      <c r="T136" s="3">
        <v>544.85799999999995</v>
      </c>
      <c r="U136" s="3">
        <v>511.12400000000002</v>
      </c>
      <c r="V136" s="3">
        <v>534.73299999999995</v>
      </c>
      <c r="W136" s="3">
        <v>559.49400000000003</v>
      </c>
      <c r="X136" s="3">
        <v>581.47699999999998</v>
      </c>
      <c r="Y136" s="3">
        <v>615.27200000000005</v>
      </c>
      <c r="Z136" s="3">
        <v>658.92499999999995</v>
      </c>
      <c r="AA136" s="3">
        <v>681.34199999999998</v>
      </c>
      <c r="AB136" s="3">
        <v>716.05399999999997</v>
      </c>
      <c r="AC136" s="3">
        <v>726.94899999999996</v>
      </c>
      <c r="AD136" s="3">
        <v>770.58199999999999</v>
      </c>
      <c r="AE136" s="139">
        <v>815.697</v>
      </c>
      <c r="AF136" s="3">
        <v>900.86</v>
      </c>
      <c r="AG136" s="3">
        <v>1020.559</v>
      </c>
      <c r="AH136" s="3">
        <v>1168.4760000000001</v>
      </c>
      <c r="AI136" s="3">
        <v>1399.684</v>
      </c>
      <c r="AJ136" s="3">
        <v>1562.144</v>
      </c>
      <c r="AK136" s="3">
        <v>1722.73</v>
      </c>
      <c r="AL136" s="3">
        <v>1821.8030000000001</v>
      </c>
      <c r="AM136" s="3">
        <v>1863.5840000000001</v>
      </c>
      <c r="AN136" s="3">
        <v>1854.925</v>
      </c>
      <c r="AO136" s="3">
        <v>1855.8679999999999</v>
      </c>
      <c r="AP136" s="3">
        <v>1864.9449999999999</v>
      </c>
      <c r="AQ136" s="3">
        <v>1911.8779999999999</v>
      </c>
      <c r="AR136" s="3">
        <v>1958.99</v>
      </c>
      <c r="AS136" s="3">
        <v>1939.21</v>
      </c>
      <c r="AT136" s="3">
        <v>1943.7059999999999</v>
      </c>
      <c r="AU136" s="3">
        <v>1835.665</v>
      </c>
      <c r="AV136" s="3">
        <v>1884.4860000000001</v>
      </c>
      <c r="AW136" s="3">
        <v>1899.14</v>
      </c>
      <c r="AX136" s="3">
        <v>1963.7929999999999</v>
      </c>
      <c r="AY136" s="3">
        <v>2009.5039999999999</v>
      </c>
      <c r="AZ136" s="3">
        <v>2120.797</v>
      </c>
      <c r="BA136" s="132">
        <v>2175.511</v>
      </c>
      <c r="BB136" s="132">
        <v>2265.1460000000002</v>
      </c>
      <c r="BC136" s="132">
        <v>2276</v>
      </c>
      <c r="BD136" s="132">
        <v>2347.681</v>
      </c>
      <c r="BE136" s="132">
        <v>2444</v>
      </c>
      <c r="BF136" s="132">
        <v>2560.721</v>
      </c>
      <c r="BG136" s="132">
        <v>2560.721</v>
      </c>
      <c r="BH136" s="132">
        <v>0</v>
      </c>
    </row>
    <row r="137" spans="1:60" x14ac:dyDescent="0.25">
      <c r="A137" s="3" t="s">
        <v>101</v>
      </c>
      <c r="B137" s="3" t="s">
        <v>102</v>
      </c>
      <c r="C137" s="140" t="s">
        <v>259</v>
      </c>
      <c r="D137" s="3" t="s">
        <v>114</v>
      </c>
      <c r="E137" s="112" t="s">
        <v>88</v>
      </c>
      <c r="F137" s="3" t="s">
        <v>91</v>
      </c>
      <c r="H137" s="3" t="s">
        <v>445</v>
      </c>
      <c r="I137" s="3">
        <v>142.49799999999999</v>
      </c>
      <c r="J137" s="3">
        <v>144.446</v>
      </c>
      <c r="K137" s="3">
        <v>155.5</v>
      </c>
      <c r="L137" s="3">
        <v>178.43799999999999</v>
      </c>
      <c r="M137" s="3">
        <v>212.36500000000001</v>
      </c>
      <c r="N137" s="3">
        <v>241.96600000000001</v>
      </c>
      <c r="O137" s="3">
        <v>252.53299999999999</v>
      </c>
      <c r="P137" s="3">
        <v>265.90100000000001</v>
      </c>
      <c r="Q137" s="3">
        <v>297.06400000000002</v>
      </c>
      <c r="R137" s="3">
        <v>335.88299999999998</v>
      </c>
      <c r="S137" s="3">
        <v>396.88499999999999</v>
      </c>
      <c r="T137" s="3">
        <v>414.72699999999998</v>
      </c>
      <c r="U137" s="3">
        <v>490.233</v>
      </c>
      <c r="V137" s="3">
        <v>534.69200000000001</v>
      </c>
      <c r="W137" s="3">
        <v>472.291</v>
      </c>
      <c r="X137" s="3">
        <v>490.40899999999999</v>
      </c>
      <c r="Y137" s="3">
        <v>541.74300000000005</v>
      </c>
      <c r="Z137" s="3">
        <v>577.93799999999999</v>
      </c>
      <c r="AA137" s="3">
        <v>600.07799999999997</v>
      </c>
      <c r="AB137" s="3">
        <v>630.65</v>
      </c>
      <c r="AC137" s="3">
        <v>627.04499999999996</v>
      </c>
      <c r="AD137" s="3">
        <v>680.90200000000004</v>
      </c>
      <c r="AE137" s="139">
        <v>726.40700000000004</v>
      </c>
      <c r="AF137" s="3">
        <v>780.71299999999997</v>
      </c>
      <c r="AG137" s="3">
        <v>902.68</v>
      </c>
      <c r="AH137" s="3">
        <v>1029.376</v>
      </c>
      <c r="AI137" s="3">
        <v>1175.854</v>
      </c>
      <c r="AJ137" s="3">
        <v>1326.6659999999999</v>
      </c>
      <c r="AK137" s="3">
        <v>1456.4760000000001</v>
      </c>
      <c r="AL137" s="3">
        <v>1501.2070000000001</v>
      </c>
      <c r="AM137" s="3">
        <v>1539.4480000000001</v>
      </c>
      <c r="AN137" s="3">
        <v>1534.7570000000001</v>
      </c>
      <c r="AO137" s="3">
        <v>1535.5450000000001</v>
      </c>
      <c r="AP137" s="3">
        <v>1552.1130000000001</v>
      </c>
      <c r="AQ137" s="3">
        <v>1590.787</v>
      </c>
      <c r="AR137" s="3">
        <v>1633.57</v>
      </c>
      <c r="AS137" s="3">
        <v>1619.2760000000001</v>
      </c>
      <c r="AT137" s="3">
        <v>1623.3440000000001</v>
      </c>
      <c r="AU137" s="3">
        <v>1532.4880000000001</v>
      </c>
      <c r="AV137" s="3">
        <v>1588.904</v>
      </c>
      <c r="AW137" s="3">
        <v>1604.607</v>
      </c>
      <c r="AX137" s="3">
        <v>1692.8320000000001</v>
      </c>
      <c r="AY137" s="3">
        <v>1778.6880000000001</v>
      </c>
      <c r="AZ137" s="3">
        <v>2188.1489999999999</v>
      </c>
      <c r="BA137" s="132">
        <v>2246.308</v>
      </c>
      <c r="BB137" s="132">
        <v>2446.5770000000002</v>
      </c>
      <c r="BC137" s="132">
        <v>2504</v>
      </c>
      <c r="BD137" s="132">
        <v>2607.19</v>
      </c>
      <c r="BE137" s="132">
        <v>2773</v>
      </c>
      <c r="BF137" s="132">
        <v>2689.9250000000002</v>
      </c>
      <c r="BG137" s="132">
        <v>2689.9250000000002</v>
      </c>
      <c r="BH137" s="132">
        <v>0</v>
      </c>
    </row>
    <row r="138" spans="1:60" x14ac:dyDescent="0.25">
      <c r="A138" s="3" t="s">
        <v>101</v>
      </c>
      <c r="B138" s="3" t="s">
        <v>102</v>
      </c>
      <c r="C138" s="1" t="s">
        <v>260</v>
      </c>
      <c r="D138" s="3" t="s">
        <v>114</v>
      </c>
      <c r="E138" s="112" t="s">
        <v>88</v>
      </c>
      <c r="F138" s="3" t="s">
        <v>91</v>
      </c>
      <c r="H138" s="3" t="s">
        <v>431</v>
      </c>
      <c r="I138" s="3">
        <v>119.452</v>
      </c>
      <c r="J138" s="3">
        <v>126.852</v>
      </c>
      <c r="K138" s="3">
        <v>141</v>
      </c>
      <c r="L138" s="3">
        <v>162.34100000000001</v>
      </c>
      <c r="M138" s="3">
        <v>191.328</v>
      </c>
      <c r="N138" s="3">
        <v>215.364</v>
      </c>
      <c r="O138" s="3">
        <v>232.077</v>
      </c>
      <c r="P138" s="3">
        <v>235.89500000000001</v>
      </c>
      <c r="Q138" s="3">
        <v>279.12900000000002</v>
      </c>
      <c r="R138" s="3">
        <v>319.596</v>
      </c>
      <c r="S138" s="3">
        <v>370.96499999999997</v>
      </c>
      <c r="T138" s="3">
        <v>366.964</v>
      </c>
      <c r="U138" s="3">
        <v>545.52300000000002</v>
      </c>
      <c r="V138" s="3">
        <v>638.79999999999995</v>
      </c>
      <c r="W138" s="3">
        <v>740.25699999999995</v>
      </c>
      <c r="X138" s="3">
        <v>832.97699999999998</v>
      </c>
      <c r="Y138" s="3">
        <v>906.25099999999998</v>
      </c>
      <c r="Z138" s="3">
        <v>959.08199999999999</v>
      </c>
      <c r="AA138" s="3">
        <v>979.471</v>
      </c>
      <c r="AB138" s="3">
        <v>1065.5830000000001</v>
      </c>
      <c r="AC138" s="3">
        <v>535.19899999999996</v>
      </c>
      <c r="AD138" s="3">
        <v>1168.4829999999999</v>
      </c>
      <c r="AE138" s="139">
        <v>1256.6590000000001</v>
      </c>
      <c r="AF138" s="3">
        <v>1351.655</v>
      </c>
      <c r="AG138" s="3">
        <v>1569.0630000000001</v>
      </c>
      <c r="AH138" s="3">
        <v>1798.038</v>
      </c>
      <c r="AI138" s="3">
        <v>2041.124</v>
      </c>
      <c r="AJ138" s="3">
        <v>2367.3130000000001</v>
      </c>
      <c r="AK138" s="3">
        <v>3706.7220000000002</v>
      </c>
      <c r="AL138" s="3">
        <v>4304.5619999999999</v>
      </c>
      <c r="AM138" s="3">
        <v>4402.8410000000003</v>
      </c>
      <c r="AN138" s="3">
        <v>4414.8010000000004</v>
      </c>
      <c r="AO138" s="3">
        <v>4417.2079999999996</v>
      </c>
      <c r="AP138" s="3">
        <v>4583.3440000000001</v>
      </c>
      <c r="AQ138" s="3">
        <v>4700.3980000000001</v>
      </c>
      <c r="AR138" s="3">
        <v>4815.4260000000004</v>
      </c>
      <c r="AS138" s="3">
        <v>4768.1809999999996</v>
      </c>
      <c r="AT138" s="3">
        <v>4482.3689999999997</v>
      </c>
      <c r="AU138" s="3">
        <v>4231.4979999999996</v>
      </c>
      <c r="AV138" s="3">
        <v>4401.1959999999999</v>
      </c>
      <c r="AW138" s="3">
        <v>4417.558</v>
      </c>
      <c r="AX138" s="3">
        <v>4749.8969999999999</v>
      </c>
      <c r="AY138" s="3">
        <v>4905.7179999999998</v>
      </c>
      <c r="AZ138" s="3">
        <v>5260.21</v>
      </c>
      <c r="BA138" s="132">
        <v>5545.1350000000002</v>
      </c>
      <c r="BB138" s="132">
        <v>5876.1949999999997</v>
      </c>
      <c r="BC138" s="132">
        <v>6049</v>
      </c>
      <c r="BD138" s="132">
        <v>6322.18</v>
      </c>
      <c r="BE138" s="132">
        <v>6765</v>
      </c>
      <c r="BF138" s="132">
        <v>6562.2790000000005</v>
      </c>
      <c r="BG138" s="132">
        <v>6561.652</v>
      </c>
      <c r="BH138" s="132">
        <v>4174.9650000000001</v>
      </c>
    </row>
    <row r="139" spans="1:60" x14ac:dyDescent="0.25">
      <c r="A139" s="3" t="s">
        <v>101</v>
      </c>
      <c r="B139" s="3" t="s">
        <v>102</v>
      </c>
      <c r="C139" s="140" t="s">
        <v>261</v>
      </c>
      <c r="D139" s="3" t="s">
        <v>114</v>
      </c>
      <c r="E139" s="112" t="s">
        <v>88</v>
      </c>
      <c r="F139" s="3" t="s">
        <v>91</v>
      </c>
      <c r="H139" s="3" t="s">
        <v>442</v>
      </c>
      <c r="I139" s="3">
        <v>187.4</v>
      </c>
      <c r="J139" s="3">
        <v>187.31200000000001</v>
      </c>
      <c r="K139" s="3">
        <v>205</v>
      </c>
      <c r="L139" s="3">
        <v>230.79599999999999</v>
      </c>
      <c r="M139" s="3">
        <v>277.62799999999999</v>
      </c>
      <c r="N139" s="3">
        <v>312.46800000000002</v>
      </c>
      <c r="O139" s="3">
        <v>33.764000000000003</v>
      </c>
      <c r="P139" s="3">
        <v>339.86200000000002</v>
      </c>
      <c r="Q139" s="3">
        <v>369.81299999999999</v>
      </c>
      <c r="R139" s="3">
        <v>415.93700000000001</v>
      </c>
      <c r="S139" s="3">
        <v>482.26</v>
      </c>
      <c r="T139" s="3">
        <v>492.63</v>
      </c>
      <c r="U139" s="3">
        <v>570.91600000000005</v>
      </c>
      <c r="V139" s="3">
        <v>632.67600000000004</v>
      </c>
      <c r="W139" s="3">
        <v>682.21299999999997</v>
      </c>
      <c r="X139" s="3">
        <v>681.78200000000004</v>
      </c>
      <c r="Y139" s="3">
        <v>760.01</v>
      </c>
      <c r="Z139" s="3">
        <v>816.84400000000005</v>
      </c>
      <c r="AA139" s="3">
        <v>832.58100000000002</v>
      </c>
      <c r="AB139" s="3">
        <v>875.51099999999997</v>
      </c>
      <c r="AC139" s="3">
        <v>876.77800000000002</v>
      </c>
      <c r="AD139" s="3">
        <v>946.89599999999996</v>
      </c>
      <c r="AE139" s="3">
        <v>998.38699999999994</v>
      </c>
      <c r="AF139" s="3">
        <v>1065.9469999999999</v>
      </c>
      <c r="AG139" s="3">
        <v>1197.0260000000001</v>
      </c>
      <c r="AH139" s="3">
        <v>1354.42</v>
      </c>
      <c r="AI139" s="3">
        <v>1535.3779999999999</v>
      </c>
      <c r="AJ139" s="3">
        <v>1724.799</v>
      </c>
      <c r="AK139" s="3">
        <v>1847</v>
      </c>
      <c r="AL139" s="3">
        <v>1904.838</v>
      </c>
      <c r="AM139" s="3">
        <v>1944.067</v>
      </c>
      <c r="AN139" s="3">
        <v>1935.6179999999999</v>
      </c>
      <c r="AO139" s="3">
        <v>1935.808</v>
      </c>
      <c r="AP139" s="3">
        <v>1946.104</v>
      </c>
      <c r="AQ139" s="3">
        <v>1994.5730000000001</v>
      </c>
      <c r="AR139" s="3">
        <v>2048.2629999999999</v>
      </c>
      <c r="AS139" s="3">
        <v>2368.4920000000002</v>
      </c>
      <c r="AT139" s="3">
        <v>2425.5219999999999</v>
      </c>
      <c r="AU139" s="3">
        <v>2291.4940000000001</v>
      </c>
      <c r="AV139" s="3">
        <v>2366.518</v>
      </c>
      <c r="AW139" s="3">
        <v>2372.3009999999999</v>
      </c>
      <c r="AX139" s="3">
        <v>2508.96</v>
      </c>
      <c r="AY139" s="3">
        <v>2646.152</v>
      </c>
      <c r="AZ139" s="3">
        <v>2785.4</v>
      </c>
      <c r="BA139" s="132">
        <v>2821.88</v>
      </c>
      <c r="BB139" s="132">
        <v>2937.2179999999998</v>
      </c>
      <c r="BC139" s="132">
        <v>286</v>
      </c>
      <c r="BD139" s="132">
        <v>3092.373</v>
      </c>
      <c r="BE139" s="132">
        <v>3240</v>
      </c>
      <c r="BF139" s="132">
        <v>3244.6790000000001</v>
      </c>
      <c r="BG139" s="132">
        <v>3244.6790000000001</v>
      </c>
      <c r="BH139" s="132">
        <v>0</v>
      </c>
    </row>
    <row r="140" spans="1:60" x14ac:dyDescent="0.25">
      <c r="A140" s="3" t="s">
        <v>101</v>
      </c>
      <c r="B140" s="3" t="s">
        <v>102</v>
      </c>
      <c r="C140" s="140" t="s">
        <v>262</v>
      </c>
      <c r="D140" s="3" t="s">
        <v>114</v>
      </c>
      <c r="E140" s="112" t="s">
        <v>88</v>
      </c>
      <c r="F140" s="3" t="s">
        <v>91</v>
      </c>
      <c r="H140" s="3" t="s">
        <v>434</v>
      </c>
      <c r="I140" s="3">
        <v>142.435</v>
      </c>
      <c r="J140" s="3">
        <v>136.404</v>
      </c>
      <c r="K140" s="3">
        <v>145.54300000000001</v>
      </c>
      <c r="L140" s="3">
        <v>166.39</v>
      </c>
      <c r="M140" s="3">
        <v>197.63900000000001</v>
      </c>
      <c r="N140" s="3">
        <v>208.953</v>
      </c>
      <c r="O140" s="3">
        <v>220.62799999999999</v>
      </c>
      <c r="P140" s="3">
        <v>226.309</v>
      </c>
      <c r="Q140" s="3">
        <v>254.32400000000001</v>
      </c>
      <c r="R140" s="3">
        <v>276.04599999999999</v>
      </c>
      <c r="S140" s="3">
        <v>313.29500000000002</v>
      </c>
      <c r="T140" s="3">
        <v>307.95800000000003</v>
      </c>
      <c r="U140" s="3">
        <v>366.78</v>
      </c>
      <c r="V140" s="3">
        <v>396.81099999999998</v>
      </c>
      <c r="W140" s="3">
        <v>425.375</v>
      </c>
      <c r="X140" s="3">
        <v>442.91399999999999</v>
      </c>
      <c r="Y140" s="3">
        <v>478.95600000000002</v>
      </c>
      <c r="Z140" s="3">
        <v>518.25099999999998</v>
      </c>
      <c r="AA140" s="3">
        <v>527.78800000000001</v>
      </c>
      <c r="AB140" s="3">
        <v>555.51099999999997</v>
      </c>
      <c r="AC140" s="3">
        <v>512.16499999999996</v>
      </c>
      <c r="AD140" s="3">
        <v>594.54700000000003</v>
      </c>
      <c r="AE140" s="3">
        <v>631.36500000000001</v>
      </c>
      <c r="AF140" s="3">
        <v>674.76599999999996</v>
      </c>
      <c r="AG140" s="3">
        <v>750.48500000000001</v>
      </c>
      <c r="AH140" s="3">
        <v>858.29100000000005</v>
      </c>
      <c r="AI140" s="3">
        <v>975.76599999999996</v>
      </c>
      <c r="AJ140" s="3">
        <v>1111.674</v>
      </c>
      <c r="AK140" s="3">
        <v>1205.9269999999999</v>
      </c>
      <c r="AL140" s="3">
        <v>1242.3610000000001</v>
      </c>
      <c r="AM140" s="3">
        <v>1270.3209999999999</v>
      </c>
      <c r="AN140" s="3">
        <v>1264.769</v>
      </c>
      <c r="AO140" s="3">
        <v>1254.7070000000001</v>
      </c>
      <c r="AP140" s="3">
        <v>1261.3810000000001</v>
      </c>
      <c r="AQ140" s="3">
        <v>1292.952</v>
      </c>
      <c r="AR140" s="3">
        <v>1327.3869999999999</v>
      </c>
      <c r="AS140" s="3">
        <v>1315.6379999999999</v>
      </c>
      <c r="AT140" s="3">
        <v>1318.943</v>
      </c>
      <c r="AU140" s="3">
        <v>1245.124</v>
      </c>
      <c r="AV140" s="3">
        <v>1283.338</v>
      </c>
      <c r="AW140" s="3">
        <v>1286.8689999999999</v>
      </c>
      <c r="AX140" s="3">
        <v>1338.348</v>
      </c>
      <c r="AY140" s="3">
        <v>1376.6079999999999</v>
      </c>
      <c r="AZ140" s="3">
        <v>1452.0060000000001</v>
      </c>
      <c r="BA140" s="132">
        <v>1501.251</v>
      </c>
      <c r="BB140" s="132">
        <v>1556.9089999999999</v>
      </c>
      <c r="BC140" s="132">
        <v>1588</v>
      </c>
      <c r="BD140" s="132">
        <v>1681.231</v>
      </c>
      <c r="BE140" s="132">
        <v>1748</v>
      </c>
      <c r="BF140" s="132">
        <v>1759.078</v>
      </c>
      <c r="BG140" s="132">
        <v>1759.078</v>
      </c>
      <c r="BH140" s="132">
        <v>0</v>
      </c>
    </row>
    <row r="141" spans="1:60" x14ac:dyDescent="0.25">
      <c r="A141" s="3" t="s">
        <v>101</v>
      </c>
      <c r="B141" s="3" t="s">
        <v>102</v>
      </c>
      <c r="C141" s="1" t="s">
        <v>263</v>
      </c>
      <c r="D141" s="3" t="s">
        <v>114</v>
      </c>
      <c r="E141" s="112" t="s">
        <v>88</v>
      </c>
      <c r="F141" s="3" t="s">
        <v>91</v>
      </c>
      <c r="H141" s="3" t="s">
        <v>430</v>
      </c>
      <c r="I141" s="3">
        <v>44.133000000000003</v>
      </c>
      <c r="J141" s="3">
        <v>50.212000000000003</v>
      </c>
      <c r="K141" s="3">
        <v>64</v>
      </c>
      <c r="L141" s="3">
        <v>85.4</v>
      </c>
      <c r="M141" s="3">
        <v>105.19199999999999</v>
      </c>
      <c r="N141" s="3">
        <v>112.989</v>
      </c>
      <c r="O141" s="3">
        <v>117.983</v>
      </c>
      <c r="P141" s="139">
        <v>127.374</v>
      </c>
      <c r="Q141" s="3">
        <v>141.90100000000001</v>
      </c>
      <c r="R141" s="3">
        <v>155.131</v>
      </c>
      <c r="S141" s="3">
        <v>181.678</v>
      </c>
      <c r="T141" s="3">
        <v>186.70500000000001</v>
      </c>
      <c r="U141" s="3">
        <v>216.637</v>
      </c>
      <c r="V141" s="139">
        <v>224.947</v>
      </c>
      <c r="W141" s="3">
        <v>231.17</v>
      </c>
      <c r="X141" s="3">
        <v>236.53299999999999</v>
      </c>
      <c r="Y141" s="3">
        <v>253.24100000000001</v>
      </c>
      <c r="Z141" s="3">
        <v>268.97800000000001</v>
      </c>
      <c r="AA141" s="3">
        <v>276.18799999999999</v>
      </c>
      <c r="AB141" s="3">
        <v>290.26</v>
      </c>
      <c r="AC141" s="3">
        <v>291.09500000000003</v>
      </c>
      <c r="AD141" s="3">
        <v>313.93299999999999</v>
      </c>
      <c r="AE141" s="3">
        <v>332.59699999999998</v>
      </c>
      <c r="AF141" s="3">
        <v>355.69909999999999</v>
      </c>
      <c r="AG141" s="3">
        <v>395.59500000000003</v>
      </c>
      <c r="AH141" s="3">
        <v>450.3</v>
      </c>
      <c r="AI141" s="3">
        <v>510.35199999999998</v>
      </c>
      <c r="AJ141" s="3">
        <v>580.71299999999997</v>
      </c>
      <c r="AK141" s="3">
        <v>733.14800000000002</v>
      </c>
      <c r="AL141" s="3">
        <v>653.05200000000002</v>
      </c>
      <c r="AM141" s="3">
        <v>669.07</v>
      </c>
      <c r="AN141" s="3">
        <v>666.75599999999997</v>
      </c>
      <c r="AO141" s="3">
        <v>667.11599999999999</v>
      </c>
      <c r="AP141" s="3">
        <v>670.66399999999999</v>
      </c>
      <c r="AQ141" s="3">
        <v>687.35</v>
      </c>
      <c r="AR141" s="3">
        <v>705.8</v>
      </c>
      <c r="AS141" s="3">
        <v>699.65</v>
      </c>
      <c r="AT141" s="3">
        <v>701.40700000000004</v>
      </c>
      <c r="AU141" s="3">
        <v>662.15</v>
      </c>
      <c r="AV141" s="3">
        <v>675.58299999999997</v>
      </c>
      <c r="AW141" s="3">
        <v>676.76400000000001</v>
      </c>
      <c r="AX141" s="3">
        <v>707.00699999999995</v>
      </c>
      <c r="AY141" s="3">
        <v>731.21199999999999</v>
      </c>
      <c r="AZ141" s="3">
        <v>772.31700000000001</v>
      </c>
      <c r="BA141" s="132">
        <v>793.78300000000002</v>
      </c>
      <c r="BB141" s="132">
        <v>823.32500000000005</v>
      </c>
      <c r="BC141" s="132">
        <v>833</v>
      </c>
      <c r="BD141" s="132">
        <v>863.75199999999995</v>
      </c>
      <c r="BE141" s="132">
        <v>896</v>
      </c>
      <c r="BF141" s="132">
        <v>896.54899999999998</v>
      </c>
      <c r="BG141" s="132">
        <v>896.54899999999998</v>
      </c>
      <c r="BH141" s="132">
        <v>0</v>
      </c>
    </row>
    <row r="142" spans="1:60" x14ac:dyDescent="0.25">
      <c r="A142" s="3" t="s">
        <v>101</v>
      </c>
      <c r="B142" s="3" t="s">
        <v>102</v>
      </c>
      <c r="C142" s="1" t="s">
        <v>264</v>
      </c>
      <c r="D142" s="3" t="s">
        <v>114</v>
      </c>
      <c r="E142" s="112" t="s">
        <v>88</v>
      </c>
      <c r="F142" s="3" t="s">
        <v>91</v>
      </c>
      <c r="H142" s="3" t="s">
        <v>439</v>
      </c>
      <c r="I142" s="3">
        <v>35.170999999999999</v>
      </c>
      <c r="J142" s="3">
        <v>37.659999999999997</v>
      </c>
      <c r="K142" s="3">
        <v>51.140999999999998</v>
      </c>
      <c r="L142" s="3">
        <v>64.241</v>
      </c>
      <c r="M142" s="3">
        <v>78.08</v>
      </c>
      <c r="N142" s="3">
        <v>83.893000000000001</v>
      </c>
      <c r="O142" s="3">
        <v>93.491</v>
      </c>
      <c r="P142" s="3">
        <v>106.27</v>
      </c>
      <c r="Q142" s="3">
        <v>164.86699999999999</v>
      </c>
      <c r="R142" s="3">
        <v>180.58699999999999</v>
      </c>
      <c r="S142" s="3">
        <v>194.81899999999999</v>
      </c>
      <c r="T142" s="3">
        <v>188.98599999999999</v>
      </c>
      <c r="U142" s="3">
        <v>209.29400000000001</v>
      </c>
      <c r="V142" s="3">
        <v>215.666</v>
      </c>
      <c r="W142" s="3">
        <v>223.63900000000001</v>
      </c>
      <c r="X142" s="3">
        <v>299.23399999999998</v>
      </c>
      <c r="Y142" s="3">
        <v>241.02799999999999</v>
      </c>
      <c r="Z142" s="3">
        <v>248.57499999999999</v>
      </c>
      <c r="AA142" s="3">
        <v>251.18700000000001</v>
      </c>
      <c r="AB142" s="3">
        <v>264.24900000000002</v>
      </c>
      <c r="AC142" s="3">
        <v>266.56599999999997</v>
      </c>
      <c r="AD142" s="3">
        <v>288.37799999999999</v>
      </c>
      <c r="AE142" s="3">
        <v>308.48700000000002</v>
      </c>
      <c r="AF142" s="3">
        <v>330.108</v>
      </c>
      <c r="AG142" s="3">
        <v>375.49400000000003</v>
      </c>
      <c r="AH142" s="3">
        <v>442.44900000000001</v>
      </c>
      <c r="AI142" s="3">
        <v>564.80999999999995</v>
      </c>
      <c r="AJ142" s="3">
        <v>645.42200000000003</v>
      </c>
      <c r="AK142" s="3">
        <v>697.76700000000005</v>
      </c>
      <c r="AL142" s="3">
        <v>710.70100000000002</v>
      </c>
      <c r="AM142" s="3">
        <v>724.34699999999998</v>
      </c>
      <c r="AN142" s="3">
        <v>720.24</v>
      </c>
      <c r="AO142" s="3">
        <v>721.11900000000003</v>
      </c>
      <c r="AP142" s="3">
        <v>723.21500000000003</v>
      </c>
      <c r="AQ142" s="3">
        <v>746.16399999999999</v>
      </c>
      <c r="AR142" s="3">
        <v>774.19200000000001</v>
      </c>
      <c r="AS142" s="3">
        <v>761.63599999999997</v>
      </c>
      <c r="AT142" s="3">
        <v>684.29700000000003</v>
      </c>
      <c r="AU142" s="3">
        <v>645.99800000000005</v>
      </c>
      <c r="AV142" s="3">
        <v>665.82499999999993</v>
      </c>
      <c r="AW142" s="3">
        <v>667.33299999999997</v>
      </c>
      <c r="AX142" s="3">
        <v>692.57299999999998</v>
      </c>
      <c r="AY142" s="3">
        <v>712.66899999999998</v>
      </c>
      <c r="AZ142" s="3">
        <v>751.14300000000003</v>
      </c>
      <c r="BA142" s="132">
        <v>850.96600000000001</v>
      </c>
      <c r="BB142" s="132">
        <v>883.59799999999996</v>
      </c>
      <c r="BC142" s="132">
        <v>894</v>
      </c>
      <c r="BD142" s="132">
        <v>1007.242</v>
      </c>
      <c r="BE142" s="132">
        <v>997.03499999999997</v>
      </c>
      <c r="BF142" s="132">
        <v>996.97900000000004</v>
      </c>
      <c r="BG142" s="132">
        <v>996.97900000000004</v>
      </c>
      <c r="BH142" s="132">
        <v>0</v>
      </c>
    </row>
    <row r="143" spans="1:60" x14ac:dyDescent="0.25">
      <c r="A143" s="3" t="s">
        <v>101</v>
      </c>
      <c r="B143" s="3" t="s">
        <v>102</v>
      </c>
      <c r="C143" s="1" t="s">
        <v>440</v>
      </c>
      <c r="D143" s="3" t="s">
        <v>114</v>
      </c>
      <c r="E143" s="112" t="s">
        <v>88</v>
      </c>
      <c r="F143" s="3" t="s">
        <v>91</v>
      </c>
      <c r="H143" s="3" t="s">
        <v>441</v>
      </c>
      <c r="J143" s="3">
        <v>19.288</v>
      </c>
      <c r="K143" s="3">
        <v>30</v>
      </c>
      <c r="L143" s="3">
        <v>37.305</v>
      </c>
      <c r="M143" s="3">
        <v>56.911000000000001</v>
      </c>
      <c r="N143" s="3">
        <v>69.988</v>
      </c>
      <c r="O143" s="3">
        <v>75.608000000000004</v>
      </c>
      <c r="P143" s="3">
        <v>81.903000000000006</v>
      </c>
      <c r="Q143" s="3">
        <v>93.995999999999995</v>
      </c>
      <c r="R143" s="3">
        <v>115.292</v>
      </c>
      <c r="S143" s="3">
        <v>144.52099999999999</v>
      </c>
      <c r="T143" s="3">
        <v>149.762</v>
      </c>
      <c r="U143" s="3">
        <v>177.68100000000001</v>
      </c>
      <c r="V143" s="3">
        <v>194.74600000000001</v>
      </c>
      <c r="W143" s="3">
        <v>222.63900000000001</v>
      </c>
      <c r="X143" s="3">
        <v>239.45500000000001</v>
      </c>
      <c r="Y143" s="3">
        <v>323.75200000000001</v>
      </c>
      <c r="Z143" s="3">
        <v>383.38200000000001</v>
      </c>
      <c r="AA143" s="3">
        <v>399.92399999999998</v>
      </c>
      <c r="AB143" s="3">
        <v>420.303</v>
      </c>
      <c r="AC143" s="3">
        <v>431.99099999999999</v>
      </c>
      <c r="AD143" s="3">
        <v>453.541</v>
      </c>
      <c r="AE143" s="3">
        <v>485.80599999999998</v>
      </c>
      <c r="AF143" s="3">
        <v>519.279</v>
      </c>
      <c r="AG143" s="3">
        <v>596.12599999999998</v>
      </c>
      <c r="AH143" s="3">
        <v>686.47900000000004</v>
      </c>
      <c r="AI143" s="3">
        <v>785.59</v>
      </c>
      <c r="AJ143" s="3">
        <v>892.26700000000005</v>
      </c>
      <c r="AK143" s="3">
        <v>993.59799999999996</v>
      </c>
      <c r="AL143" s="3">
        <v>1024.7539999999999</v>
      </c>
      <c r="AM143" s="3">
        <v>1051.99</v>
      </c>
      <c r="AN143" s="3">
        <v>1046.6310000000001</v>
      </c>
      <c r="AO143" s="3">
        <v>1047.26</v>
      </c>
      <c r="AP143" s="3">
        <v>1052.83</v>
      </c>
      <c r="AQ143" s="3">
        <v>1079.0039999999999</v>
      </c>
      <c r="AR143" s="3">
        <v>1108.271</v>
      </c>
      <c r="AS143" s="3">
        <v>1098.6310000000001</v>
      </c>
      <c r="AT143" s="3">
        <v>1120.3910000000001</v>
      </c>
      <c r="AU143" s="3">
        <v>1039.748</v>
      </c>
      <c r="AV143" s="3">
        <v>1171.7170000000001</v>
      </c>
      <c r="AW143" s="3">
        <v>1197.5229999999999</v>
      </c>
      <c r="AX143" s="3">
        <v>1596.0309999999999</v>
      </c>
      <c r="AY143" s="3">
        <v>2048.8139999999999</v>
      </c>
      <c r="AZ143" s="3">
        <v>2574.0909999999999</v>
      </c>
      <c r="BA143" s="132">
        <v>3080.0770000000002</v>
      </c>
      <c r="BB143" s="132">
        <v>3545.8690000000001</v>
      </c>
      <c r="BC143" s="132">
        <v>3888</v>
      </c>
      <c r="BD143" s="132">
        <v>4222.634</v>
      </c>
      <c r="BE143" s="132">
        <v>4412</v>
      </c>
      <c r="BF143" s="132">
        <v>4507.6229999999996</v>
      </c>
      <c r="BG143" s="132">
        <v>4512.09</v>
      </c>
      <c r="BH143" s="132">
        <v>2686.5410000000002</v>
      </c>
    </row>
    <row r="144" spans="1:60" x14ac:dyDescent="0.25">
      <c r="A144" s="3" t="s">
        <v>101</v>
      </c>
      <c r="B144" s="3" t="s">
        <v>102</v>
      </c>
      <c r="C144" s="141" t="s">
        <v>265</v>
      </c>
      <c r="D144" s="3" t="s">
        <v>114</v>
      </c>
      <c r="E144" s="112" t="s">
        <v>88</v>
      </c>
      <c r="F144" s="3" t="s">
        <v>91</v>
      </c>
      <c r="H144" s="3" t="s">
        <v>432</v>
      </c>
      <c r="U144" s="3">
        <v>138.71299999999999</v>
      </c>
      <c r="V144" s="3">
        <v>147.679</v>
      </c>
      <c r="W144" s="3">
        <v>159.89099999999999</v>
      </c>
      <c r="X144" s="3">
        <v>168.93</v>
      </c>
      <c r="Y144" s="3">
        <v>193.24700000000001</v>
      </c>
      <c r="Z144" s="3">
        <v>203.047</v>
      </c>
      <c r="AA144" s="3">
        <v>212.45599999999999</v>
      </c>
      <c r="AB144" s="3">
        <v>223.28</v>
      </c>
      <c r="AC144" s="3">
        <v>228.17599999999999</v>
      </c>
      <c r="AD144" s="3">
        <v>241.655</v>
      </c>
      <c r="AE144" s="3">
        <v>257.00299999999999</v>
      </c>
      <c r="AF144" s="3">
        <v>274.76</v>
      </c>
      <c r="AG144" s="3">
        <v>307.95999999999998</v>
      </c>
      <c r="AH144" s="3">
        <v>349.96800000000002</v>
      </c>
      <c r="AI144" s="3">
        <v>396.46</v>
      </c>
      <c r="AJ144" s="3">
        <v>448.24799999999999</v>
      </c>
      <c r="AK144" s="3">
        <v>486.14299999999997</v>
      </c>
      <c r="AL144" s="3">
        <v>501.06599999999997</v>
      </c>
      <c r="AM144" s="3">
        <v>511.15699999999998</v>
      </c>
      <c r="AN144" s="3">
        <v>507.93200000000002</v>
      </c>
      <c r="AO144" s="3">
        <v>508.24</v>
      </c>
      <c r="AP144" s="3">
        <v>511.291</v>
      </c>
      <c r="AQ144" s="3">
        <v>524.00599999999997</v>
      </c>
      <c r="AR144" s="3">
        <v>538.13499999999999</v>
      </c>
      <c r="AS144" s="3">
        <v>533.45000000000005</v>
      </c>
      <c r="AT144" s="3">
        <v>534.79100000000005</v>
      </c>
      <c r="AU144" s="3">
        <v>504.86</v>
      </c>
      <c r="AV144" s="3">
        <v>520.35500000000002</v>
      </c>
      <c r="AW144" s="3">
        <v>521.52800000000002</v>
      </c>
      <c r="AX144" s="3">
        <v>540.91200000000003</v>
      </c>
      <c r="AY144" s="3">
        <v>556.60599999999999</v>
      </c>
      <c r="AZ144" s="3">
        <v>586.66099999999994</v>
      </c>
      <c r="BA144" s="132">
        <v>602.91800000000001</v>
      </c>
      <c r="BB144" s="132">
        <v>624.88900000000001</v>
      </c>
      <c r="BC144" s="132">
        <v>632</v>
      </c>
      <c r="BD144" s="132">
        <v>657.87300000000005</v>
      </c>
      <c r="BE144" s="132">
        <v>688</v>
      </c>
      <c r="BF144" s="132">
        <v>685.46500000000003</v>
      </c>
      <c r="BG144" s="132">
        <v>685.46500000000003</v>
      </c>
      <c r="BH144" s="132">
        <v>0</v>
      </c>
    </row>
    <row r="145" spans="1:60" x14ac:dyDescent="0.25">
      <c r="A145" s="3" t="s">
        <v>101</v>
      </c>
      <c r="B145" s="3" t="s">
        <v>102</v>
      </c>
      <c r="C145" s="1" t="s">
        <v>266</v>
      </c>
      <c r="D145" s="3" t="s">
        <v>114</v>
      </c>
      <c r="E145" s="112" t="s">
        <v>88</v>
      </c>
      <c r="F145" s="3" t="s">
        <v>91</v>
      </c>
      <c r="H145" s="3" t="s">
        <v>435</v>
      </c>
      <c r="W145" s="3">
        <v>94.165999999999997</v>
      </c>
      <c r="X145" s="3">
        <v>117.583</v>
      </c>
      <c r="Y145" s="3">
        <v>134.935</v>
      </c>
      <c r="Z145" s="3">
        <v>148.78899999999999</v>
      </c>
      <c r="AA145" s="3">
        <v>154.81399999999999</v>
      </c>
      <c r="AB145" s="3">
        <v>162.82300000000001</v>
      </c>
      <c r="AC145" s="3">
        <v>166.66</v>
      </c>
      <c r="AD145" s="3">
        <v>176.38300000000001</v>
      </c>
      <c r="AE145" s="3">
        <v>188.345</v>
      </c>
      <c r="AF145" s="3">
        <v>200.69499999999999</v>
      </c>
      <c r="AG145" s="3">
        <v>229.73500000000001</v>
      </c>
      <c r="AH145" s="3">
        <v>263.77100000000002</v>
      </c>
      <c r="AI145" s="3">
        <v>300.41800000000001</v>
      </c>
      <c r="AJ145" s="3">
        <v>341.67500000000001</v>
      </c>
      <c r="AK145" s="3">
        <v>370.38200000000001</v>
      </c>
      <c r="AL145" s="3">
        <v>382.053</v>
      </c>
      <c r="AM145" s="3">
        <v>394.26</v>
      </c>
      <c r="AN145" s="3">
        <v>393.45800000000003</v>
      </c>
      <c r="AO145" s="3">
        <v>393.66800000000001</v>
      </c>
      <c r="AP145" s="3">
        <v>396.23399999999998</v>
      </c>
      <c r="AQ145" s="3">
        <v>406.58300000000003</v>
      </c>
      <c r="AR145" s="3">
        <v>418.09399999999999</v>
      </c>
      <c r="AS145" s="3">
        <v>414.45800000000003</v>
      </c>
      <c r="AT145" s="3">
        <v>415.5</v>
      </c>
      <c r="AU145" s="3">
        <v>392.245</v>
      </c>
      <c r="AV145" s="3">
        <v>404.28399999999999</v>
      </c>
      <c r="AW145" s="3">
        <v>405.20699999999999</v>
      </c>
      <c r="AX145" s="3">
        <v>422.351</v>
      </c>
      <c r="AY145" s="3">
        <v>435.904</v>
      </c>
      <c r="AZ145" s="3">
        <v>459.97399999999999</v>
      </c>
      <c r="BA145" s="132">
        <v>472.99599999999998</v>
      </c>
      <c r="BB145" s="132">
        <v>490.69200000000001</v>
      </c>
      <c r="BC145" s="132">
        <v>497</v>
      </c>
      <c r="BD145" s="132">
        <v>514.88199999999995</v>
      </c>
      <c r="BE145" s="132">
        <v>534</v>
      </c>
      <c r="BF145" s="132">
        <v>534.33299999999997</v>
      </c>
      <c r="BG145" s="132">
        <v>534.33299999999997</v>
      </c>
      <c r="BH145" s="132">
        <v>0</v>
      </c>
    </row>
    <row r="146" spans="1:60" x14ac:dyDescent="0.25">
      <c r="A146" s="3" t="s">
        <v>101</v>
      </c>
      <c r="B146" s="3" t="s">
        <v>102</v>
      </c>
      <c r="C146" s="140" t="s">
        <v>267</v>
      </c>
      <c r="D146" s="3" t="s">
        <v>114</v>
      </c>
      <c r="E146" s="112" t="s">
        <v>88</v>
      </c>
      <c r="F146" s="3" t="s">
        <v>91</v>
      </c>
      <c r="H146" s="3" t="s">
        <v>443</v>
      </c>
      <c r="AA146" s="3">
        <v>583.65099999999995</v>
      </c>
      <c r="AB146" s="3">
        <v>613.44399999999996</v>
      </c>
      <c r="AC146" s="3">
        <v>542.20000000000005</v>
      </c>
      <c r="AD146" s="3">
        <v>660.54899999999998</v>
      </c>
      <c r="AE146" s="3">
        <v>701.10699999999997</v>
      </c>
      <c r="AF146" s="3">
        <v>750.24099999999999</v>
      </c>
      <c r="AG146" s="3">
        <v>860.63800000000003</v>
      </c>
      <c r="AH146" s="3">
        <v>973.14599999999996</v>
      </c>
      <c r="AI146" s="3">
        <v>1106.3050000000001</v>
      </c>
      <c r="AJ146" s="3">
        <v>1246.6400000000001</v>
      </c>
      <c r="AK146" s="3">
        <v>1341.0139999999999</v>
      </c>
      <c r="AL146" s="3">
        <v>1381.7739999999999</v>
      </c>
      <c r="AM146" s="3">
        <v>1411.933</v>
      </c>
      <c r="AN146" s="3">
        <v>1403.5150000000001</v>
      </c>
      <c r="AO146" s="3">
        <v>1404.4939999999999</v>
      </c>
      <c r="AP146" s="3">
        <v>1412.951</v>
      </c>
      <c r="AQ146" s="3">
        <v>1454.377</v>
      </c>
      <c r="AR146" s="3">
        <v>1493.51</v>
      </c>
      <c r="AS146" s="3">
        <v>1474.809</v>
      </c>
      <c r="AT146" s="3">
        <v>1477.5160000000001</v>
      </c>
      <c r="AU146" s="3">
        <v>1394.8209999999999</v>
      </c>
      <c r="AV146" s="3">
        <v>1419.654</v>
      </c>
      <c r="AW146" s="3">
        <v>1433.6510000000001</v>
      </c>
      <c r="AX146" s="3">
        <v>1516.53</v>
      </c>
      <c r="AY146" s="3">
        <v>1604.6579999999999</v>
      </c>
      <c r="AZ146" s="3">
        <v>1754.7750000000001</v>
      </c>
      <c r="BA146" s="132">
        <v>1871.6849999999999</v>
      </c>
      <c r="BB146" s="132">
        <v>2042.9659999999999</v>
      </c>
      <c r="BC146" s="132">
        <v>2100</v>
      </c>
      <c r="BD146" s="132">
        <v>2220.67</v>
      </c>
      <c r="BE146" s="132">
        <v>2269</v>
      </c>
      <c r="BF146" s="132">
        <v>2273.8429999999998</v>
      </c>
      <c r="BG146" s="132">
        <v>2273.8429999999998</v>
      </c>
      <c r="BH146" s="132">
        <v>0</v>
      </c>
    </row>
    <row r="147" spans="1:60" x14ac:dyDescent="0.25">
      <c r="A147" s="3" t="s">
        <v>101</v>
      </c>
      <c r="B147" s="3" t="s">
        <v>102</v>
      </c>
      <c r="C147" s="1" t="s">
        <v>268</v>
      </c>
      <c r="D147" s="3" t="s">
        <v>114</v>
      </c>
      <c r="E147" s="112" t="s">
        <v>88</v>
      </c>
      <c r="F147" s="3" t="s">
        <v>91</v>
      </c>
      <c r="H147" s="3" t="s">
        <v>438</v>
      </c>
      <c r="AA147" s="3">
        <v>403.80599999999998</v>
      </c>
      <c r="AB147" s="3">
        <v>425.20100000000002</v>
      </c>
      <c r="AC147" s="3">
        <v>290.029</v>
      </c>
      <c r="AD147" s="3">
        <v>458.11200000000002</v>
      </c>
      <c r="AE147" s="3">
        <v>489.16</v>
      </c>
      <c r="AF147" s="3">
        <v>527.17499999999995</v>
      </c>
      <c r="AG147" s="3">
        <v>602.87400000000002</v>
      </c>
      <c r="AH147" s="3">
        <v>685.78099999999995</v>
      </c>
      <c r="AI147" s="3">
        <v>780.83299999999997</v>
      </c>
      <c r="AJ147" s="3">
        <v>886.71799999999996</v>
      </c>
      <c r="AK147" s="3">
        <v>961.721</v>
      </c>
      <c r="AL147" s="3">
        <v>990.95299999999997</v>
      </c>
      <c r="AM147" s="3">
        <v>106.419</v>
      </c>
      <c r="AN147" s="3">
        <v>1000.029</v>
      </c>
      <c r="AO147" s="3">
        <v>1000.621</v>
      </c>
      <c r="AP147" s="3">
        <v>1006.022</v>
      </c>
      <c r="AQ147" s="3">
        <v>1039.5609999999999</v>
      </c>
      <c r="AR147" s="3">
        <v>1066.9110000000001</v>
      </c>
      <c r="AS147" s="3">
        <v>1048.7760000000001</v>
      </c>
      <c r="AT147" s="3">
        <v>1051.4100000000001</v>
      </c>
      <c r="AU147" s="3">
        <v>992.56500000000005</v>
      </c>
      <c r="AV147" s="3">
        <v>1017.961</v>
      </c>
      <c r="AW147" s="3">
        <v>1015.705</v>
      </c>
      <c r="AX147" s="3">
        <v>1049.059</v>
      </c>
      <c r="AY147" s="3">
        <v>1070.846</v>
      </c>
      <c r="AZ147" s="3">
        <v>1383.6030000000001</v>
      </c>
      <c r="BA147" s="132">
        <v>1408.2159999999999</v>
      </c>
      <c r="BB147" s="132">
        <v>1457.7239999999999</v>
      </c>
      <c r="BC147" s="132">
        <v>2476</v>
      </c>
      <c r="BD147" s="132">
        <v>1596.123</v>
      </c>
      <c r="BE147" s="132">
        <v>1663</v>
      </c>
      <c r="BF147" s="132">
        <v>1662.6949999999999</v>
      </c>
      <c r="BG147" s="132">
        <v>1662.6949999999999</v>
      </c>
      <c r="BH147" s="132">
        <v>0</v>
      </c>
    </row>
    <row r="148" spans="1:60" x14ac:dyDescent="0.25">
      <c r="A148" s="3" t="s">
        <v>101</v>
      </c>
      <c r="B148" s="3" t="s">
        <v>102</v>
      </c>
      <c r="C148" s="1" t="s">
        <v>269</v>
      </c>
      <c r="D148" s="3" t="s">
        <v>114</v>
      </c>
      <c r="E148" s="112" t="s">
        <v>88</v>
      </c>
      <c r="F148" s="3" t="s">
        <v>91</v>
      </c>
      <c r="H148" s="3" t="s">
        <v>428</v>
      </c>
      <c r="AA148" s="3">
        <v>176.619</v>
      </c>
      <c r="AB148" s="3">
        <v>185.61699999999999</v>
      </c>
      <c r="AC148" s="3">
        <v>181.15</v>
      </c>
      <c r="AD148" s="3">
        <v>198.40100000000001</v>
      </c>
      <c r="AE148" s="3">
        <v>211.87</v>
      </c>
      <c r="AF148" s="3">
        <v>227.17500000000001</v>
      </c>
      <c r="AG148" s="3">
        <v>259.57499999999999</v>
      </c>
      <c r="AH148" s="3">
        <v>292.36900000000003</v>
      </c>
      <c r="AI148" s="3">
        <v>340.45299999999997</v>
      </c>
      <c r="AJ148" s="3">
        <v>383.61500000000001</v>
      </c>
      <c r="AK148" s="3">
        <v>416.05099999999999</v>
      </c>
      <c r="AL148" s="3">
        <v>428.66899999999998</v>
      </c>
      <c r="AM148" s="139">
        <v>438.27699999999999</v>
      </c>
      <c r="AN148" s="3">
        <v>435.93</v>
      </c>
      <c r="AO148" s="3">
        <v>436.25900000000001</v>
      </c>
      <c r="AP148" s="3">
        <v>438.57900000000001</v>
      </c>
      <c r="AQ148" s="3">
        <v>449.52600000000001</v>
      </c>
      <c r="AR148" s="3">
        <v>461.57299999999998</v>
      </c>
      <c r="AS148" s="3">
        <v>457.51600000000002</v>
      </c>
      <c r="AT148" s="3">
        <v>458.66500000000002</v>
      </c>
      <c r="AU148" s="3">
        <v>432.99400000000003</v>
      </c>
      <c r="AV148" s="3">
        <v>446.28399999999999</v>
      </c>
      <c r="AW148" s="3">
        <v>447.15300000000002</v>
      </c>
      <c r="AX148" s="3">
        <v>466.798</v>
      </c>
      <c r="AY148" s="3">
        <v>482.45100000000002</v>
      </c>
      <c r="AZ148" s="3">
        <v>509.57299999999998</v>
      </c>
      <c r="BA148" s="132">
        <v>525.31600000000003</v>
      </c>
      <c r="BB148" s="132">
        <v>546.69600000000003</v>
      </c>
      <c r="BC148" s="132">
        <v>553</v>
      </c>
      <c r="BD148" s="132">
        <v>574.91</v>
      </c>
      <c r="BE148" s="132">
        <v>597</v>
      </c>
      <c r="BF148" s="132">
        <v>595.31799999999998</v>
      </c>
      <c r="BG148" s="132">
        <v>595.31799999999998</v>
      </c>
      <c r="BH148" s="132">
        <v>0</v>
      </c>
    </row>
    <row r="149" spans="1:60" x14ac:dyDescent="0.25">
      <c r="A149" s="3" t="s">
        <v>101</v>
      </c>
      <c r="B149" s="3" t="s">
        <v>102</v>
      </c>
      <c r="C149" s="1" t="s">
        <v>270</v>
      </c>
      <c r="D149" s="3" t="s">
        <v>114</v>
      </c>
      <c r="E149" s="112" t="s">
        <v>88</v>
      </c>
      <c r="F149" s="3" t="s">
        <v>91</v>
      </c>
      <c r="H149" s="3" t="s">
        <v>446</v>
      </c>
      <c r="U149" s="3">
        <v>20</v>
      </c>
      <c r="V149" s="3">
        <v>23.38</v>
      </c>
      <c r="W149" s="3">
        <v>29.132999999999999</v>
      </c>
      <c r="X149" s="3">
        <v>33.512999999999998</v>
      </c>
      <c r="Y149" s="3">
        <v>39.722000000000001</v>
      </c>
      <c r="Z149" s="3">
        <v>44.929000000000002</v>
      </c>
      <c r="AA149" s="3">
        <v>48.119</v>
      </c>
      <c r="AB149" s="3">
        <v>51.018000000000001</v>
      </c>
      <c r="AC149" s="3">
        <v>48.164000000000001</v>
      </c>
      <c r="AD149" s="3">
        <v>55.814</v>
      </c>
      <c r="AE149" s="3">
        <v>59.720999999999997</v>
      </c>
      <c r="AF149" s="3">
        <v>63.597000000000001</v>
      </c>
      <c r="AG149" s="3">
        <v>69.787999999999997</v>
      </c>
      <c r="AH149" s="3">
        <v>89.522000000000006</v>
      </c>
      <c r="AI149" s="3">
        <v>104.328</v>
      </c>
      <c r="AJ149" s="3">
        <v>120.366</v>
      </c>
      <c r="AK149" s="3">
        <v>130.584</v>
      </c>
      <c r="AL149" s="3">
        <v>134.72399999999999</v>
      </c>
      <c r="AM149" s="3">
        <v>138.072</v>
      </c>
      <c r="AN149" s="3">
        <v>137.34200000000001</v>
      </c>
      <c r="AO149" s="3">
        <v>137.404</v>
      </c>
      <c r="AP149" s="3">
        <v>138.20699999999999</v>
      </c>
      <c r="AQ149" s="3">
        <v>141.66300000000001</v>
      </c>
      <c r="AR149" s="3">
        <v>145.422</v>
      </c>
      <c r="AS149" s="3">
        <v>144.13800000000001</v>
      </c>
      <c r="AT149" s="3">
        <v>144.5</v>
      </c>
      <c r="AU149" s="3">
        <v>136.41200000000001</v>
      </c>
      <c r="AV149" s="3">
        <v>140.59800000000001</v>
      </c>
      <c r="AW149" s="3">
        <v>140.852</v>
      </c>
      <c r="AX149" s="3">
        <v>145.709</v>
      </c>
      <c r="AY149" s="3">
        <v>149.93700000000001</v>
      </c>
      <c r="AZ149" s="3">
        <v>158.03299999999999</v>
      </c>
      <c r="BA149" s="132">
        <v>163.16900000000001</v>
      </c>
      <c r="BB149" s="132">
        <v>172.363</v>
      </c>
      <c r="BC149" s="132">
        <v>174</v>
      </c>
      <c r="BD149" s="132">
        <v>180.84100000000001</v>
      </c>
      <c r="BE149" s="132">
        <v>198</v>
      </c>
      <c r="BF149" s="132">
        <v>197.69300000000001</v>
      </c>
      <c r="BG149" s="132">
        <v>197.69300000000001</v>
      </c>
      <c r="BH149" s="132">
        <v>0</v>
      </c>
    </row>
    <row r="150" spans="1:60" x14ac:dyDescent="0.25">
      <c r="A150" s="3" t="s">
        <v>101</v>
      </c>
      <c r="B150" s="3" t="s">
        <v>102</v>
      </c>
      <c r="C150" s="3" t="s">
        <v>271</v>
      </c>
      <c r="D150" s="3" t="s">
        <v>114</v>
      </c>
      <c r="E150" s="112" t="s">
        <v>88</v>
      </c>
      <c r="F150" s="3" t="s">
        <v>91</v>
      </c>
      <c r="H150" s="3" t="s">
        <v>429</v>
      </c>
      <c r="X150" s="3">
        <v>59.537999999999997</v>
      </c>
      <c r="Y150" s="3">
        <v>87.418000000000006</v>
      </c>
      <c r="Z150" s="3">
        <v>104.762</v>
      </c>
      <c r="AA150" s="3">
        <v>106.239</v>
      </c>
      <c r="AB150" s="3">
        <v>128.70099999999999</v>
      </c>
      <c r="AC150" s="3">
        <v>151.518</v>
      </c>
      <c r="AD150" s="3">
        <v>169.768</v>
      </c>
      <c r="AE150" s="3">
        <v>189.529</v>
      </c>
      <c r="AF150" s="3">
        <v>217.70400000000001</v>
      </c>
      <c r="AG150" s="3">
        <v>264.70699999999999</v>
      </c>
      <c r="AH150" s="3">
        <v>335.52699999999999</v>
      </c>
      <c r="AI150" s="3">
        <v>382.11200000000002</v>
      </c>
      <c r="AJ150" s="3">
        <v>428.75799999999998</v>
      </c>
      <c r="AK150" s="3">
        <v>464.995</v>
      </c>
      <c r="AL150" s="3">
        <v>479.07299999999998</v>
      </c>
      <c r="AM150" s="3">
        <v>488.608</v>
      </c>
      <c r="AN150" s="3">
        <v>486.04899999999998</v>
      </c>
      <c r="AO150" s="3">
        <v>486.49099999999999</v>
      </c>
      <c r="AP150" s="3">
        <v>489.36799999999999</v>
      </c>
      <c r="AQ150" s="3">
        <v>507.27800000000002</v>
      </c>
      <c r="AR150" s="3">
        <v>524.14300000000003</v>
      </c>
      <c r="AS150" s="3">
        <v>510.637</v>
      </c>
      <c r="AT150" s="3">
        <v>512.25800000000004</v>
      </c>
      <c r="AU150" s="3">
        <v>483.26900000000001</v>
      </c>
      <c r="AV150" s="3">
        <v>498.101</v>
      </c>
      <c r="AW150" s="3">
        <v>498.67700000000002</v>
      </c>
      <c r="AX150" s="3">
        <v>512.50900000000001</v>
      </c>
      <c r="AY150" s="3">
        <v>528.346</v>
      </c>
      <c r="AZ150" s="3">
        <v>556.88099999999997</v>
      </c>
      <c r="BA150" s="132">
        <v>575.38699999999994</v>
      </c>
      <c r="BB150" s="132">
        <v>604.11800000000005</v>
      </c>
      <c r="BC150" s="132">
        <v>614</v>
      </c>
      <c r="BD150" s="132">
        <v>636.47900000000004</v>
      </c>
      <c r="BE150" s="132">
        <v>660</v>
      </c>
      <c r="BF150" s="132">
        <v>663.2</v>
      </c>
      <c r="BG150" s="132">
        <v>663.2</v>
      </c>
      <c r="BH150" s="132">
        <v>0</v>
      </c>
    </row>
    <row r="151" spans="1:60" x14ac:dyDescent="0.25">
      <c r="A151" s="3" t="s">
        <v>101</v>
      </c>
      <c r="B151" s="3" t="s">
        <v>102</v>
      </c>
      <c r="C151" s="1" t="s">
        <v>272</v>
      </c>
      <c r="D151" s="3" t="s">
        <v>114</v>
      </c>
      <c r="E151" s="112" t="s">
        <v>88</v>
      </c>
      <c r="F151" s="3" t="s">
        <v>91</v>
      </c>
      <c r="H151" s="3" t="s">
        <v>433</v>
      </c>
      <c r="AJ151" s="3">
        <v>11.861000000000001</v>
      </c>
      <c r="AK151" s="3">
        <v>278.279</v>
      </c>
      <c r="AL151" s="3">
        <v>287.12900000000002</v>
      </c>
      <c r="AM151" s="3">
        <v>298.209</v>
      </c>
      <c r="AN151" s="3">
        <v>296.81</v>
      </c>
      <c r="AO151" s="3">
        <v>296.887</v>
      </c>
      <c r="AP151" s="3">
        <v>300.233</v>
      </c>
      <c r="AQ151" s="3">
        <v>307.70100000000002</v>
      </c>
      <c r="AR151" s="3">
        <v>316.02800000000002</v>
      </c>
      <c r="AS151" s="3">
        <v>345.17500000000001</v>
      </c>
      <c r="AT151" s="3">
        <v>337.72800000000001</v>
      </c>
      <c r="AU151" s="3">
        <v>318.827</v>
      </c>
      <c r="AV151" s="3">
        <v>327.00299999999999</v>
      </c>
      <c r="AW151" s="3">
        <v>327.24299999999999</v>
      </c>
      <c r="AX151" s="3">
        <v>343.02600000000001</v>
      </c>
      <c r="AY151" s="3">
        <v>356.98099999999999</v>
      </c>
      <c r="AZ151" s="3">
        <v>377.87099999999998</v>
      </c>
      <c r="BA151" s="132">
        <v>388.113</v>
      </c>
      <c r="BB151" s="132">
        <v>404.63799999999998</v>
      </c>
      <c r="BC151" s="132">
        <v>409</v>
      </c>
      <c r="BD151" s="132">
        <v>424.58800000000002</v>
      </c>
      <c r="BE151" s="132">
        <v>456</v>
      </c>
      <c r="BF151" s="132">
        <v>440.62700000000001</v>
      </c>
      <c r="BG151" s="132">
        <v>440.62700000000001</v>
      </c>
      <c r="BH151" s="132">
        <v>0</v>
      </c>
    </row>
    <row r="152" spans="1:60" x14ac:dyDescent="0.25">
      <c r="A152" s="3" t="s">
        <v>101</v>
      </c>
      <c r="B152" s="3" t="s">
        <v>102</v>
      </c>
      <c r="C152" s="3" t="s">
        <v>254</v>
      </c>
      <c r="D152" s="3" t="s">
        <v>114</v>
      </c>
      <c r="E152" s="112" t="s">
        <v>88</v>
      </c>
      <c r="H152" s="3" t="s">
        <v>453</v>
      </c>
      <c r="I152" s="3">
        <v>127.2</v>
      </c>
      <c r="J152" s="3">
        <v>130.26499999999999</v>
      </c>
      <c r="K152" s="3">
        <v>137.5</v>
      </c>
      <c r="L152" s="3">
        <v>145.095</v>
      </c>
      <c r="M152" s="3">
        <v>154.16399999999999</v>
      </c>
      <c r="N152" s="3">
        <v>169.196</v>
      </c>
      <c r="O152" s="139">
        <v>175.62700000000001</v>
      </c>
      <c r="P152" s="3">
        <v>184.17699999999999</v>
      </c>
      <c r="Q152" s="3">
        <v>213.917</v>
      </c>
      <c r="R152" s="3">
        <v>243.17699999999999</v>
      </c>
      <c r="S152" s="3">
        <v>304.02499999999998</v>
      </c>
      <c r="T152" s="3">
        <v>292.52300000000002</v>
      </c>
      <c r="U152" s="3">
        <v>322.86</v>
      </c>
      <c r="V152" s="3">
        <v>368.15300000000002</v>
      </c>
      <c r="W152" s="3">
        <v>358.07600000000002</v>
      </c>
      <c r="X152" s="3">
        <v>353.73399999999998</v>
      </c>
      <c r="Y152" s="3">
        <v>334.22500000000002</v>
      </c>
      <c r="Z152" s="3">
        <v>314.21300000000002</v>
      </c>
      <c r="AA152" s="3">
        <v>312.46800000000002</v>
      </c>
      <c r="AB152" s="3">
        <v>331.91500000000002</v>
      </c>
      <c r="AC152" s="3">
        <v>284.69299999999998</v>
      </c>
      <c r="AD152" s="3">
        <v>390.298</v>
      </c>
      <c r="AE152" s="3">
        <v>415.09500000000003</v>
      </c>
      <c r="AF152" s="3">
        <v>453.88299999999998</v>
      </c>
      <c r="AG152" s="3">
        <v>554.44600000000003</v>
      </c>
      <c r="AH152" s="3">
        <v>676.55700000000002</v>
      </c>
      <c r="AI152" s="3">
        <v>817.25300000000004</v>
      </c>
      <c r="AJ152" s="3">
        <v>1011.2619999999999</v>
      </c>
      <c r="AK152" s="3">
        <v>1138.8209999999999</v>
      </c>
      <c r="AL152" s="3">
        <v>1179.058</v>
      </c>
      <c r="AM152" s="3">
        <v>115.09</v>
      </c>
      <c r="AN152" s="3">
        <v>1099.1010000000001</v>
      </c>
      <c r="AO152" s="3">
        <v>1133.24</v>
      </c>
      <c r="AP152" s="3">
        <v>155.56</v>
      </c>
      <c r="AQ152" s="3">
        <v>1226.2629999999999</v>
      </c>
      <c r="AR152" s="3">
        <v>1266.806</v>
      </c>
      <c r="AS152" s="3">
        <v>1257.7539999999999</v>
      </c>
      <c r="BA152" s="132"/>
      <c r="BB152" s="132"/>
      <c r="BC152" s="132"/>
      <c r="BD152" s="132"/>
      <c r="BE152" s="132"/>
      <c r="BF152" s="132"/>
      <c r="BG152" s="132"/>
      <c r="BH152" s="132"/>
    </row>
    <row r="153" spans="1:60" ht="69" x14ac:dyDescent="0.25">
      <c r="A153" s="3" t="s">
        <v>101</v>
      </c>
      <c r="B153" s="3" t="s">
        <v>102</v>
      </c>
      <c r="C153" s="3" t="s">
        <v>279</v>
      </c>
      <c r="D153" s="3" t="s">
        <v>114</v>
      </c>
      <c r="E153" s="112" t="s">
        <v>88</v>
      </c>
      <c r="F153" s="3" t="s">
        <v>91</v>
      </c>
      <c r="H153" s="142" t="s">
        <v>452</v>
      </c>
      <c r="AH153" s="3">
        <v>676.55700000000002</v>
      </c>
      <c r="AI153" s="3">
        <v>817.25300000000004</v>
      </c>
      <c r="AJ153" s="3">
        <v>1011.2619999999999</v>
      </c>
      <c r="AK153" s="3">
        <v>1238.8209999999999</v>
      </c>
      <c r="AL153" s="3">
        <v>1179.058</v>
      </c>
      <c r="AM153" s="3">
        <v>1115.0899999999999</v>
      </c>
      <c r="AN153" s="3">
        <v>1099.1010000000001</v>
      </c>
      <c r="AO153" s="3">
        <v>1133.24</v>
      </c>
      <c r="AP153" s="3">
        <v>1155.56</v>
      </c>
      <c r="AQ153" s="3">
        <v>1224.6559999999999</v>
      </c>
      <c r="AR153" s="3">
        <v>1267.0989999999999</v>
      </c>
      <c r="AS153" s="3">
        <v>127.498</v>
      </c>
      <c r="AT153" s="3">
        <v>127.82</v>
      </c>
      <c r="AU153" s="3">
        <v>120.66500000000001</v>
      </c>
      <c r="AV153" s="3">
        <v>124.369</v>
      </c>
      <c r="AW153" s="3">
        <v>124.062</v>
      </c>
      <c r="AX153" s="3">
        <v>129.76</v>
      </c>
      <c r="AY153" s="3">
        <v>134.38900000000001</v>
      </c>
      <c r="AZ153" s="3">
        <v>142.184</v>
      </c>
      <c r="BA153" s="132">
        <v>145.96100000000001</v>
      </c>
      <c r="BB153" s="132">
        <v>151.87700000000001</v>
      </c>
      <c r="BC153" s="132">
        <v>154</v>
      </c>
      <c r="BD153" s="132">
        <v>159.28200000000001</v>
      </c>
      <c r="BE153" s="132">
        <v>170</v>
      </c>
      <c r="BF153" s="132">
        <v>170.38399999999999</v>
      </c>
      <c r="BG153" s="132">
        <v>170.38399999999999</v>
      </c>
      <c r="BH153" s="132">
        <v>0</v>
      </c>
    </row>
    <row r="154" spans="1:60" x14ac:dyDescent="0.25">
      <c r="A154" s="3" t="s">
        <v>101</v>
      </c>
      <c r="B154" s="3" t="s">
        <v>102</v>
      </c>
      <c r="C154" s="1" t="s">
        <v>275</v>
      </c>
      <c r="D154" s="3" t="s">
        <v>114</v>
      </c>
      <c r="E154" s="112" t="s">
        <v>88</v>
      </c>
      <c r="F154" s="3" t="s">
        <v>91</v>
      </c>
      <c r="H154" s="3" t="s">
        <v>444</v>
      </c>
      <c r="AI154" s="3">
        <v>130.096</v>
      </c>
      <c r="AJ154" s="3">
        <v>157.56299999999999</v>
      </c>
      <c r="AK154" s="3">
        <v>185.714</v>
      </c>
      <c r="AL154" s="3">
        <v>191.471</v>
      </c>
      <c r="AM154" s="3">
        <v>196.15899999999999</v>
      </c>
      <c r="AN154" s="3">
        <v>195.405</v>
      </c>
      <c r="AO154" s="3">
        <v>199.44399999999999</v>
      </c>
      <c r="AP154" s="3">
        <v>200.63</v>
      </c>
      <c r="AQ154" s="3">
        <v>205.62200000000001</v>
      </c>
      <c r="AR154" s="3">
        <v>211.203</v>
      </c>
      <c r="AS154" s="3">
        <v>276.33499999999998</v>
      </c>
      <c r="AT154" s="3">
        <v>275.92700000000002</v>
      </c>
      <c r="AU154" s="3">
        <v>260.483</v>
      </c>
      <c r="AV154" s="3">
        <v>268.47699999999998</v>
      </c>
      <c r="AW154" s="3">
        <v>270.96899999999999</v>
      </c>
      <c r="AX154" s="3">
        <v>280.29300000000001</v>
      </c>
      <c r="AY154" s="3">
        <v>287.67</v>
      </c>
      <c r="AZ154" s="3">
        <v>303.2</v>
      </c>
      <c r="BA154" s="132">
        <v>313.21100000000001</v>
      </c>
      <c r="BB154" s="132">
        <v>335.81200000000001</v>
      </c>
      <c r="BC154" s="132">
        <v>390</v>
      </c>
      <c r="BD154" s="132">
        <v>459.77699999999999</v>
      </c>
      <c r="BE154" s="132">
        <v>525</v>
      </c>
      <c r="BF154" s="132">
        <v>534.39499999999998</v>
      </c>
      <c r="BG154" s="132">
        <v>534.39499999999998</v>
      </c>
      <c r="BH154" s="132">
        <v>0</v>
      </c>
    </row>
    <row r="155" spans="1:60" x14ac:dyDescent="0.25">
      <c r="A155" s="3" t="s">
        <v>101</v>
      </c>
      <c r="B155" s="3" t="s">
        <v>102</v>
      </c>
      <c r="C155" s="1" t="s">
        <v>274</v>
      </c>
      <c r="D155" s="3" t="s">
        <v>114</v>
      </c>
      <c r="E155" s="112" t="s">
        <v>88</v>
      </c>
      <c r="F155" s="3" t="s">
        <v>91</v>
      </c>
      <c r="H155" s="3" t="s">
        <v>449</v>
      </c>
      <c r="I155" s="3">
        <v>5.5890000000000004</v>
      </c>
      <c r="J155" s="3">
        <v>5.7050000000000001</v>
      </c>
      <c r="K155" s="3">
        <v>7.992</v>
      </c>
      <c r="L155" s="3">
        <v>8.4830000000000005</v>
      </c>
      <c r="M155" s="3">
        <v>8.9890000000000008</v>
      </c>
      <c r="N155" s="3">
        <v>8.9870000000000001</v>
      </c>
      <c r="O155" s="3">
        <v>9.1240000000000006</v>
      </c>
      <c r="P155" s="3">
        <v>9.2050000000000001</v>
      </c>
      <c r="Q155" s="3">
        <v>10.147</v>
      </c>
      <c r="R155" s="3">
        <v>11.336</v>
      </c>
      <c r="S155" s="3">
        <v>11.728</v>
      </c>
      <c r="T155" s="3">
        <v>11.054</v>
      </c>
      <c r="U155" s="3">
        <v>11.42</v>
      </c>
      <c r="V155" s="3">
        <v>15.651</v>
      </c>
      <c r="W155" s="3">
        <v>15.79</v>
      </c>
      <c r="X155" s="3">
        <v>15.515000000000001</v>
      </c>
      <c r="Y155" s="3">
        <v>17.518999999999998</v>
      </c>
      <c r="Z155" s="3">
        <v>19.593</v>
      </c>
      <c r="AA155" s="3">
        <v>19.733000000000001</v>
      </c>
      <c r="AB155" s="3">
        <v>21.677</v>
      </c>
      <c r="AC155" s="3">
        <v>14.646000000000001</v>
      </c>
      <c r="AD155" s="3">
        <v>25.292000000000002</v>
      </c>
      <c r="AE155" s="139">
        <v>26.556999999999999</v>
      </c>
      <c r="AF155" s="3">
        <v>28.289000000000001</v>
      </c>
      <c r="AG155" s="3">
        <v>35.402000000000001</v>
      </c>
      <c r="AH155" s="3">
        <v>43.494</v>
      </c>
      <c r="AI155" s="3">
        <v>50.481999999999999</v>
      </c>
      <c r="AJ155" s="3">
        <v>56.859000000000002</v>
      </c>
      <c r="AK155" s="3">
        <v>63.465000000000003</v>
      </c>
      <c r="AL155" s="3">
        <v>65.382000000000005</v>
      </c>
      <c r="AM155" s="3">
        <v>66.632000000000005</v>
      </c>
      <c r="AN155" s="3">
        <v>66.378</v>
      </c>
      <c r="AO155" s="3">
        <v>66.445999999999998</v>
      </c>
      <c r="AP155" s="3">
        <v>66.912000000000006</v>
      </c>
      <c r="AQ155" s="3">
        <v>68.617000000000004</v>
      </c>
      <c r="AR155" s="3">
        <v>69.966999999999999</v>
      </c>
      <c r="AS155" s="3">
        <v>69.317999999999998</v>
      </c>
      <c r="AT155" s="3">
        <v>69.492999999999995</v>
      </c>
      <c r="AU155" s="3">
        <v>65.602999999999994</v>
      </c>
      <c r="AV155" s="3">
        <v>67.617000000000004</v>
      </c>
      <c r="AW155" s="3">
        <v>67.634</v>
      </c>
      <c r="AX155" s="3">
        <v>70.019000000000005</v>
      </c>
      <c r="AY155" s="3">
        <v>71.852000000000004</v>
      </c>
      <c r="AZ155" s="3">
        <v>75.733000000000004</v>
      </c>
      <c r="BA155" s="132">
        <v>77.921000000000006</v>
      </c>
      <c r="BB155" s="132">
        <v>80.826999999999998</v>
      </c>
      <c r="BC155" s="132">
        <v>84</v>
      </c>
      <c r="BD155" s="132">
        <v>86.849000000000004</v>
      </c>
      <c r="BE155" s="132">
        <v>95</v>
      </c>
      <c r="BF155" s="132">
        <v>95.162000000000006</v>
      </c>
      <c r="BG155" s="132">
        <v>95.162000000000006</v>
      </c>
      <c r="BH155" s="132">
        <v>0</v>
      </c>
    </row>
    <row r="156" spans="1:60" x14ac:dyDescent="0.25">
      <c r="A156" s="3" t="s">
        <v>101</v>
      </c>
      <c r="B156" s="3" t="s">
        <v>102</v>
      </c>
      <c r="C156" s="3" t="s">
        <v>105</v>
      </c>
      <c r="D156" s="3" t="s">
        <v>114</v>
      </c>
      <c r="E156" s="112" t="s">
        <v>88</v>
      </c>
      <c r="F156" s="3" t="s">
        <v>91</v>
      </c>
      <c r="H156" s="3" t="s">
        <v>448</v>
      </c>
      <c r="BA156" s="132">
        <v>0</v>
      </c>
      <c r="BB156" s="132">
        <v>0</v>
      </c>
      <c r="BC156" s="132">
        <v>0</v>
      </c>
      <c r="BD156" s="132">
        <v>1000</v>
      </c>
      <c r="BE156" s="132">
        <v>1500</v>
      </c>
      <c r="BF156" s="132">
        <v>1500</v>
      </c>
      <c r="BG156" s="132">
        <v>1500</v>
      </c>
      <c r="BH156" s="132">
        <v>945</v>
      </c>
    </row>
    <row r="157" spans="1:60" x14ac:dyDescent="0.25">
      <c r="A157" s="3" t="s">
        <v>101</v>
      </c>
      <c r="B157" s="3" t="s">
        <v>102</v>
      </c>
      <c r="C157" s="3" t="s">
        <v>273</v>
      </c>
      <c r="D157" s="3" t="s">
        <v>114</v>
      </c>
      <c r="E157" s="112" t="s">
        <v>88</v>
      </c>
      <c r="F157" s="3" t="s">
        <v>91</v>
      </c>
      <c r="H157" s="3" t="s">
        <v>454</v>
      </c>
      <c r="AS157" s="3">
        <v>553.59199999999998</v>
      </c>
      <c r="AT157" s="3">
        <v>574.29700000000003</v>
      </c>
      <c r="AU157" s="3">
        <v>542.15499999999997</v>
      </c>
      <c r="AV157" s="3">
        <v>633.63400000000001</v>
      </c>
      <c r="AW157" s="3">
        <v>632.71</v>
      </c>
      <c r="AX157" s="3">
        <v>684.46799999999996</v>
      </c>
      <c r="AY157" s="3">
        <v>704.33</v>
      </c>
      <c r="AZ157" s="3">
        <v>742.35400000000004</v>
      </c>
      <c r="BA157" s="132">
        <v>815.60299999999995</v>
      </c>
      <c r="BB157" s="132">
        <v>832.88800000000003</v>
      </c>
      <c r="BC157" s="132">
        <v>853</v>
      </c>
      <c r="BD157" s="132">
        <v>882.26499999999999</v>
      </c>
      <c r="BE157" s="132">
        <v>924</v>
      </c>
      <c r="BF157" s="132">
        <v>928.32299999999998</v>
      </c>
      <c r="BG157" s="132">
        <v>928.32299999999998</v>
      </c>
      <c r="BH157" s="132">
        <v>0</v>
      </c>
    </row>
    <row r="158" spans="1:60" x14ac:dyDescent="0.25">
      <c r="A158" s="3" t="s">
        <v>101</v>
      </c>
      <c r="B158" s="3" t="s">
        <v>102</v>
      </c>
      <c r="C158" s="1" t="s">
        <v>276</v>
      </c>
      <c r="D158" s="3" t="s">
        <v>114</v>
      </c>
      <c r="E158" s="112" t="s">
        <v>88</v>
      </c>
      <c r="F158" s="3" t="s">
        <v>91</v>
      </c>
      <c r="H158" s="3" t="s">
        <v>447</v>
      </c>
      <c r="I158" s="3">
        <v>28.85</v>
      </c>
      <c r="J158" s="3">
        <v>29.065000000000001</v>
      </c>
      <c r="K158" s="3">
        <v>35.234000000000002</v>
      </c>
      <c r="L158" s="3">
        <v>37.619</v>
      </c>
      <c r="M158" s="3">
        <v>41.430999999999997</v>
      </c>
      <c r="N158" s="3">
        <v>43.978999999999999</v>
      </c>
      <c r="O158" s="3">
        <v>44.665999999999997</v>
      </c>
      <c r="P158" s="3">
        <v>45.034999999999997</v>
      </c>
      <c r="Q158" s="3">
        <v>51.942999999999998</v>
      </c>
      <c r="R158" s="3">
        <v>49.613</v>
      </c>
      <c r="S158" s="3">
        <v>55.91</v>
      </c>
      <c r="T158" s="3">
        <v>55.322000000000003</v>
      </c>
      <c r="U158" s="3">
        <v>61.838000000000001</v>
      </c>
      <c r="V158" s="3">
        <v>67.91</v>
      </c>
      <c r="W158" s="3">
        <v>73.730999999999995</v>
      </c>
      <c r="X158" s="3">
        <v>81.861000000000004</v>
      </c>
      <c r="Y158" s="3">
        <v>91.408000000000001</v>
      </c>
      <c r="Z158" s="3">
        <v>99.087999999999994</v>
      </c>
      <c r="AA158" s="3">
        <v>113.03100000000001</v>
      </c>
      <c r="AB158" s="3">
        <v>119.98099999999999</v>
      </c>
      <c r="AC158" s="3">
        <v>125.303</v>
      </c>
      <c r="AD158" s="3">
        <v>140.93600000000001</v>
      </c>
      <c r="AE158" s="3">
        <v>150.828</v>
      </c>
      <c r="AF158" s="3">
        <v>161.185</v>
      </c>
      <c r="AG158" s="3">
        <v>181.18899999999999</v>
      </c>
      <c r="AH158" s="3">
        <v>214.06800000000001</v>
      </c>
      <c r="AI158" s="3">
        <v>246.351</v>
      </c>
      <c r="AJ158" s="3">
        <v>276.09100000000001</v>
      </c>
      <c r="AK158" s="3">
        <v>300.13499999999999</v>
      </c>
      <c r="AL158" s="3">
        <v>317.315</v>
      </c>
      <c r="AM158" s="3">
        <v>315.14600000000002</v>
      </c>
      <c r="AN158" s="3">
        <v>314.91000000000003</v>
      </c>
      <c r="AO158" s="3">
        <v>320.85000000000002</v>
      </c>
      <c r="AP158" s="3">
        <v>322.66699999999997</v>
      </c>
      <c r="AQ158" s="3">
        <v>331.49099999999999</v>
      </c>
      <c r="AR158" s="3">
        <v>340.38600000000002</v>
      </c>
      <c r="AS158" s="3">
        <v>362.45600000000002</v>
      </c>
      <c r="AT158" s="3">
        <v>364.887</v>
      </c>
      <c r="AU158" s="3">
        <v>318.149</v>
      </c>
      <c r="AV158" s="3">
        <v>336.613</v>
      </c>
      <c r="AW158" s="3">
        <v>337.32400000000001</v>
      </c>
      <c r="AX158" s="3">
        <v>395.13799999999998</v>
      </c>
      <c r="AY158" s="3">
        <v>406.60399999999998</v>
      </c>
      <c r="AZ158" s="3">
        <v>428.553</v>
      </c>
      <c r="BA158" s="132">
        <v>440.84699999999998</v>
      </c>
      <c r="BB158" s="132">
        <v>456.911</v>
      </c>
      <c r="BC158" s="132">
        <v>461</v>
      </c>
      <c r="BD158" s="132">
        <v>477.50599999999997</v>
      </c>
      <c r="BE158" s="132">
        <v>495</v>
      </c>
      <c r="BF158" s="132">
        <v>497.548</v>
      </c>
      <c r="BG158" s="132">
        <v>497.548</v>
      </c>
      <c r="BH158" s="132">
        <v>0</v>
      </c>
    </row>
    <row r="159" spans="1:60" x14ac:dyDescent="0.25">
      <c r="A159" s="3" t="s">
        <v>101</v>
      </c>
      <c r="B159" s="3" t="s">
        <v>102</v>
      </c>
      <c r="C159" s="140" t="s">
        <v>277</v>
      </c>
      <c r="D159" s="3" t="s">
        <v>114</v>
      </c>
      <c r="E159" s="112" t="s">
        <v>88</v>
      </c>
      <c r="F159" s="3" t="s">
        <v>91</v>
      </c>
      <c r="H159" s="3" t="s">
        <v>450</v>
      </c>
      <c r="I159" s="3">
        <v>17.326000000000001</v>
      </c>
      <c r="J159" s="3">
        <v>18.37</v>
      </c>
      <c r="K159" s="3">
        <v>16.934000000000001</v>
      </c>
      <c r="L159" s="3">
        <v>18.899999999999999</v>
      </c>
      <c r="M159" s="3">
        <v>19.672999999999998</v>
      </c>
      <c r="N159" s="3">
        <v>21.036000000000001</v>
      </c>
      <c r="O159" s="3">
        <v>22.530999999999999</v>
      </c>
      <c r="P159" s="3">
        <v>23.617999999999999</v>
      </c>
      <c r="Q159" s="3">
        <v>24.683</v>
      </c>
      <c r="R159" s="3">
        <v>26.72</v>
      </c>
      <c r="S159" s="3">
        <v>38.304000000000002</v>
      </c>
      <c r="T159" s="3">
        <v>111.961</v>
      </c>
      <c r="U159" s="3">
        <v>57.207999999999998</v>
      </c>
      <c r="V159" s="3">
        <v>61.819000000000003</v>
      </c>
      <c r="W159" s="3">
        <v>72.075999999999993</v>
      </c>
      <c r="X159" s="3">
        <v>107.419</v>
      </c>
      <c r="Y159" s="3">
        <v>97.650999999999996</v>
      </c>
      <c r="Z159" s="3">
        <v>141.85400000000001</v>
      </c>
      <c r="AA159" s="3">
        <v>190.32499999999999</v>
      </c>
      <c r="AB159" s="3">
        <v>233.60499999999999</v>
      </c>
      <c r="AC159" s="3">
        <v>217.88200000000001</v>
      </c>
      <c r="AD159" s="3">
        <v>261.072</v>
      </c>
      <c r="AE159" s="3">
        <v>286.81</v>
      </c>
      <c r="AF159" s="3">
        <v>296.37299999999999</v>
      </c>
      <c r="AG159" s="3">
        <v>306.35599999999999</v>
      </c>
      <c r="AH159" s="3">
        <v>282</v>
      </c>
      <c r="AI159" s="3">
        <v>211.8</v>
      </c>
      <c r="AJ159" s="3">
        <v>235.113</v>
      </c>
      <c r="AK159" s="3">
        <v>266.23200000000003</v>
      </c>
      <c r="AL159" s="3">
        <v>317.50400000000002</v>
      </c>
      <c r="AM159" s="3">
        <v>358.04599999999999</v>
      </c>
      <c r="AN159" s="3">
        <v>478.06599999999997</v>
      </c>
      <c r="AO159" s="3">
        <v>1046.9010000000001</v>
      </c>
      <c r="AP159" s="3">
        <v>1111.7349999999999</v>
      </c>
      <c r="AQ159" s="3">
        <v>1247.489</v>
      </c>
      <c r="AR159" s="3">
        <v>1177.124</v>
      </c>
      <c r="AS159" s="3">
        <v>1454.3230000000001</v>
      </c>
      <c r="AT159" s="3">
        <v>1457.1679999999999</v>
      </c>
      <c r="AU159" s="3">
        <v>1435.63</v>
      </c>
      <c r="AV159" s="3">
        <v>1303.0139999999999</v>
      </c>
      <c r="AW159" s="3">
        <v>1413.7339999999999</v>
      </c>
      <c r="AX159" s="3">
        <v>1570.7909999999999</v>
      </c>
      <c r="AY159" s="3">
        <v>1728.6030000000001</v>
      </c>
      <c r="AZ159" s="3">
        <v>1925.8929999999998</v>
      </c>
      <c r="BA159" s="132">
        <v>2103.9859999999999</v>
      </c>
      <c r="BB159" s="132">
        <v>2404.3870000000002</v>
      </c>
      <c r="BC159" s="132">
        <v>2413</v>
      </c>
      <c r="BD159" s="132">
        <v>2772.998</v>
      </c>
      <c r="BE159" s="132">
        <v>2697</v>
      </c>
      <c r="BF159" s="132">
        <v>2605.5140000000001</v>
      </c>
      <c r="BG159" s="132">
        <v>2633.4250000000002</v>
      </c>
      <c r="BH159" s="132">
        <v>1681.0619999999999</v>
      </c>
    </row>
    <row r="160" spans="1:60" x14ac:dyDescent="0.25">
      <c r="A160" s="3" t="s">
        <v>101</v>
      </c>
      <c r="B160" s="3" t="s">
        <v>102</v>
      </c>
      <c r="C160" s="1" t="s">
        <v>278</v>
      </c>
      <c r="D160" s="3" t="s">
        <v>114</v>
      </c>
      <c r="E160" s="112" t="s">
        <v>88</v>
      </c>
      <c r="F160" s="3" t="s">
        <v>91</v>
      </c>
      <c r="H160" s="3" t="s">
        <v>451</v>
      </c>
      <c r="I160" s="3">
        <v>3</v>
      </c>
      <c r="J160" s="3">
        <v>54</v>
      </c>
      <c r="K160" s="3">
        <v>67.400000000000006</v>
      </c>
      <c r="L160" s="3">
        <v>65.650000000000006</v>
      </c>
      <c r="M160" s="3">
        <v>30.95</v>
      </c>
      <c r="N160" s="3">
        <v>3.25</v>
      </c>
      <c r="O160" s="3">
        <v>11.75</v>
      </c>
      <c r="P160" s="3">
        <v>9.8979999999999997</v>
      </c>
      <c r="Q160" s="3">
        <v>17.5</v>
      </c>
      <c r="R160" s="3">
        <v>25.04</v>
      </c>
      <c r="S160" s="3">
        <v>21.73</v>
      </c>
      <c r="T160" s="3">
        <v>14.259</v>
      </c>
      <c r="U160" s="3">
        <v>31.9</v>
      </c>
      <c r="V160" s="3">
        <v>47.87</v>
      </c>
      <c r="W160" s="3">
        <v>38.792000000000002</v>
      </c>
      <c r="X160" s="3">
        <v>61.042000000000002</v>
      </c>
      <c r="Y160" s="3">
        <v>168.68700000000001</v>
      </c>
      <c r="Z160" s="3">
        <v>103.84</v>
      </c>
      <c r="AA160" s="3">
        <v>108.73099999999999</v>
      </c>
      <c r="AB160" s="3">
        <v>111.039</v>
      </c>
      <c r="AC160" s="3">
        <v>114.12</v>
      </c>
      <c r="AD160" s="3">
        <v>146.15100000000001</v>
      </c>
      <c r="AE160" s="3">
        <v>200</v>
      </c>
      <c r="AF160" s="3">
        <v>206.95699999999999</v>
      </c>
      <c r="AG160" s="3">
        <v>197.51900000000001</v>
      </c>
      <c r="AH160" s="3">
        <v>165.376</v>
      </c>
      <c r="AI160" s="3">
        <v>153.79</v>
      </c>
      <c r="AJ160" s="3">
        <v>204.6</v>
      </c>
      <c r="AK160" s="139">
        <v>628.68700000000001</v>
      </c>
      <c r="AL160" s="3">
        <v>88.971999999999994</v>
      </c>
      <c r="AM160" s="3">
        <v>110.288</v>
      </c>
      <c r="AN160" s="3">
        <v>81.081000000000003</v>
      </c>
      <c r="AO160" s="3">
        <v>81.081000000000003</v>
      </c>
      <c r="AP160" s="3">
        <v>118.96599999999999</v>
      </c>
      <c r="AQ160" s="3">
        <v>125.581</v>
      </c>
      <c r="AR160" s="3">
        <v>99.984999999999999</v>
      </c>
      <c r="AS160" s="3">
        <v>49.9</v>
      </c>
      <c r="AT160" s="3">
        <v>125.30800000000001</v>
      </c>
      <c r="AU160" s="3">
        <v>118.10899999999999</v>
      </c>
      <c r="AV160" s="3">
        <v>128.316</v>
      </c>
      <c r="AW160" s="3">
        <v>128.863</v>
      </c>
      <c r="AX160" s="3">
        <v>128.863</v>
      </c>
      <c r="AY160" s="3">
        <v>128.56700000000001</v>
      </c>
      <c r="AZ160" s="3">
        <v>128.863</v>
      </c>
      <c r="BA160" s="132">
        <v>199.31299999999999</v>
      </c>
      <c r="BB160" s="132">
        <v>200</v>
      </c>
      <c r="BC160" s="132">
        <v>199</v>
      </c>
      <c r="BD160" s="132">
        <v>250</v>
      </c>
      <c r="BE160" s="132">
        <v>325</v>
      </c>
      <c r="BF160" s="132">
        <v>350</v>
      </c>
      <c r="BG160" s="132">
        <v>350</v>
      </c>
      <c r="BH160" s="132">
        <v>210</v>
      </c>
    </row>
    <row r="161" spans="1:73" x14ac:dyDescent="0.25">
      <c r="A161" s="3" t="s">
        <v>236</v>
      </c>
      <c r="B161" s="3" t="s">
        <v>283</v>
      </c>
      <c r="C161" s="1" t="s">
        <v>283</v>
      </c>
      <c r="D161" s="3" t="s">
        <v>114</v>
      </c>
      <c r="E161" s="112" t="s">
        <v>60</v>
      </c>
      <c r="F161" s="3" t="s">
        <v>91</v>
      </c>
      <c r="H161" s="3" t="s">
        <v>425</v>
      </c>
      <c r="I161" s="3">
        <v>8635.7999999999993</v>
      </c>
      <c r="J161" s="3">
        <v>9520.1</v>
      </c>
      <c r="K161" s="3">
        <v>10588.1</v>
      </c>
      <c r="L161" s="3">
        <v>11473.9</v>
      </c>
      <c r="M161" s="3">
        <v>12382.6</v>
      </c>
      <c r="N161" s="3">
        <v>13495</v>
      </c>
      <c r="O161" s="3">
        <v>16633.5</v>
      </c>
      <c r="P161" s="3">
        <v>20102.599999999999</v>
      </c>
      <c r="Q161" s="3">
        <v>22824.799999999999</v>
      </c>
      <c r="R161" s="3">
        <v>26938.400000000001</v>
      </c>
      <c r="S161" s="3">
        <v>30566</v>
      </c>
      <c r="T161" s="3">
        <v>33676</v>
      </c>
      <c r="U161" s="3">
        <v>35941.300000000003</v>
      </c>
      <c r="V161" s="3">
        <v>37027</v>
      </c>
      <c r="W161" s="3">
        <v>37505.599999999999</v>
      </c>
      <c r="X161" s="3">
        <v>36640.9</v>
      </c>
      <c r="Y161" s="3">
        <v>36193.1</v>
      </c>
      <c r="Z161" s="3">
        <v>36622.800000000003</v>
      </c>
      <c r="AA161" s="3">
        <v>37916.9</v>
      </c>
      <c r="AB161" s="3">
        <v>34566.6</v>
      </c>
      <c r="AC161" s="3">
        <v>34521</v>
      </c>
      <c r="AD161" s="3">
        <v>34971</v>
      </c>
      <c r="AE161" s="3">
        <v>36404</v>
      </c>
      <c r="AF161" s="3">
        <v>37090</v>
      </c>
      <c r="AG161" s="3">
        <v>38290</v>
      </c>
      <c r="AH161" s="3">
        <v>39959</v>
      </c>
      <c r="AI161" s="3">
        <v>41735</v>
      </c>
      <c r="AJ161" s="3">
        <v>48877</v>
      </c>
      <c r="AK161" s="139">
        <v>58103</v>
      </c>
      <c r="AL161" s="3">
        <v>64643</v>
      </c>
      <c r="AM161" s="3">
        <v>69296.297999999995</v>
      </c>
      <c r="AN161" s="3">
        <v>71881.941000000006</v>
      </c>
      <c r="AO161" s="3">
        <v>77589.409</v>
      </c>
      <c r="AP161" s="143">
        <v>78441.625524000017</v>
      </c>
      <c r="AQ161" s="143">
        <v>80350.793000000005</v>
      </c>
      <c r="AR161" s="143">
        <v>80623.981999999989</v>
      </c>
      <c r="AS161" s="3">
        <v>76134.725999999995</v>
      </c>
      <c r="AT161" s="3">
        <v>72969.559000000008</v>
      </c>
      <c r="AU161" s="3">
        <v>64417.199053265998</v>
      </c>
      <c r="AV161" s="3">
        <v>63457.800999999992</v>
      </c>
      <c r="AW161" s="3">
        <v>64088.037000000011</v>
      </c>
      <c r="AX161" s="3">
        <v>70633.053999999989</v>
      </c>
      <c r="AY161" s="3">
        <v>74817.436000000002</v>
      </c>
      <c r="AZ161" s="3">
        <v>89235.069999999992</v>
      </c>
      <c r="BA161" s="132">
        <v>96206.49</v>
      </c>
      <c r="BB161" s="132">
        <v>106137.67199999999</v>
      </c>
      <c r="BC161" s="132">
        <v>96626.120999999985</v>
      </c>
      <c r="BD161" s="132">
        <v>135907.44</v>
      </c>
      <c r="BE161" s="132">
        <v>123896.72000000002</v>
      </c>
      <c r="BF161" s="132">
        <v>129436.62400000003</v>
      </c>
      <c r="BG161" s="132">
        <v>141239.66377537069</v>
      </c>
      <c r="BH161" s="132">
        <v>141189.402</v>
      </c>
    </row>
    <row r="162" spans="1:73" x14ac:dyDescent="0.25">
      <c r="A162" s="3" t="s">
        <v>236</v>
      </c>
      <c r="B162" s="3" t="s">
        <v>283</v>
      </c>
      <c r="C162" s="1">
        <v>6.1</v>
      </c>
      <c r="D162" s="3" t="s">
        <v>114</v>
      </c>
      <c r="E162" s="112" t="s">
        <v>88</v>
      </c>
      <c r="F162" s="3" t="s">
        <v>91</v>
      </c>
      <c r="H162" s="3" t="s">
        <v>455</v>
      </c>
      <c r="I162" s="3">
        <v>300.60000000000002</v>
      </c>
      <c r="J162" s="3">
        <v>327.5</v>
      </c>
      <c r="K162" s="3">
        <v>373</v>
      </c>
      <c r="L162" s="3">
        <v>416.2</v>
      </c>
      <c r="M162" s="3">
        <v>474.7</v>
      </c>
      <c r="N162" s="3">
        <v>552</v>
      </c>
      <c r="O162" s="3">
        <v>614.79999999999995</v>
      </c>
      <c r="P162" s="3">
        <v>696.1</v>
      </c>
      <c r="Q162" s="3">
        <v>787.2</v>
      </c>
      <c r="R162" s="3">
        <v>843</v>
      </c>
      <c r="S162" s="3">
        <v>851</v>
      </c>
      <c r="T162" s="3">
        <v>953.7</v>
      </c>
      <c r="U162" s="3">
        <v>893.6</v>
      </c>
      <c r="V162" s="3">
        <v>896.5</v>
      </c>
      <c r="W162" s="3">
        <v>950.7</v>
      </c>
      <c r="X162" s="3">
        <v>936.1</v>
      </c>
      <c r="Y162" s="3">
        <v>1156.9000000000001</v>
      </c>
      <c r="Z162" s="3">
        <v>1145.8</v>
      </c>
      <c r="AA162" s="3">
        <v>1314.1</v>
      </c>
      <c r="AB162" s="3">
        <v>1167.2</v>
      </c>
      <c r="AC162" s="3">
        <v>1176</v>
      </c>
      <c r="AD162" s="3">
        <v>1099</v>
      </c>
      <c r="AE162" s="3">
        <v>1032</v>
      </c>
      <c r="AF162" s="3">
        <v>1012</v>
      </c>
      <c r="AG162" s="3">
        <v>1064</v>
      </c>
      <c r="AH162" s="3">
        <v>1136</v>
      </c>
      <c r="AI162" s="3">
        <v>1287</v>
      </c>
      <c r="AJ162" s="3">
        <v>1350</v>
      </c>
      <c r="AK162" s="139">
        <v>1369</v>
      </c>
      <c r="AL162" s="3">
        <v>1358</v>
      </c>
      <c r="AM162" s="3">
        <v>1484.5619999999999</v>
      </c>
      <c r="AN162" s="3">
        <v>1470.1389999999999</v>
      </c>
      <c r="AO162" s="3">
        <v>1524.7080000000001</v>
      </c>
      <c r="AP162" s="3">
        <v>1633.875</v>
      </c>
      <c r="AQ162" s="3">
        <v>1755.53</v>
      </c>
      <c r="AR162" s="3">
        <v>1873.5280000000002</v>
      </c>
      <c r="AS162" s="3">
        <v>1876.828</v>
      </c>
      <c r="AT162" s="3">
        <v>2010.15</v>
      </c>
      <c r="AU162" s="3">
        <v>1969.7667515099997</v>
      </c>
      <c r="AV162" s="3">
        <v>2095.6080000000002</v>
      </c>
      <c r="AW162" s="3">
        <v>2213.498</v>
      </c>
      <c r="AX162" s="3">
        <v>2223.3240000000001</v>
      </c>
      <c r="AY162" s="3">
        <v>2198.1320000000001</v>
      </c>
      <c r="AZ162" s="3">
        <v>2343.154</v>
      </c>
      <c r="BA162" s="132">
        <v>2475.652</v>
      </c>
      <c r="BB162" s="132">
        <v>2521.8180000000002</v>
      </c>
      <c r="BC162" s="132">
        <v>2528.41</v>
      </c>
      <c r="BD162" s="132">
        <v>5537.9570000000003</v>
      </c>
      <c r="BE162" s="132">
        <v>2740.6190000000001</v>
      </c>
      <c r="BF162" s="132">
        <v>2593.6620000000003</v>
      </c>
      <c r="BG162" s="132">
        <v>2450.655855658365</v>
      </c>
      <c r="BH162" s="132">
        <v>2074.0709999999999</v>
      </c>
    </row>
    <row r="163" spans="1:73" x14ac:dyDescent="0.25">
      <c r="A163" s="3" t="s">
        <v>236</v>
      </c>
      <c r="B163" s="3" t="s">
        <v>283</v>
      </c>
      <c r="C163" s="1">
        <v>6.2</v>
      </c>
      <c r="D163" s="3" t="s">
        <v>114</v>
      </c>
      <c r="E163" s="112" t="s">
        <v>88</v>
      </c>
      <c r="F163" s="3" t="s">
        <v>91</v>
      </c>
      <c r="H163" s="3" t="s">
        <v>456</v>
      </c>
      <c r="I163" s="3">
        <v>1083.3</v>
      </c>
      <c r="J163" s="3">
        <v>1180.8</v>
      </c>
      <c r="K163" s="3">
        <v>1305</v>
      </c>
      <c r="L163" s="3">
        <v>1386.3</v>
      </c>
      <c r="M163" s="3">
        <v>1535.5</v>
      </c>
      <c r="N163" s="3">
        <v>1712</v>
      </c>
      <c r="O163" s="3">
        <v>1985.3</v>
      </c>
      <c r="P163" s="3">
        <v>2236.5</v>
      </c>
      <c r="Q163" s="3">
        <v>2450.9</v>
      </c>
      <c r="R163" s="3">
        <v>2212</v>
      </c>
      <c r="S163" s="3">
        <v>2260</v>
      </c>
      <c r="T163" s="3">
        <v>2278.6999999999998</v>
      </c>
      <c r="U163" s="3">
        <v>2343.1999999999998</v>
      </c>
      <c r="V163" s="3">
        <v>2413.9</v>
      </c>
      <c r="W163" s="3">
        <v>2540.8000000000002</v>
      </c>
      <c r="X163" s="3">
        <v>2408.4</v>
      </c>
      <c r="Y163" s="3">
        <v>2729.6</v>
      </c>
      <c r="Z163" s="3">
        <v>2958.5</v>
      </c>
      <c r="AA163" s="3">
        <v>3549</v>
      </c>
      <c r="AB163" s="3">
        <v>2690.5</v>
      </c>
      <c r="AC163" s="3">
        <v>2933</v>
      </c>
      <c r="AD163" s="3">
        <v>2836</v>
      </c>
      <c r="AE163" s="3">
        <v>2822</v>
      </c>
      <c r="AF163" s="3">
        <v>2910</v>
      </c>
      <c r="AG163" s="3">
        <v>3057</v>
      </c>
      <c r="AH163" s="3">
        <v>3405</v>
      </c>
      <c r="AI163" s="3">
        <v>3674</v>
      </c>
      <c r="AJ163" s="3">
        <v>4094</v>
      </c>
      <c r="AK163" s="139">
        <v>4269</v>
      </c>
      <c r="AL163" s="3">
        <v>4347</v>
      </c>
      <c r="AM163" s="3">
        <v>4788.33</v>
      </c>
      <c r="AN163" s="3">
        <v>5168.0460000000003</v>
      </c>
      <c r="AO163" s="3">
        <v>5103.4830000000002</v>
      </c>
      <c r="AP163" s="3">
        <v>5063.107</v>
      </c>
      <c r="AQ163" s="3">
        <v>4989.3429999999998</v>
      </c>
      <c r="AR163" s="3">
        <v>5038.2950000000001</v>
      </c>
      <c r="AS163" s="3">
        <v>4328.5439999999999</v>
      </c>
      <c r="AT163" s="3">
        <v>4729.741</v>
      </c>
      <c r="AU163" s="3">
        <v>4352.1110504819999</v>
      </c>
      <c r="AV163" s="3">
        <v>4522.8469999999998</v>
      </c>
      <c r="AW163" s="3">
        <v>4577.9859999999999</v>
      </c>
      <c r="AX163" s="3">
        <v>4922.4949999999999</v>
      </c>
      <c r="AY163" s="3">
        <v>5124.9680000000008</v>
      </c>
      <c r="AZ163" s="3">
        <v>5681.7520000000004</v>
      </c>
      <c r="BA163" s="132">
        <v>5912.09</v>
      </c>
      <c r="BB163" s="132">
        <v>6058.9470000000001</v>
      </c>
      <c r="BC163" s="132">
        <v>6108.6840000000002</v>
      </c>
      <c r="BD163" s="132">
        <v>6509.5990000000002</v>
      </c>
      <c r="BE163" s="132">
        <v>7346.357</v>
      </c>
      <c r="BF163" s="132">
        <v>7250.2289999999994</v>
      </c>
      <c r="BG163" s="132">
        <v>7102.1360761839278</v>
      </c>
      <c r="BH163" s="132">
        <v>5799.3490000000002</v>
      </c>
    </row>
    <row r="164" spans="1:73" x14ac:dyDescent="0.25">
      <c r="A164" s="3" t="s">
        <v>236</v>
      </c>
      <c r="B164" s="3" t="s">
        <v>283</v>
      </c>
      <c r="C164" s="1">
        <v>6.3</v>
      </c>
      <c r="D164" s="3" t="s">
        <v>114</v>
      </c>
      <c r="E164" s="112" t="s">
        <v>88</v>
      </c>
      <c r="F164" s="3" t="s">
        <v>91</v>
      </c>
      <c r="H164" s="3" t="s">
        <v>457</v>
      </c>
      <c r="AA164" s="3">
        <v>6282.3</v>
      </c>
      <c r="AB164" s="3">
        <v>6208.2</v>
      </c>
      <c r="AC164" s="3">
        <v>3821</v>
      </c>
      <c r="AD164" s="3">
        <v>3609</v>
      </c>
      <c r="AE164" s="3">
        <v>3639</v>
      </c>
      <c r="AF164" s="3">
        <v>3790</v>
      </c>
      <c r="AG164" s="3">
        <v>3453</v>
      </c>
      <c r="AH164" s="3">
        <v>3767</v>
      </c>
      <c r="AI164" s="3">
        <v>3972</v>
      </c>
      <c r="AJ164" s="3">
        <v>4430</v>
      </c>
      <c r="AK164" s="139">
        <v>5091</v>
      </c>
      <c r="AL164" s="3">
        <v>6185</v>
      </c>
      <c r="AM164" s="3">
        <v>6768.4579999999996</v>
      </c>
      <c r="AN164" s="3">
        <v>6609.8630000000003</v>
      </c>
      <c r="AO164" s="3">
        <v>6210.5460000000003</v>
      </c>
      <c r="AP164" s="3">
        <v>6013.3039600000011</v>
      </c>
      <c r="AQ164" s="3">
        <v>6319.7880000000005</v>
      </c>
      <c r="AR164" s="3">
        <v>6544.2309999999998</v>
      </c>
      <c r="AS164" s="3">
        <v>5339.6509999999998</v>
      </c>
      <c r="AT164" s="3">
        <v>5318.0239999999994</v>
      </c>
      <c r="AU164" s="3">
        <v>5184.5398983719988</v>
      </c>
      <c r="AV164" s="3">
        <v>5102.2719999999999</v>
      </c>
      <c r="AW164" s="3">
        <v>5232.5280000000002</v>
      </c>
      <c r="AX164" s="3">
        <v>5633.2849999999999</v>
      </c>
      <c r="AY164" s="3">
        <v>6072.0720000000001</v>
      </c>
      <c r="AZ164" s="3">
        <v>6869.098</v>
      </c>
      <c r="BA164" s="132">
        <v>6929.130000000001</v>
      </c>
      <c r="BB164" s="132">
        <v>7331.5219999999999</v>
      </c>
      <c r="BC164" s="132">
        <v>7515.6399999999994</v>
      </c>
      <c r="BD164" s="132">
        <v>8721.2999999999993</v>
      </c>
      <c r="BE164" s="132">
        <v>11164.665000000001</v>
      </c>
      <c r="BF164" s="132">
        <v>10576.786</v>
      </c>
      <c r="BG164" s="132">
        <v>10563.012269036823</v>
      </c>
      <c r="BH164" s="132">
        <v>9984.6939999999995</v>
      </c>
    </row>
    <row r="165" spans="1:73" x14ac:dyDescent="0.25">
      <c r="A165" s="3" t="s">
        <v>236</v>
      </c>
      <c r="B165" s="3" t="s">
        <v>283</v>
      </c>
      <c r="C165" s="3">
        <v>6.4</v>
      </c>
      <c r="D165" s="3" t="s">
        <v>114</v>
      </c>
      <c r="E165" s="112" t="s">
        <v>88</v>
      </c>
      <c r="F165" s="3" t="s">
        <v>91</v>
      </c>
      <c r="H165" s="3" t="s">
        <v>458</v>
      </c>
      <c r="AA165" s="3">
        <v>4211.7</v>
      </c>
      <c r="AB165" s="3">
        <v>2696.6</v>
      </c>
      <c r="AC165" s="3">
        <v>4403</v>
      </c>
      <c r="AD165" s="3">
        <v>5197</v>
      </c>
      <c r="AE165" s="3">
        <v>5864</v>
      </c>
      <c r="AF165" s="3">
        <v>6556</v>
      </c>
      <c r="AG165" s="3">
        <v>7364</v>
      </c>
      <c r="AH165" s="3">
        <v>6540</v>
      </c>
      <c r="AI165" s="3">
        <v>8052</v>
      </c>
      <c r="AJ165" s="3">
        <v>10125</v>
      </c>
      <c r="AK165" s="3">
        <v>10637</v>
      </c>
      <c r="AL165" s="3">
        <v>12947</v>
      </c>
      <c r="AM165" s="3">
        <v>14571.749</v>
      </c>
      <c r="AN165" s="3">
        <v>13924.663</v>
      </c>
      <c r="AO165" s="3">
        <v>15925.127</v>
      </c>
      <c r="AP165" s="3">
        <v>15756.420783999998</v>
      </c>
      <c r="AQ165" s="3">
        <v>14858.630000000001</v>
      </c>
      <c r="AR165" s="3">
        <v>14484.653999999999</v>
      </c>
      <c r="AS165" s="3">
        <v>14141.522000000001</v>
      </c>
      <c r="AT165" s="3">
        <v>13579.309000000001</v>
      </c>
      <c r="AU165" s="3">
        <v>11649.536642159997</v>
      </c>
      <c r="AV165" s="3">
        <v>11655.019</v>
      </c>
      <c r="AW165" s="3">
        <v>12252.328</v>
      </c>
      <c r="AX165" s="3">
        <v>14081.99</v>
      </c>
      <c r="AY165" s="3">
        <v>15593.007</v>
      </c>
      <c r="AZ165" s="3">
        <v>19051.533000000003</v>
      </c>
      <c r="BA165" s="3">
        <v>21454.397000000001</v>
      </c>
      <c r="BB165" s="3">
        <v>26670</v>
      </c>
      <c r="BC165" s="3">
        <v>26021.870999999999</v>
      </c>
      <c r="BD165" s="3">
        <v>30483.437999999998</v>
      </c>
      <c r="BE165" s="3">
        <v>31989.335000000003</v>
      </c>
      <c r="BF165" s="3">
        <v>35809.843000000001</v>
      </c>
      <c r="BG165" s="3">
        <v>37728.137021137969</v>
      </c>
      <c r="BH165" s="3">
        <v>30780.897000000004</v>
      </c>
    </row>
    <row r="166" spans="1:73" x14ac:dyDescent="0.25">
      <c r="A166" s="3" t="s">
        <v>236</v>
      </c>
      <c r="B166" s="3" t="s">
        <v>283</v>
      </c>
      <c r="C166" s="1">
        <v>6.5</v>
      </c>
      <c r="D166" s="3" t="s">
        <v>114</v>
      </c>
      <c r="E166" s="112" t="s">
        <v>88</v>
      </c>
      <c r="F166" s="3" t="s">
        <v>91</v>
      </c>
      <c r="H166" s="3" t="s">
        <v>459</v>
      </c>
      <c r="AA166" s="3">
        <v>8486.6</v>
      </c>
      <c r="AB166" s="3">
        <v>7334.3</v>
      </c>
      <c r="AC166" s="3">
        <v>8683</v>
      </c>
      <c r="AD166" s="3">
        <v>8645</v>
      </c>
      <c r="AE166" s="3">
        <v>8536</v>
      </c>
      <c r="AF166" s="3">
        <v>8284</v>
      </c>
      <c r="AG166" s="3">
        <v>7646</v>
      </c>
      <c r="AH166" s="3">
        <v>8891</v>
      </c>
      <c r="AI166" s="3">
        <v>8441</v>
      </c>
      <c r="AJ166" s="3">
        <v>10676</v>
      </c>
      <c r="AK166" s="139">
        <v>13393</v>
      </c>
      <c r="AL166" s="3">
        <v>15339</v>
      </c>
      <c r="AM166" s="3">
        <v>16558.151000000002</v>
      </c>
      <c r="AN166" s="3">
        <v>19365.060000000001</v>
      </c>
      <c r="AO166" s="3">
        <v>19119.260999999999</v>
      </c>
      <c r="AP166" s="3">
        <v>18355.192496000003</v>
      </c>
      <c r="AQ166" s="3">
        <v>18125.159</v>
      </c>
      <c r="AR166" s="3">
        <v>17365.11</v>
      </c>
      <c r="AS166" s="3">
        <v>14346.306</v>
      </c>
      <c r="AT166" s="3">
        <v>13573.245000000001</v>
      </c>
      <c r="AU166" s="3">
        <v>12898.726573788001</v>
      </c>
      <c r="AV166" s="3">
        <v>11154.21</v>
      </c>
      <c r="AW166" s="3">
        <v>10853.343000000001</v>
      </c>
      <c r="AX166" s="3">
        <v>12801.198999999999</v>
      </c>
      <c r="AY166" s="3">
        <v>13034.624000000002</v>
      </c>
      <c r="AZ166" s="3">
        <v>14689.341999999999</v>
      </c>
      <c r="BA166" s="132">
        <v>15446.508</v>
      </c>
      <c r="BB166" s="132">
        <v>16557.86</v>
      </c>
      <c r="BC166" s="132">
        <v>11696.097</v>
      </c>
      <c r="BD166" s="132">
        <v>11303.834000000001</v>
      </c>
      <c r="BE166" s="132">
        <v>17163.402999999998</v>
      </c>
      <c r="BF166" s="132">
        <v>20542.295000000002</v>
      </c>
      <c r="BG166" s="132">
        <v>24837.183878194392</v>
      </c>
      <c r="BH166" s="132">
        <v>27483.295999999998</v>
      </c>
    </row>
    <row r="167" spans="1:73" x14ac:dyDescent="0.25">
      <c r="A167" s="3" t="s">
        <v>236</v>
      </c>
      <c r="B167" s="3" t="s">
        <v>283</v>
      </c>
      <c r="C167" s="1">
        <v>6.6</v>
      </c>
      <c r="D167" s="3" t="s">
        <v>114</v>
      </c>
      <c r="E167" s="112" t="s">
        <v>88</v>
      </c>
      <c r="F167" s="3" t="s">
        <v>91</v>
      </c>
      <c r="H167" s="3" t="s">
        <v>460</v>
      </c>
      <c r="AA167" s="3">
        <v>3397.8</v>
      </c>
      <c r="AB167" s="3">
        <v>3367.7</v>
      </c>
      <c r="AC167" s="3">
        <v>3698</v>
      </c>
      <c r="AD167" s="3">
        <v>3654</v>
      </c>
      <c r="AE167" s="3">
        <v>3465</v>
      </c>
      <c r="AF167" s="3">
        <v>3516</v>
      </c>
      <c r="AG167" s="3">
        <v>3553</v>
      </c>
      <c r="AH167" s="3">
        <v>3127</v>
      </c>
      <c r="AI167" s="3">
        <v>3342</v>
      </c>
      <c r="AJ167" s="3">
        <v>3646</v>
      </c>
      <c r="AK167" s="139">
        <v>4046</v>
      </c>
      <c r="AL167" s="3">
        <v>4443</v>
      </c>
      <c r="AM167" s="3">
        <v>4727.5379999999996</v>
      </c>
      <c r="AN167" s="3">
        <v>4031.6779999999999</v>
      </c>
      <c r="AO167" s="3">
        <v>5466.1319999999996</v>
      </c>
      <c r="AP167" s="3">
        <v>4551.9736336000005</v>
      </c>
      <c r="AQ167" s="3">
        <v>5982.7969999999996</v>
      </c>
      <c r="AR167" s="3">
        <v>4755.7730000000001</v>
      </c>
      <c r="AS167" s="3">
        <v>5661.1669999999995</v>
      </c>
      <c r="AT167" s="3">
        <v>5693.6820000000007</v>
      </c>
      <c r="AU167" s="3">
        <v>4163.0036052240002</v>
      </c>
      <c r="AV167" s="3">
        <v>5296.1059999999998</v>
      </c>
      <c r="AW167" s="3">
        <v>5419.2470000000003</v>
      </c>
      <c r="AX167" s="3">
        <v>5579.2890000000007</v>
      </c>
      <c r="AY167" s="3">
        <v>5845.0460000000003</v>
      </c>
      <c r="AZ167" s="3">
        <v>6648.8509999999987</v>
      </c>
      <c r="BA167" s="132">
        <v>9073.9520000000011</v>
      </c>
      <c r="BB167" s="132">
        <v>9538.6930000000011</v>
      </c>
      <c r="BC167" s="132">
        <v>8845.5470000000005</v>
      </c>
      <c r="BD167" s="132">
        <v>10110.667000000001</v>
      </c>
      <c r="BE167" s="132">
        <v>11662.52</v>
      </c>
      <c r="BF167" s="132">
        <v>8797.8160000000007</v>
      </c>
      <c r="BG167" s="132">
        <v>8474.0035959585948</v>
      </c>
      <c r="BH167" s="132">
        <v>9841.9150000000027</v>
      </c>
    </row>
    <row r="168" spans="1:73" x14ac:dyDescent="0.25">
      <c r="A168" s="3" t="s">
        <v>236</v>
      </c>
      <c r="B168" s="3" t="s">
        <v>283</v>
      </c>
      <c r="C168" s="1">
        <v>6.7</v>
      </c>
      <c r="D168" s="3" t="s">
        <v>114</v>
      </c>
      <c r="E168" s="112" t="s">
        <v>88</v>
      </c>
      <c r="F168" s="3" t="s">
        <v>91</v>
      </c>
      <c r="H168" s="3" t="s">
        <v>461</v>
      </c>
      <c r="AA168" s="3">
        <v>10536</v>
      </c>
      <c r="AB168" s="3">
        <v>11241.9</v>
      </c>
      <c r="AC168" s="3">
        <v>9985</v>
      </c>
      <c r="AD168" s="3">
        <v>10163</v>
      </c>
      <c r="AE168" s="3">
        <v>11145</v>
      </c>
      <c r="AF168" s="3">
        <v>11115</v>
      </c>
      <c r="AG168" s="3">
        <v>11967</v>
      </c>
      <c r="AH168" s="3">
        <v>11888</v>
      </c>
      <c r="AI168" s="3">
        <v>12980</v>
      </c>
      <c r="AJ168" s="3">
        <v>14303</v>
      </c>
      <c r="AK168" s="139">
        <v>19503</v>
      </c>
      <c r="AL168" s="3">
        <v>19747</v>
      </c>
      <c r="AM168" s="3">
        <v>20397.509999999998</v>
      </c>
      <c r="AN168" s="3">
        <v>21312.492000000002</v>
      </c>
      <c r="AO168" s="3">
        <v>24240.151999999998</v>
      </c>
      <c r="AP168" s="3">
        <v>27067.752650400002</v>
      </c>
      <c r="AQ168" s="3">
        <v>28319.546000000002</v>
      </c>
      <c r="AR168" s="3">
        <v>30562.390999999996</v>
      </c>
      <c r="AS168" s="3">
        <v>11693.682999999997</v>
      </c>
      <c r="AT168" s="3">
        <v>10609.209000000001</v>
      </c>
      <c r="AU168" s="3">
        <v>9016.5707036999993</v>
      </c>
      <c r="AV168" s="3">
        <v>7529.7970000000005</v>
      </c>
      <c r="AW168" s="3">
        <v>7999.1190000000024</v>
      </c>
      <c r="AX168" s="3">
        <v>8370.4459999999999</v>
      </c>
      <c r="AY168" s="3">
        <v>26944.962</v>
      </c>
      <c r="AZ168" s="3">
        <v>11514.848</v>
      </c>
      <c r="BA168" s="132">
        <v>34914.760999999999</v>
      </c>
      <c r="BB168" s="132">
        <v>37458.831999999995</v>
      </c>
      <c r="BC168" s="132">
        <v>33476.966999999997</v>
      </c>
      <c r="BD168" s="132">
        <v>37506.220999999998</v>
      </c>
      <c r="BE168" s="132">
        <v>41535.263999999996</v>
      </c>
      <c r="BF168" s="132">
        <v>43116.162000000004</v>
      </c>
      <c r="BG168" s="132">
        <v>49218.733050131261</v>
      </c>
      <c r="BH168" s="132">
        <v>54395.893999999993</v>
      </c>
    </row>
    <row r="169" spans="1:73" x14ac:dyDescent="0.25">
      <c r="A169" s="3" t="s">
        <v>236</v>
      </c>
      <c r="B169" s="3" t="s">
        <v>283</v>
      </c>
      <c r="C169" s="1">
        <v>6.8</v>
      </c>
      <c r="D169" s="3" t="s">
        <v>114</v>
      </c>
      <c r="E169" s="112" t="s">
        <v>88</v>
      </c>
      <c r="F169" s="3" t="s">
        <v>91</v>
      </c>
      <c r="H169" s="3" t="s">
        <v>462</v>
      </c>
      <c r="AK169" s="139"/>
      <c r="BA169" s="132"/>
      <c r="BB169" s="132"/>
      <c r="BC169" s="132">
        <v>432.90500000000003</v>
      </c>
      <c r="BD169" s="132">
        <v>641.7059999999999</v>
      </c>
      <c r="BE169" s="132">
        <v>294.55700000000002</v>
      </c>
      <c r="BF169" s="132">
        <v>749.83100000000002</v>
      </c>
      <c r="BG169" s="132">
        <v>865.80202906937029</v>
      </c>
      <c r="BH169" s="132">
        <v>829.28600000000006</v>
      </c>
    </row>
    <row r="170" spans="1:73" x14ac:dyDescent="0.25">
      <c r="A170" s="3" t="s">
        <v>236</v>
      </c>
      <c r="B170" s="3" t="s">
        <v>283</v>
      </c>
      <c r="C170" s="1" t="s">
        <v>291</v>
      </c>
      <c r="D170" s="3" t="s">
        <v>114</v>
      </c>
      <c r="E170" s="112" t="s">
        <v>88</v>
      </c>
      <c r="F170" s="3" t="s">
        <v>91</v>
      </c>
      <c r="I170" s="3">
        <f t="shared" ref="I170:Z170" si="53">I161-I162-I163</f>
        <v>7251.8999999999987</v>
      </c>
      <c r="J170" s="3">
        <f t="shared" si="53"/>
        <v>8011.8</v>
      </c>
      <c r="K170" s="3">
        <f t="shared" si="53"/>
        <v>8910.1</v>
      </c>
      <c r="L170" s="3">
        <f t="shared" si="53"/>
        <v>9671.4</v>
      </c>
      <c r="M170" s="3">
        <f t="shared" si="53"/>
        <v>10372.4</v>
      </c>
      <c r="N170" s="3">
        <f t="shared" si="53"/>
        <v>11231</v>
      </c>
      <c r="O170" s="3">
        <f t="shared" si="53"/>
        <v>14033.400000000001</v>
      </c>
      <c r="P170" s="3">
        <f t="shared" si="53"/>
        <v>17170</v>
      </c>
      <c r="Q170" s="3">
        <f t="shared" si="53"/>
        <v>19586.699999999997</v>
      </c>
      <c r="R170" s="3">
        <f t="shared" si="53"/>
        <v>23883.4</v>
      </c>
      <c r="S170" s="3">
        <f t="shared" si="53"/>
        <v>27455</v>
      </c>
      <c r="T170" s="3">
        <f t="shared" si="53"/>
        <v>30443.599999999999</v>
      </c>
      <c r="U170" s="3">
        <f t="shared" si="53"/>
        <v>32704.500000000004</v>
      </c>
      <c r="V170" s="3">
        <f t="shared" si="53"/>
        <v>33716.6</v>
      </c>
      <c r="W170" s="3">
        <f t="shared" si="53"/>
        <v>34014.1</v>
      </c>
      <c r="X170" s="3">
        <f t="shared" si="53"/>
        <v>33296.400000000001</v>
      </c>
      <c r="Y170" s="3">
        <f t="shared" si="53"/>
        <v>32306.6</v>
      </c>
      <c r="Z170" s="3">
        <f t="shared" si="53"/>
        <v>32518.5</v>
      </c>
      <c r="AK170" s="139"/>
      <c r="BA170" s="132"/>
      <c r="BB170" s="132"/>
      <c r="BC170" s="132"/>
      <c r="BD170" s="132"/>
      <c r="BE170" s="132"/>
      <c r="BF170" s="132"/>
      <c r="BG170" s="132"/>
      <c r="BH170" s="132"/>
    </row>
    <row r="171" spans="1:73" x14ac:dyDescent="0.25">
      <c r="A171" s="3" t="s">
        <v>236</v>
      </c>
      <c r="B171" s="3" t="s">
        <v>284</v>
      </c>
      <c r="C171" s="3" t="s">
        <v>284</v>
      </c>
      <c r="D171" s="3" t="s">
        <v>114</v>
      </c>
      <c r="E171" s="112" t="s">
        <v>60</v>
      </c>
      <c r="F171" s="3" t="s">
        <v>91</v>
      </c>
      <c r="AG171" s="3">
        <v>38</v>
      </c>
      <c r="AH171" s="3">
        <v>295</v>
      </c>
      <c r="AI171" s="3">
        <v>432</v>
      </c>
      <c r="AJ171" s="3">
        <v>464</v>
      </c>
      <c r="AK171" s="139">
        <v>458</v>
      </c>
      <c r="AL171" s="3">
        <v>486</v>
      </c>
      <c r="AM171" s="3">
        <v>523.11400000000003</v>
      </c>
      <c r="AN171" s="3">
        <v>536.88300000000004</v>
      </c>
      <c r="AO171" s="3">
        <v>679.7</v>
      </c>
      <c r="AP171" s="3">
        <v>893.34816000000001</v>
      </c>
      <c r="AQ171" s="3">
        <v>902.55799999999999</v>
      </c>
      <c r="AR171" s="3">
        <v>1280.047</v>
      </c>
      <c r="AS171" s="3">
        <v>1205.75</v>
      </c>
      <c r="AT171" s="3">
        <v>1272.4369999999999</v>
      </c>
      <c r="AU171" s="3">
        <v>1205.117270406</v>
      </c>
      <c r="AV171" s="3">
        <v>1710.2840000000001</v>
      </c>
      <c r="AW171" s="3">
        <v>1698.615</v>
      </c>
      <c r="AX171" s="3">
        <v>2121.4520000000002</v>
      </c>
      <c r="AY171" s="3">
        <v>2101.627</v>
      </c>
      <c r="AZ171" s="3">
        <v>2039.3150000000001</v>
      </c>
      <c r="BA171" s="132">
        <v>2306.0949999999998</v>
      </c>
      <c r="BB171" s="132">
        <v>3657.9949999999999</v>
      </c>
      <c r="BC171" s="132">
        <v>2395.0810000000001</v>
      </c>
      <c r="BD171" s="132">
        <v>2633.4879999999998</v>
      </c>
      <c r="BE171" s="132">
        <v>3041.61</v>
      </c>
      <c r="BF171" s="132">
        <v>2877.0479999999998</v>
      </c>
      <c r="BG171" s="132">
        <v>1695.4359999999999</v>
      </c>
      <c r="BH171" s="132">
        <v>1047</v>
      </c>
    </row>
    <row r="172" spans="1:73" x14ac:dyDescent="0.25">
      <c r="A172" s="3" t="s">
        <v>236</v>
      </c>
      <c r="B172" s="3" t="s">
        <v>285</v>
      </c>
      <c r="C172" s="3" t="s">
        <v>285</v>
      </c>
      <c r="D172" s="3" t="s">
        <v>114</v>
      </c>
      <c r="E172" s="112" t="s">
        <v>60</v>
      </c>
      <c r="F172" s="3" t="s">
        <v>91</v>
      </c>
      <c r="H172" s="3" t="s">
        <v>464</v>
      </c>
      <c r="O172" s="3">
        <v>580.20000000000005</v>
      </c>
      <c r="P172" s="3">
        <v>675.4</v>
      </c>
      <c r="Q172" s="3">
        <v>729.6</v>
      </c>
      <c r="R172" s="3">
        <v>863.4</v>
      </c>
      <c r="S172" s="3">
        <v>634.4</v>
      </c>
      <c r="T172" s="3">
        <v>692.6</v>
      </c>
      <c r="U172" s="3">
        <v>779.5</v>
      </c>
      <c r="V172" s="3">
        <v>872.4</v>
      </c>
      <c r="W172" s="3">
        <v>1289.0999999999999</v>
      </c>
      <c r="X172" s="3">
        <v>1216.5999999999999</v>
      </c>
      <c r="Y172" s="3">
        <v>1465.5</v>
      </c>
      <c r="Z172" s="3">
        <v>1597.3</v>
      </c>
      <c r="AA172" s="3">
        <v>2278.8000000000002</v>
      </c>
      <c r="AB172" s="3">
        <v>2648.6</v>
      </c>
      <c r="AC172" s="3">
        <v>2372</v>
      </c>
      <c r="AD172" s="3">
        <v>2269</v>
      </c>
      <c r="AE172" s="3">
        <v>2070</v>
      </c>
      <c r="AF172" s="3">
        <v>2004</v>
      </c>
      <c r="AG172" s="3">
        <v>1888</v>
      </c>
      <c r="AH172" s="3">
        <v>1876</v>
      </c>
      <c r="AI172" s="3">
        <v>1977</v>
      </c>
      <c r="AJ172" s="3">
        <v>2260</v>
      </c>
      <c r="AK172" s="3">
        <v>2655</v>
      </c>
      <c r="AL172" s="3">
        <v>2815</v>
      </c>
      <c r="AM172" s="3">
        <v>2947</v>
      </c>
      <c r="AN172" s="3">
        <v>2871</v>
      </c>
      <c r="AO172" s="3">
        <v>2908</v>
      </c>
      <c r="AP172" s="3">
        <v>2511</v>
      </c>
      <c r="AQ172" s="3">
        <v>3014.6640000000002</v>
      </c>
      <c r="AR172" s="3">
        <v>2991.239</v>
      </c>
      <c r="AS172" s="3">
        <v>2835.1060000000002</v>
      </c>
      <c r="AT172" s="3">
        <v>2814.078</v>
      </c>
      <c r="AU172" s="3">
        <v>2778.6559999999999</v>
      </c>
      <c r="AV172" s="3">
        <v>2752.6559999999999</v>
      </c>
      <c r="AW172" s="3">
        <v>2915.9319999999998</v>
      </c>
      <c r="AX172" s="3">
        <v>2868.2809999999999</v>
      </c>
      <c r="AY172" s="3">
        <v>2887.6610000000001</v>
      </c>
      <c r="AZ172" s="3">
        <v>3071.5859999999993</v>
      </c>
      <c r="BA172" s="3">
        <v>3425.549</v>
      </c>
      <c r="BB172" s="3">
        <v>3571.3209999999999</v>
      </c>
      <c r="BC172" s="3">
        <v>3504.0479999999998</v>
      </c>
      <c r="BD172" s="3">
        <v>3867.79</v>
      </c>
      <c r="BE172" s="3">
        <v>4036.2739999999999</v>
      </c>
      <c r="BF172" s="3">
        <v>4388.3819999999996</v>
      </c>
      <c r="BG172" s="3">
        <v>4145.6930000000002</v>
      </c>
      <c r="BH172" s="3">
        <v>4565.7950000000001</v>
      </c>
    </row>
    <row r="173" spans="1:73" x14ac:dyDescent="0.25">
      <c r="A173" s="3" t="s">
        <v>236</v>
      </c>
      <c r="B173" s="3" t="s">
        <v>286</v>
      </c>
      <c r="C173" s="3" t="s">
        <v>286</v>
      </c>
      <c r="D173" s="3" t="s">
        <v>114</v>
      </c>
      <c r="E173" s="112" t="s">
        <v>60</v>
      </c>
      <c r="F173" s="3" t="s">
        <v>91</v>
      </c>
      <c r="H173" s="3" t="s">
        <v>463</v>
      </c>
      <c r="AD173" s="3">
        <v>253</v>
      </c>
      <c r="AE173" s="3">
        <v>302</v>
      </c>
      <c r="AF173" s="3">
        <v>338</v>
      </c>
      <c r="AG173" s="3">
        <v>349.29700000000003</v>
      </c>
      <c r="AH173" s="3">
        <v>409.86399999999998</v>
      </c>
      <c r="AI173" s="3">
        <v>405</v>
      </c>
      <c r="AJ173" s="3">
        <v>596</v>
      </c>
      <c r="AK173" s="3">
        <v>638</v>
      </c>
      <c r="AL173" s="3">
        <v>703</v>
      </c>
      <c r="AM173" s="3">
        <v>715</v>
      </c>
      <c r="AN173" s="3">
        <v>1048</v>
      </c>
      <c r="AO173" s="3">
        <v>983</v>
      </c>
      <c r="AP173" s="3">
        <v>1051</v>
      </c>
      <c r="AQ173" s="3">
        <v>1081.0360000000001</v>
      </c>
      <c r="AR173" s="3">
        <v>1225.0709999999999</v>
      </c>
      <c r="AS173" s="3">
        <v>1139.8620000000001</v>
      </c>
      <c r="AT173" s="3">
        <v>1140.2149999999999</v>
      </c>
      <c r="AU173" s="3">
        <v>1111.2460000000001</v>
      </c>
      <c r="AV173" s="3">
        <v>1111.2460000000001</v>
      </c>
      <c r="AW173" s="3">
        <v>1064.4639999999999</v>
      </c>
      <c r="AX173" s="3">
        <v>978.327</v>
      </c>
      <c r="AY173" s="3">
        <v>909.94600000000003</v>
      </c>
      <c r="AZ173" s="3">
        <v>1056.8149999999998</v>
      </c>
      <c r="BA173" s="3">
        <v>998.721</v>
      </c>
      <c r="BB173" s="3">
        <v>1162.287</v>
      </c>
      <c r="BD173" s="3">
        <v>1050.175</v>
      </c>
      <c r="BE173" s="3">
        <v>1256.712</v>
      </c>
      <c r="BF173" s="3">
        <v>274.096</v>
      </c>
      <c r="BG173" s="3">
        <v>1200.6300000000001</v>
      </c>
      <c r="BH173" s="3">
        <v>1189.327</v>
      </c>
    </row>
    <row r="174" spans="1:73" x14ac:dyDescent="0.25">
      <c r="E174" s="112"/>
    </row>
    <row r="175" spans="1:73" s="35" customFormat="1" x14ac:dyDescent="0.25">
      <c r="B175" s="61"/>
      <c r="C175" s="61"/>
      <c r="D175" s="61"/>
      <c r="E175" s="61"/>
      <c r="F175" s="61" t="s">
        <v>89</v>
      </c>
      <c r="G175" s="61"/>
      <c r="H175" s="75"/>
      <c r="I175" s="144">
        <v>0.26869999999999999</v>
      </c>
      <c r="J175" s="144">
        <v>0.28739999999999999</v>
      </c>
      <c r="K175" s="144">
        <v>0.30819999999999997</v>
      </c>
      <c r="L175" s="144">
        <v>0.32890000000000003</v>
      </c>
      <c r="M175" s="144">
        <v>0.35549999999999998</v>
      </c>
      <c r="N175" s="144">
        <v>0.38650000000000001</v>
      </c>
      <c r="O175" s="144">
        <v>0.4244</v>
      </c>
      <c r="P175" s="144">
        <v>0.45390000000000003</v>
      </c>
      <c r="Q175" s="144">
        <v>0.47370000000000001</v>
      </c>
      <c r="R175" s="144">
        <v>0.49070000000000003</v>
      </c>
      <c r="S175" s="144">
        <v>0.5071</v>
      </c>
      <c r="T175" s="144">
        <v>0.51849999999999996</v>
      </c>
      <c r="U175" s="144">
        <v>0.53010000000000002</v>
      </c>
      <c r="V175" s="144">
        <v>0.54730000000000001</v>
      </c>
      <c r="W175" s="144">
        <v>0.56940000000000002</v>
      </c>
      <c r="X175" s="144">
        <v>0.59019999999999995</v>
      </c>
      <c r="Y175" s="144">
        <v>0.61129999999999995</v>
      </c>
      <c r="Z175" s="144">
        <v>0.62660000000000005</v>
      </c>
      <c r="AA175" s="144">
        <v>0.64129999999999998</v>
      </c>
      <c r="AB175" s="144">
        <v>0.65529999999999999</v>
      </c>
      <c r="AC175" s="144">
        <v>0.66920000000000002</v>
      </c>
      <c r="AD175" s="144">
        <v>0.68179999999999996</v>
      </c>
      <c r="AE175" s="144">
        <v>0.69389999999999996</v>
      </c>
      <c r="AF175" s="144">
        <v>0.7026</v>
      </c>
      <c r="AG175" s="144">
        <v>0.71130000000000004</v>
      </c>
      <c r="AH175" s="144">
        <v>0.72609999999999997</v>
      </c>
      <c r="AI175" s="144">
        <v>0.74370000000000003</v>
      </c>
      <c r="AJ175" s="144">
        <v>0.75539999999999996</v>
      </c>
      <c r="AK175" s="144">
        <v>0.78869999999999996</v>
      </c>
      <c r="AL175" s="144">
        <v>0.81269999999999998</v>
      </c>
      <c r="AM175" s="144">
        <v>0.83909999999999996</v>
      </c>
      <c r="AN175" s="144">
        <v>0.86219999999999997</v>
      </c>
      <c r="AO175" s="144">
        <v>0.88009999999999999</v>
      </c>
      <c r="AP175" s="144">
        <v>0.8891</v>
      </c>
      <c r="AQ175" s="144">
        <v>0.89680000000000004</v>
      </c>
      <c r="AR175" s="144">
        <v>0.91479999999999995</v>
      </c>
      <c r="AS175" s="144">
        <v>0.93140000000000001</v>
      </c>
      <c r="AT175" s="144">
        <v>0.94830000000000003</v>
      </c>
      <c r="AU175" s="144">
        <v>0.96560000000000001</v>
      </c>
      <c r="AV175" s="144">
        <v>0.97560000000000002</v>
      </c>
      <c r="AW175" s="144">
        <v>0.98340000000000005</v>
      </c>
      <c r="AX175" s="144">
        <v>1</v>
      </c>
      <c r="AY175" s="144">
        <v>1.0222</v>
      </c>
      <c r="AZ175" s="144">
        <v>1.0410999999999999</v>
      </c>
      <c r="BA175" s="144">
        <v>1.0547</v>
      </c>
      <c r="BB175" s="144">
        <v>1.091</v>
      </c>
      <c r="BC175" s="144">
        <v>1.1673</v>
      </c>
      <c r="BD175" s="144">
        <v>1.2206999999999999</v>
      </c>
      <c r="BE175" s="144">
        <v>1.2533000000000001</v>
      </c>
      <c r="BF175" s="144">
        <v>1.2807999999999999</v>
      </c>
      <c r="BG175" s="144">
        <v>1.3073999999999999</v>
      </c>
      <c r="BH175" s="144">
        <v>1.3073999999999999</v>
      </c>
      <c r="BI175" s="144"/>
      <c r="BJ175" s="144"/>
      <c r="BK175" s="51"/>
      <c r="BQ175" s="127"/>
      <c r="BR175" s="127"/>
      <c r="BS175" s="62"/>
      <c r="BT175" s="62"/>
      <c r="BU175" s="62"/>
    </row>
    <row r="177" spans="1:60" s="67" customFormat="1" x14ac:dyDescent="0.25">
      <c r="A177" s="67" t="str">
        <f>A2</f>
        <v>NSF</v>
      </c>
      <c r="B177" s="67" t="str">
        <f>B2</f>
        <v>R&amp;RA</v>
      </c>
      <c r="C177" s="67" t="str">
        <f>C2</f>
        <v>R&amp;RA</v>
      </c>
      <c r="D177" s="67" t="str">
        <f>D2</f>
        <v>Steady</v>
      </c>
      <c r="E177" s="67" t="str">
        <f>E2</f>
        <v>Program</v>
      </c>
      <c r="F177" s="67" t="s">
        <v>90</v>
      </c>
      <c r="H177" s="67" t="str">
        <f>H2</f>
        <v>Research and Related Activities</v>
      </c>
      <c r="I177" s="67">
        <f>I2/I$175</f>
        <v>2851.406773353182</v>
      </c>
      <c r="J177" s="67">
        <f t="shared" ref="J177:BH182" si="54">J2/J$175</f>
        <v>2571.0542797494782</v>
      </c>
      <c r="K177" s="67">
        <f t="shared" si="54"/>
        <v>2339.4646333549645</v>
      </c>
      <c r="L177" s="67">
        <f t="shared" si="54"/>
        <v>2420.6567345697777</v>
      </c>
      <c r="M177" s="67">
        <f t="shared" si="54"/>
        <v>2384.2644163150494</v>
      </c>
      <c r="N177" s="67">
        <f t="shared" si="54"/>
        <v>2358.3492884864163</v>
      </c>
      <c r="O177" s="67">
        <f t="shared" si="54"/>
        <v>2281.4703110273326</v>
      </c>
      <c r="P177" s="67">
        <f t="shared" si="54"/>
        <v>2153.331130204891</v>
      </c>
      <c r="Q177" s="67">
        <f t="shared" si="54"/>
        <v>2253.9476461895711</v>
      </c>
      <c r="R177" s="67">
        <f t="shared" si="54"/>
        <v>2336.5151823925003</v>
      </c>
      <c r="S177" s="67">
        <f t="shared" si="54"/>
        <v>2586.6752119897455</v>
      </c>
      <c r="T177" s="67">
        <f t="shared" si="54"/>
        <v>2505.1031822565092</v>
      </c>
      <c r="U177" s="67">
        <f t="shared" si="54"/>
        <v>2663.8370118845496</v>
      </c>
      <c r="V177" s="67">
        <f t="shared" si="54"/>
        <v>2665.8688105243923</v>
      </c>
      <c r="W177" s="67">
        <f t="shared" si="54"/>
        <v>2848.050579557429</v>
      </c>
      <c r="X177" s="67">
        <f t="shared" si="54"/>
        <v>3179.9101999322265</v>
      </c>
      <c r="Y177" s="67">
        <f t="shared" si="54"/>
        <v>3091.2056273515459</v>
      </c>
      <c r="Z177" s="67">
        <f t="shared" si="54"/>
        <v>3180.6575167571018</v>
      </c>
      <c r="AA177" s="67">
        <f t="shared" si="54"/>
        <v>3323.4991423670672</v>
      </c>
      <c r="AB177" s="67">
        <f t="shared" si="54"/>
        <v>3541.4314054631463</v>
      </c>
      <c r="AC177" s="67">
        <f t="shared" si="54"/>
        <v>3584.7579199043635</v>
      </c>
      <c r="AD177" s="67">
        <f t="shared" si="54"/>
        <v>3518.1783514227054</v>
      </c>
      <c r="AE177" s="67">
        <f t="shared" si="54"/>
        <v>3550.8704424268631</v>
      </c>
      <c r="AF177" s="67">
        <f t="shared" si="54"/>
        <v>3661.5727298605184</v>
      </c>
      <c r="AG177" s="67">
        <f t="shared" si="54"/>
        <v>3966.832560101223</v>
      </c>
      <c r="AH177" s="67">
        <f t="shared" si="54"/>
        <v>4103.985676904008</v>
      </c>
      <c r="AI177" s="67">
        <f t="shared" si="54"/>
        <v>4534.4910582224011</v>
      </c>
      <c r="AJ177" s="67">
        <f t="shared" si="54"/>
        <v>4786.8281705056925</v>
      </c>
      <c r="AK177" s="67">
        <f t="shared" si="54"/>
        <v>5140.6491695194627</v>
      </c>
      <c r="AL177" s="67">
        <f t="shared" si="54"/>
        <v>5282.8103851359665</v>
      </c>
      <c r="AM177" s="67">
        <f t="shared" si="54"/>
        <v>5046.8597306638067</v>
      </c>
      <c r="AN177" s="67">
        <f t="shared" si="54"/>
        <v>5046.4277429830663</v>
      </c>
      <c r="AO177" s="67">
        <f t="shared" si="54"/>
        <v>5290.6828769458016</v>
      </c>
      <c r="AP177" s="67">
        <f t="shared" si="54"/>
        <v>5458.5985828365765</v>
      </c>
      <c r="AQ177" s="67">
        <f t="shared" si="54"/>
        <v>5745.3055307760933</v>
      </c>
      <c r="AR177" s="67">
        <f t="shared" si="54"/>
        <v>6138.3143856580673</v>
      </c>
      <c r="AS177" s="67">
        <f t="shared" si="54"/>
        <v>6021.4623147949314</v>
      </c>
      <c r="AT177" s="67">
        <f t="shared" si="54"/>
        <v>6072.2345249393638</v>
      </c>
      <c r="AU177" s="67">
        <f t="shared" si="54"/>
        <v>5756.9594034797019</v>
      </c>
      <c r="AV177" s="67">
        <f t="shared" si="54"/>
        <v>5919.7621976219771</v>
      </c>
      <c r="AW177" s="67">
        <f t="shared" si="54"/>
        <v>6143.5733170632484</v>
      </c>
      <c r="AX177" s="67">
        <f t="shared" si="54"/>
        <v>5998.0599999999995</v>
      </c>
      <c r="AY177" s="67">
        <f t="shared" si="54"/>
        <v>5876.061436118177</v>
      </c>
      <c r="AZ177" s="67">
        <f t="shared" si="54"/>
        <v>6128.4794928441079</v>
      </c>
      <c r="BA177" s="67">
        <f t="shared" si="54"/>
        <v>6236.977339527828</v>
      </c>
      <c r="BB177" s="67">
        <f t="shared" si="54"/>
        <v>6051.9734188817592</v>
      </c>
      <c r="BC177" s="67">
        <f t="shared" si="54"/>
        <v>5919.4465861389535</v>
      </c>
      <c r="BD177" s="67">
        <f t="shared" si="54"/>
        <v>6444.3729007946267</v>
      </c>
      <c r="BE177" s="67">
        <f t="shared" si="54"/>
        <v>6070.6032075321154</v>
      </c>
      <c r="BF177" s="67">
        <f t="shared" si="54"/>
        <v>5603.1386633354159</v>
      </c>
      <c r="BG177" s="67">
        <f t="shared" si="54"/>
        <v>5489.1387486614658</v>
      </c>
      <c r="BH177" s="67">
        <f t="shared" si="54"/>
        <v>2505.851307939422</v>
      </c>
    </row>
    <row r="178" spans="1:60" s="67" customFormat="1" x14ac:dyDescent="0.25">
      <c r="A178" s="67" t="str">
        <f t="shared" ref="A178:E178" si="55">A3</f>
        <v>NSF</v>
      </c>
      <c r="B178" s="67" t="str">
        <f t="shared" si="55"/>
        <v>STEM Ed</v>
      </c>
      <c r="C178" s="67" t="str">
        <f t="shared" si="55"/>
        <v>STEM Ed</v>
      </c>
      <c r="D178" s="67" t="str">
        <f t="shared" si="55"/>
        <v>Steady</v>
      </c>
      <c r="E178" s="67" t="str">
        <f t="shared" si="55"/>
        <v>Program</v>
      </c>
      <c r="F178" s="67" t="s">
        <v>90</v>
      </c>
      <c r="H178" s="67" t="str">
        <f t="shared" ref="H178:H236" si="56">H3</f>
        <v>STEM Education</v>
      </c>
      <c r="I178" s="67">
        <f t="shared" ref="I178:X241" si="57">I3/I$175</f>
        <v>226.40491254186827</v>
      </c>
      <c r="J178" s="67">
        <f t="shared" si="57"/>
        <v>182.60612386917191</v>
      </c>
      <c r="K178" s="67">
        <f t="shared" si="57"/>
        <v>244.06229720960417</v>
      </c>
      <c r="L178" s="67">
        <f t="shared" si="57"/>
        <v>225.94101550623287</v>
      </c>
      <c r="M178" s="67">
        <f t="shared" si="57"/>
        <v>225.06047819971872</v>
      </c>
      <c r="N178" s="67">
        <f t="shared" si="57"/>
        <v>199.84217335058216</v>
      </c>
      <c r="O178" s="67">
        <f t="shared" si="57"/>
        <v>166.59754948162109</v>
      </c>
      <c r="P178" s="67">
        <f t="shared" si="57"/>
        <v>46.045384445913193</v>
      </c>
      <c r="Q178" s="67">
        <f t="shared" si="57"/>
        <v>63.331222292590247</v>
      </c>
      <c r="R178" s="67">
        <f t="shared" si="57"/>
        <v>181.31852455675565</v>
      </c>
      <c r="S178" s="67">
        <f t="shared" si="57"/>
        <v>161.77676986787617</v>
      </c>
      <c r="T178" s="67">
        <f t="shared" si="57"/>
        <v>163.30954676952749</v>
      </c>
      <c r="U178" s="67">
        <f t="shared" si="57"/>
        <v>263.40313148462553</v>
      </c>
      <c r="V178" s="67">
        <f t="shared" si="57"/>
        <v>255.25306047871365</v>
      </c>
      <c r="W178" s="67">
        <f t="shared" si="57"/>
        <v>300.72005619950824</v>
      </c>
      <c r="X178" s="67">
        <f t="shared" si="57"/>
        <v>346.09454422229754</v>
      </c>
      <c r="Y178" s="67">
        <f t="shared" si="54"/>
        <v>527.31228529363659</v>
      </c>
      <c r="Z178" s="67">
        <f t="shared" si="54"/>
        <v>742.10022342802415</v>
      </c>
      <c r="AA178" s="67">
        <f t="shared" si="54"/>
        <v>760.1746452518322</v>
      </c>
      <c r="AB178" s="67">
        <f t="shared" si="54"/>
        <v>869.22020448649482</v>
      </c>
      <c r="AC178" s="67">
        <f t="shared" si="54"/>
        <v>914.34548714883442</v>
      </c>
      <c r="AD178" s="67">
        <f t="shared" si="54"/>
        <v>881.72631270167199</v>
      </c>
      <c r="AE178" s="67">
        <f t="shared" si="54"/>
        <v>892.25825046836735</v>
      </c>
      <c r="AF178" s="67">
        <f t="shared" si="54"/>
        <v>901.16567036720755</v>
      </c>
      <c r="AG178" s="67">
        <f t="shared" si="54"/>
        <v>931.36088851398836</v>
      </c>
      <c r="AH178" s="67">
        <f t="shared" si="54"/>
        <v>941.44470458614512</v>
      </c>
      <c r="AI178" s="67">
        <f t="shared" si="54"/>
        <v>1069.5401371520775</v>
      </c>
      <c r="AJ178" s="67">
        <f t="shared" si="54"/>
        <v>1146.5581149060101</v>
      </c>
      <c r="AK178" s="67">
        <f t="shared" si="54"/>
        <v>1185.3429694433878</v>
      </c>
      <c r="AL178" s="67">
        <f t="shared" si="54"/>
        <v>1161.6832779623478</v>
      </c>
      <c r="AM178" s="67">
        <f t="shared" si="54"/>
        <v>1005.2913836253128</v>
      </c>
      <c r="AN178" s="67">
        <f t="shared" si="54"/>
        <v>926.09603340292279</v>
      </c>
      <c r="AO178" s="67">
        <f t="shared" si="54"/>
        <v>906.44244972162255</v>
      </c>
      <c r="AP178" s="67">
        <f t="shared" si="54"/>
        <v>861.83781351928917</v>
      </c>
      <c r="AQ178" s="67">
        <f t="shared" si="54"/>
        <v>942.81891168599464</v>
      </c>
      <c r="AR178" s="67">
        <f t="shared" si="54"/>
        <v>954.05553126366419</v>
      </c>
      <c r="AS178" s="67">
        <f t="shared" si="54"/>
        <v>924.45136353875887</v>
      </c>
      <c r="AT178" s="67">
        <f t="shared" si="54"/>
        <v>875.81988822102699</v>
      </c>
      <c r="AU178" s="67">
        <f t="shared" si="54"/>
        <v>864.35376967688489</v>
      </c>
      <c r="AV178" s="67">
        <f t="shared" si="54"/>
        <v>852.82902829028285</v>
      </c>
      <c r="AW178" s="67">
        <f t="shared" si="54"/>
        <v>901.28126906650391</v>
      </c>
      <c r="AX178" s="67">
        <f t="shared" si="54"/>
        <v>884.1099999999999</v>
      </c>
      <c r="AY178" s="67">
        <f t="shared" si="54"/>
        <v>854.40226961455687</v>
      </c>
      <c r="AZ178" s="67">
        <f t="shared" si="54"/>
        <v>868.18749399673425</v>
      </c>
      <c r="BA178" s="67">
        <f t="shared" si="54"/>
        <v>886.06238740874187</v>
      </c>
      <c r="BB178" s="67">
        <f t="shared" si="54"/>
        <v>993.80113748854274</v>
      </c>
      <c r="BC178" s="67">
        <f t="shared" si="54"/>
        <v>829.26411376681233</v>
      </c>
      <c r="BD178" s="67">
        <f t="shared" si="54"/>
        <v>824.11730974031298</v>
      </c>
      <c r="BE178" s="67">
        <f t="shared" si="54"/>
        <v>979.81329290672613</v>
      </c>
      <c r="BF178" s="67">
        <f t="shared" si="54"/>
        <v>915.05309181761402</v>
      </c>
      <c r="BG178" s="67">
        <f t="shared" si="54"/>
        <v>896.4356738565092</v>
      </c>
      <c r="BH178" s="67">
        <f t="shared" si="54"/>
        <v>220.61343123757078</v>
      </c>
    </row>
    <row r="179" spans="1:60" s="67" customFormat="1" x14ac:dyDescent="0.25">
      <c r="A179" s="67" t="str">
        <f t="shared" ref="A179:E179" si="58">A4</f>
        <v>NSF</v>
      </c>
      <c r="B179" s="67" t="str">
        <f t="shared" si="58"/>
        <v>MREFC</v>
      </c>
      <c r="C179" s="67" t="str">
        <f t="shared" si="58"/>
        <v>MREFC</v>
      </c>
      <c r="D179" s="67" t="str">
        <f t="shared" si="58"/>
        <v>Steady</v>
      </c>
      <c r="E179" s="67" t="str">
        <f t="shared" si="58"/>
        <v>Program</v>
      </c>
      <c r="F179" s="67" t="s">
        <v>90</v>
      </c>
      <c r="H179" s="67" t="str">
        <f t="shared" si="56"/>
        <v>Major Research Equipment and Facilities Construction</v>
      </c>
      <c r="I179" s="67">
        <f t="shared" si="57"/>
        <v>0</v>
      </c>
      <c r="J179" s="67">
        <f t="shared" si="54"/>
        <v>0</v>
      </c>
      <c r="K179" s="67">
        <f t="shared" si="54"/>
        <v>0</v>
      </c>
      <c r="L179" s="67">
        <f t="shared" si="54"/>
        <v>0</v>
      </c>
      <c r="M179" s="67">
        <f t="shared" si="54"/>
        <v>0</v>
      </c>
      <c r="N179" s="67">
        <f t="shared" si="54"/>
        <v>0</v>
      </c>
      <c r="O179" s="67">
        <f t="shared" si="54"/>
        <v>0</v>
      </c>
      <c r="P179" s="67">
        <f t="shared" si="54"/>
        <v>0</v>
      </c>
      <c r="Q179" s="67">
        <f t="shared" si="54"/>
        <v>0</v>
      </c>
      <c r="R179" s="67">
        <f t="shared" si="54"/>
        <v>0</v>
      </c>
      <c r="S179" s="67">
        <f t="shared" si="54"/>
        <v>0</v>
      </c>
      <c r="T179" s="67">
        <f t="shared" si="54"/>
        <v>0</v>
      </c>
      <c r="U179" s="67">
        <f t="shared" si="54"/>
        <v>0</v>
      </c>
      <c r="V179" s="67">
        <f t="shared" si="54"/>
        <v>0</v>
      </c>
      <c r="W179" s="67">
        <f t="shared" si="54"/>
        <v>0</v>
      </c>
      <c r="X179" s="67">
        <f t="shared" si="54"/>
        <v>0</v>
      </c>
      <c r="Y179" s="67">
        <f t="shared" si="54"/>
        <v>0</v>
      </c>
      <c r="Z179" s="67">
        <f t="shared" si="54"/>
        <v>0</v>
      </c>
      <c r="AA179" s="67">
        <f t="shared" si="54"/>
        <v>53.126461874317791</v>
      </c>
      <c r="AB179" s="67">
        <f t="shared" si="54"/>
        <v>260.03357240958343</v>
      </c>
      <c r="AC179" s="67">
        <f t="shared" si="54"/>
        <v>188.28451882845187</v>
      </c>
      <c r="AD179" s="67">
        <f t="shared" si="54"/>
        <v>102.6694045174538</v>
      </c>
      <c r="AE179" s="67">
        <f t="shared" si="54"/>
        <v>109.7074506413028</v>
      </c>
      <c r="AF179" s="67">
        <f t="shared" si="54"/>
        <v>111.30942214631369</v>
      </c>
      <c r="AG179" s="67">
        <f t="shared" si="54"/>
        <v>79.720230563756502</v>
      </c>
      <c r="AH179" s="67">
        <f t="shared" si="54"/>
        <v>144.60818069136482</v>
      </c>
      <c r="AI179" s="67">
        <f t="shared" si="54"/>
        <v>160.33615705257498</v>
      </c>
      <c r="AJ179" s="67">
        <f t="shared" si="54"/>
        <v>152.70055599682289</v>
      </c>
      <c r="AK179" s="67">
        <f t="shared" si="54"/>
        <v>226.99378724483327</v>
      </c>
      <c r="AL179" s="67">
        <f t="shared" si="54"/>
        <v>226.35658914728683</v>
      </c>
      <c r="AM179" s="67">
        <f t="shared" si="54"/>
        <v>196.80610177571208</v>
      </c>
      <c r="AN179" s="67">
        <f t="shared" si="54"/>
        <v>271.17838088610534</v>
      </c>
      <c r="AO179" s="67">
        <f t="shared" si="54"/>
        <v>188.85353937052608</v>
      </c>
      <c r="AP179" s="67">
        <f t="shared" si="54"/>
        <v>187.66168035091664</v>
      </c>
      <c r="AQ179" s="67">
        <f t="shared" si="54"/>
        <v>179.25958965209634</v>
      </c>
      <c r="AR179" s="67">
        <f t="shared" si="54"/>
        <v>181.35111499781374</v>
      </c>
      <c r="AS179" s="67">
        <f t="shared" si="54"/>
        <v>134.60382220313508</v>
      </c>
      <c r="AT179" s="67">
        <f t="shared" si="54"/>
        <v>208.87904671517452</v>
      </c>
      <c r="AU179" s="67">
        <f t="shared" si="54"/>
        <v>203.49005799502899</v>
      </c>
      <c r="AV179" s="67">
        <f t="shared" si="54"/>
        <v>205.00205002050021</v>
      </c>
      <c r="AW179" s="67">
        <f t="shared" si="54"/>
        <v>147.2035794183445</v>
      </c>
      <c r="AX179" s="67">
        <f t="shared" si="54"/>
        <v>241.5</v>
      </c>
      <c r="AY179" s="67">
        <f t="shared" si="54"/>
        <v>217.94169438466054</v>
      </c>
      <c r="AZ179" s="67">
        <f t="shared" si="54"/>
        <v>178.94534626837003</v>
      </c>
      <c r="BA179" s="67">
        <f t="shared" si="54"/>
        <v>270.47501659239595</v>
      </c>
      <c r="BB179" s="67">
        <f t="shared" si="54"/>
        <v>141.92146746104493</v>
      </c>
      <c r="BC179" s="67">
        <f t="shared" si="54"/>
        <v>206.45935063822498</v>
      </c>
      <c r="BD179" s="67">
        <f t="shared" si="54"/>
        <v>208.07733267797167</v>
      </c>
      <c r="BE179" s="67">
        <f t="shared" si="54"/>
        <v>149.38961142583577</v>
      </c>
      <c r="BF179" s="67">
        <f t="shared" si="54"/>
        <v>182.69831355402874</v>
      </c>
      <c r="BG179" s="67">
        <f t="shared" si="54"/>
        <v>178.98118402937129</v>
      </c>
      <c r="BH179" s="67">
        <f t="shared" si="54"/>
        <v>191.98409056141963</v>
      </c>
    </row>
    <row r="180" spans="1:60" s="67" customFormat="1" x14ac:dyDescent="0.25">
      <c r="A180" s="67" t="str">
        <f t="shared" ref="A180:E180" si="59">A5</f>
        <v>NSF</v>
      </c>
      <c r="B180" s="67" t="str">
        <f t="shared" si="59"/>
        <v>ARRA</v>
      </c>
      <c r="C180" s="67" t="str">
        <f t="shared" si="59"/>
        <v>ARRA</v>
      </c>
      <c r="D180" s="67" t="str">
        <f t="shared" si="59"/>
        <v>One-Year</v>
      </c>
      <c r="E180" s="67" t="str">
        <f t="shared" si="59"/>
        <v>Program</v>
      </c>
      <c r="F180" s="67" t="s">
        <v>90</v>
      </c>
      <c r="H180" s="67" t="str">
        <f t="shared" si="56"/>
        <v>American Recovery and Reinvestment Act of 2009</v>
      </c>
      <c r="I180" s="67">
        <f t="shared" si="57"/>
        <v>0</v>
      </c>
      <c r="J180" s="67">
        <f t="shared" si="54"/>
        <v>0</v>
      </c>
      <c r="K180" s="67">
        <f t="shared" si="54"/>
        <v>0</v>
      </c>
      <c r="L180" s="67">
        <f t="shared" si="54"/>
        <v>0</v>
      </c>
      <c r="M180" s="67">
        <f t="shared" si="54"/>
        <v>0</v>
      </c>
      <c r="N180" s="67">
        <f t="shared" si="54"/>
        <v>0</v>
      </c>
      <c r="O180" s="67">
        <f t="shared" si="54"/>
        <v>0</v>
      </c>
      <c r="P180" s="67">
        <f t="shared" si="54"/>
        <v>0</v>
      </c>
      <c r="Q180" s="67">
        <f t="shared" si="54"/>
        <v>0</v>
      </c>
      <c r="R180" s="67">
        <f t="shared" si="54"/>
        <v>0</v>
      </c>
      <c r="S180" s="67">
        <f t="shared" si="54"/>
        <v>0</v>
      </c>
      <c r="T180" s="67">
        <f t="shared" si="54"/>
        <v>0</v>
      </c>
      <c r="U180" s="67">
        <f t="shared" si="54"/>
        <v>0</v>
      </c>
      <c r="V180" s="67">
        <f t="shared" si="54"/>
        <v>0</v>
      </c>
      <c r="W180" s="67">
        <f t="shared" si="54"/>
        <v>0</v>
      </c>
      <c r="X180" s="67">
        <f t="shared" si="54"/>
        <v>0</v>
      </c>
      <c r="Y180" s="67">
        <f t="shared" si="54"/>
        <v>0</v>
      </c>
      <c r="Z180" s="67">
        <f t="shared" si="54"/>
        <v>0</v>
      </c>
      <c r="AA180" s="67">
        <f t="shared" si="54"/>
        <v>0</v>
      </c>
      <c r="AB180" s="67">
        <f t="shared" si="54"/>
        <v>0</v>
      </c>
      <c r="AC180" s="67">
        <f t="shared" si="54"/>
        <v>0</v>
      </c>
      <c r="AD180" s="67">
        <f t="shared" si="54"/>
        <v>0</v>
      </c>
      <c r="AE180" s="67">
        <f t="shared" si="54"/>
        <v>0</v>
      </c>
      <c r="AF180" s="67">
        <f t="shared" si="54"/>
        <v>0</v>
      </c>
      <c r="AG180" s="67">
        <f t="shared" si="54"/>
        <v>0</v>
      </c>
      <c r="AH180" s="67">
        <f t="shared" si="54"/>
        <v>0</v>
      </c>
      <c r="AI180" s="67">
        <f t="shared" si="54"/>
        <v>0</v>
      </c>
      <c r="AJ180" s="67">
        <f t="shared" si="54"/>
        <v>0</v>
      </c>
      <c r="AK180" s="67">
        <f t="shared" si="54"/>
        <v>0</v>
      </c>
      <c r="AL180" s="67">
        <f t="shared" si="54"/>
        <v>0</v>
      </c>
      <c r="AM180" s="67">
        <f t="shared" si="54"/>
        <v>0</v>
      </c>
      <c r="AN180" s="67">
        <f t="shared" si="54"/>
        <v>0</v>
      </c>
      <c r="AO180" s="67">
        <f t="shared" si="54"/>
        <v>0</v>
      </c>
      <c r="AP180" s="67">
        <f t="shared" si="54"/>
        <v>0</v>
      </c>
      <c r="AQ180" s="67">
        <f t="shared" si="54"/>
        <v>3347.4130240856375</v>
      </c>
      <c r="AR180" s="67">
        <f t="shared" si="54"/>
        <v>0</v>
      </c>
      <c r="AS180" s="67">
        <f t="shared" si="54"/>
        <v>0</v>
      </c>
      <c r="AT180" s="67">
        <f t="shared" si="54"/>
        <v>0</v>
      </c>
      <c r="AU180" s="67">
        <f t="shared" si="54"/>
        <v>0</v>
      </c>
      <c r="AV180" s="67">
        <f t="shared" si="54"/>
        <v>0</v>
      </c>
      <c r="AW180" s="67">
        <f t="shared" si="54"/>
        <v>0</v>
      </c>
      <c r="AX180" s="67">
        <f t="shared" si="54"/>
        <v>0</v>
      </c>
      <c r="AY180" s="67">
        <f t="shared" si="54"/>
        <v>0</v>
      </c>
      <c r="AZ180" s="67">
        <f t="shared" si="54"/>
        <v>0</v>
      </c>
      <c r="BA180" s="67">
        <f t="shared" si="54"/>
        <v>0</v>
      </c>
      <c r="BB180" s="67">
        <f t="shared" si="54"/>
        <v>0</v>
      </c>
      <c r="BC180" s="67">
        <f t="shared" si="54"/>
        <v>0</v>
      </c>
      <c r="BD180" s="67">
        <f t="shared" si="54"/>
        <v>0</v>
      </c>
      <c r="BE180" s="67">
        <f t="shared" si="54"/>
        <v>0</v>
      </c>
      <c r="BF180" s="67">
        <f t="shared" si="54"/>
        <v>0</v>
      </c>
      <c r="BG180" s="67">
        <f t="shared" si="54"/>
        <v>0</v>
      </c>
      <c r="BH180" s="67">
        <f t="shared" si="54"/>
        <v>0</v>
      </c>
    </row>
    <row r="181" spans="1:60" s="67" customFormat="1" x14ac:dyDescent="0.25">
      <c r="A181" s="67" t="str">
        <f t="shared" ref="A181:E181" si="60">A6</f>
        <v>NSF</v>
      </c>
      <c r="B181" s="67" t="str">
        <f t="shared" si="60"/>
        <v>COVID-19</v>
      </c>
      <c r="C181" s="67" t="str">
        <f t="shared" si="60"/>
        <v>COVID-19</v>
      </c>
      <c r="D181" s="67" t="str">
        <f t="shared" si="60"/>
        <v>One-Year</v>
      </c>
      <c r="E181" s="67" t="str">
        <f t="shared" si="60"/>
        <v>Program</v>
      </c>
      <c r="F181" s="67" t="s">
        <v>90</v>
      </c>
      <c r="H181" s="67" t="str">
        <f t="shared" si="56"/>
        <v>COVID-19 Emergency Funding, 2020</v>
      </c>
      <c r="I181" s="67">
        <f t="shared" si="57"/>
        <v>0</v>
      </c>
      <c r="J181" s="67">
        <f t="shared" si="54"/>
        <v>0</v>
      </c>
      <c r="K181" s="67">
        <f t="shared" si="54"/>
        <v>0</v>
      </c>
      <c r="L181" s="67">
        <f t="shared" si="54"/>
        <v>0</v>
      </c>
      <c r="M181" s="67">
        <f t="shared" si="54"/>
        <v>0</v>
      </c>
      <c r="N181" s="67">
        <f t="shared" si="54"/>
        <v>0</v>
      </c>
      <c r="O181" s="67">
        <f t="shared" si="54"/>
        <v>0</v>
      </c>
      <c r="P181" s="67">
        <f t="shared" si="54"/>
        <v>0</v>
      </c>
      <c r="Q181" s="67">
        <f t="shared" si="54"/>
        <v>0</v>
      </c>
      <c r="R181" s="67">
        <f t="shared" si="54"/>
        <v>0</v>
      </c>
      <c r="S181" s="67">
        <f t="shared" si="54"/>
        <v>0</v>
      </c>
      <c r="T181" s="67">
        <f t="shared" si="54"/>
        <v>0</v>
      </c>
      <c r="U181" s="67">
        <f t="shared" si="54"/>
        <v>0</v>
      </c>
      <c r="V181" s="67">
        <f t="shared" si="54"/>
        <v>0</v>
      </c>
      <c r="W181" s="67">
        <f t="shared" si="54"/>
        <v>0</v>
      </c>
      <c r="X181" s="67">
        <f t="shared" si="54"/>
        <v>0</v>
      </c>
      <c r="Y181" s="67">
        <f t="shared" si="54"/>
        <v>0</v>
      </c>
      <c r="Z181" s="67">
        <f t="shared" si="54"/>
        <v>0</v>
      </c>
      <c r="AA181" s="67">
        <f t="shared" si="54"/>
        <v>0</v>
      </c>
      <c r="AB181" s="67">
        <f t="shared" si="54"/>
        <v>0</v>
      </c>
      <c r="AC181" s="67">
        <f t="shared" si="54"/>
        <v>0</v>
      </c>
      <c r="AD181" s="67">
        <f t="shared" si="54"/>
        <v>0</v>
      </c>
      <c r="AE181" s="67">
        <f t="shared" si="54"/>
        <v>0</v>
      </c>
      <c r="AF181" s="67">
        <f t="shared" si="54"/>
        <v>0</v>
      </c>
      <c r="AG181" s="67">
        <f t="shared" si="54"/>
        <v>0</v>
      </c>
      <c r="AH181" s="67">
        <f t="shared" si="54"/>
        <v>0</v>
      </c>
      <c r="AI181" s="67">
        <f t="shared" si="54"/>
        <v>0</v>
      </c>
      <c r="AJ181" s="67">
        <f t="shared" si="54"/>
        <v>0</v>
      </c>
      <c r="AK181" s="67">
        <f t="shared" si="54"/>
        <v>0</v>
      </c>
      <c r="AL181" s="67">
        <f t="shared" si="54"/>
        <v>0</v>
      </c>
      <c r="AM181" s="67">
        <f t="shared" si="54"/>
        <v>0</v>
      </c>
      <c r="AN181" s="67">
        <f t="shared" si="54"/>
        <v>0</v>
      </c>
      <c r="AO181" s="67">
        <f t="shared" si="54"/>
        <v>0</v>
      </c>
      <c r="AP181" s="67">
        <f t="shared" si="54"/>
        <v>0</v>
      </c>
      <c r="AQ181" s="67">
        <f t="shared" si="54"/>
        <v>0</v>
      </c>
      <c r="AR181" s="67">
        <f t="shared" si="54"/>
        <v>0</v>
      </c>
      <c r="AS181" s="67">
        <f t="shared" si="54"/>
        <v>0</v>
      </c>
      <c r="AT181" s="67">
        <f t="shared" si="54"/>
        <v>0</v>
      </c>
      <c r="AU181" s="67">
        <f t="shared" si="54"/>
        <v>0</v>
      </c>
      <c r="AV181" s="67">
        <f t="shared" si="54"/>
        <v>0</v>
      </c>
      <c r="AW181" s="67">
        <f t="shared" si="54"/>
        <v>0</v>
      </c>
      <c r="AX181" s="67">
        <f t="shared" si="54"/>
        <v>0</v>
      </c>
      <c r="AY181" s="67">
        <f t="shared" si="54"/>
        <v>0</v>
      </c>
      <c r="AZ181" s="67">
        <f t="shared" si="54"/>
        <v>0</v>
      </c>
      <c r="BA181" s="67">
        <f t="shared" si="54"/>
        <v>0</v>
      </c>
      <c r="BB181" s="67">
        <f t="shared" si="54"/>
        <v>69.6608615948671</v>
      </c>
      <c r="BC181" s="67">
        <f t="shared" si="54"/>
        <v>0</v>
      </c>
      <c r="BD181" s="67">
        <f t="shared" si="54"/>
        <v>0</v>
      </c>
      <c r="BE181" s="67">
        <f t="shared" si="54"/>
        <v>0</v>
      </c>
      <c r="BF181" s="67">
        <f t="shared" si="54"/>
        <v>0</v>
      </c>
      <c r="BG181" s="67">
        <f t="shared" si="54"/>
        <v>0</v>
      </c>
      <c r="BH181" s="67">
        <f t="shared" si="54"/>
        <v>0</v>
      </c>
    </row>
    <row r="182" spans="1:60" s="67" customFormat="1" x14ac:dyDescent="0.25">
      <c r="A182" s="67" t="str">
        <f t="shared" ref="A182:E182" si="61">A7</f>
        <v>NSF</v>
      </c>
      <c r="B182" s="67" t="str">
        <f t="shared" si="61"/>
        <v>AOAM</v>
      </c>
      <c r="C182" s="67" t="str">
        <f t="shared" si="61"/>
        <v>AOAM</v>
      </c>
      <c r="D182" s="67" t="str">
        <f t="shared" si="61"/>
        <v>Steady</v>
      </c>
      <c r="E182" s="67" t="str">
        <f t="shared" si="61"/>
        <v>Program</v>
      </c>
      <c r="F182" s="67" t="s">
        <v>90</v>
      </c>
      <c r="H182" s="67" t="str">
        <f t="shared" si="56"/>
        <v>Agency Operations and Award Management</v>
      </c>
      <c r="I182" s="67">
        <f t="shared" si="57"/>
        <v>0</v>
      </c>
      <c r="J182" s="67">
        <f t="shared" si="54"/>
        <v>0</v>
      </c>
      <c r="K182" s="67">
        <f t="shared" si="54"/>
        <v>0</v>
      </c>
      <c r="L182" s="67">
        <f t="shared" si="54"/>
        <v>0</v>
      </c>
      <c r="M182" s="67">
        <f t="shared" si="54"/>
        <v>0</v>
      </c>
      <c r="N182" s="67">
        <f t="shared" si="54"/>
        <v>0</v>
      </c>
      <c r="O182" s="67">
        <f t="shared" si="54"/>
        <v>0</v>
      </c>
      <c r="P182" s="67">
        <f t="shared" si="54"/>
        <v>0</v>
      </c>
      <c r="Q182" s="67">
        <f t="shared" si="54"/>
        <v>0</v>
      </c>
      <c r="R182" s="67">
        <f t="shared" si="54"/>
        <v>0</v>
      </c>
      <c r="S182" s="67">
        <f t="shared" si="54"/>
        <v>0</v>
      </c>
      <c r="T182" s="67">
        <f t="shared" si="54"/>
        <v>0</v>
      </c>
      <c r="U182" s="67">
        <f t="shared" si="54"/>
        <v>0</v>
      </c>
      <c r="V182" s="67">
        <f t="shared" si="54"/>
        <v>0</v>
      </c>
      <c r="W182" s="67">
        <f t="shared" si="54"/>
        <v>0</v>
      </c>
      <c r="X182" s="67">
        <f t="shared" si="54"/>
        <v>0</v>
      </c>
      <c r="Y182" s="67">
        <f t="shared" ref="J182:BH187" si="62">Y7/Y$175</f>
        <v>165.22002290201212</v>
      </c>
      <c r="Z182" s="67">
        <f t="shared" si="62"/>
        <v>177.4784551548037</v>
      </c>
      <c r="AA182" s="67">
        <f t="shared" si="62"/>
        <v>173.08591922657104</v>
      </c>
      <c r="AB182" s="67">
        <f t="shared" si="62"/>
        <v>188.46329925225089</v>
      </c>
      <c r="AC182" s="67">
        <f t="shared" si="62"/>
        <v>192.7884040645547</v>
      </c>
      <c r="AD182" s="67">
        <f t="shared" si="62"/>
        <v>194.33264887063658</v>
      </c>
      <c r="AE182" s="67">
        <f t="shared" si="62"/>
        <v>193.49906326560026</v>
      </c>
      <c r="AF182" s="67">
        <f t="shared" si="62"/>
        <v>194.91175633361797</v>
      </c>
      <c r="AG182" s="67">
        <f t="shared" si="62"/>
        <v>202.55869534654857</v>
      </c>
      <c r="AH182" s="67">
        <f t="shared" si="62"/>
        <v>205.59151632006612</v>
      </c>
      <c r="AI182" s="67">
        <f t="shared" si="62"/>
        <v>215.85047734301463</v>
      </c>
      <c r="AJ182" s="67">
        <f t="shared" si="62"/>
        <v>224.95366693142708</v>
      </c>
      <c r="AK182" s="67">
        <f t="shared" si="62"/>
        <v>240.1673640167364</v>
      </c>
      <c r="AL182" s="67">
        <f t="shared" si="62"/>
        <v>269.37369262950659</v>
      </c>
      <c r="AM182" s="67">
        <f t="shared" si="62"/>
        <v>266.29722321534979</v>
      </c>
      <c r="AN182" s="67">
        <f t="shared" si="62"/>
        <v>286.54604500115983</v>
      </c>
      <c r="AO182" s="67">
        <f t="shared" si="62"/>
        <v>282.34291557777527</v>
      </c>
      <c r="AP182" s="67">
        <f t="shared" si="62"/>
        <v>317.2196603306715</v>
      </c>
      <c r="AQ182" s="67">
        <f t="shared" si="62"/>
        <v>327.93264942016054</v>
      </c>
      <c r="AR182" s="67">
        <f t="shared" si="62"/>
        <v>327.77656318320948</v>
      </c>
      <c r="AS182" s="67">
        <f t="shared" si="62"/>
        <v>321.33347648700885</v>
      </c>
      <c r="AT182" s="67">
        <f t="shared" si="62"/>
        <v>315.61742064747443</v>
      </c>
      <c r="AU182" s="67">
        <f t="shared" si="62"/>
        <v>303.95608947804476</v>
      </c>
      <c r="AV182" s="67">
        <f t="shared" si="62"/>
        <v>313.60188601886017</v>
      </c>
      <c r="AW182" s="67">
        <f t="shared" si="62"/>
        <v>311.73479764083788</v>
      </c>
      <c r="AX182" s="67">
        <f t="shared" si="62"/>
        <v>351.11</v>
      </c>
      <c r="AY182" s="67">
        <f t="shared" si="62"/>
        <v>373.76247309724124</v>
      </c>
      <c r="AZ182" s="67">
        <f t="shared" si="62"/>
        <v>315.54125444241669</v>
      </c>
      <c r="BA182" s="67">
        <f t="shared" si="62"/>
        <v>315.43566891059072</v>
      </c>
      <c r="BB182" s="67">
        <f t="shared" si="62"/>
        <v>318.59119890009163</v>
      </c>
      <c r="BC182" s="67">
        <f t="shared" si="62"/>
        <v>296.1021159941746</v>
      </c>
      <c r="BD182" s="67">
        <f t="shared" si="62"/>
        <v>349.79929548619646</v>
      </c>
      <c r="BE182" s="67">
        <f t="shared" si="62"/>
        <v>360.64788957153115</v>
      </c>
      <c r="BF182" s="67">
        <f t="shared" si="62"/>
        <v>349.78138663335415</v>
      </c>
      <c r="BG182" s="67">
        <f t="shared" si="62"/>
        <v>342.66483096221509</v>
      </c>
      <c r="BH182" s="67">
        <f t="shared" si="62"/>
        <v>271.5312834633624</v>
      </c>
    </row>
    <row r="183" spans="1:60" s="67" customFormat="1" x14ac:dyDescent="0.25">
      <c r="A183" s="67" t="str">
        <f t="shared" ref="A183:E183" si="63">A8</f>
        <v>NSF</v>
      </c>
      <c r="B183" s="67" t="str">
        <f t="shared" si="63"/>
        <v>OIG</v>
      </c>
      <c r="C183" s="67" t="str">
        <f t="shared" si="63"/>
        <v>OIG</v>
      </c>
      <c r="D183" s="67" t="str">
        <f t="shared" si="63"/>
        <v>Steady</v>
      </c>
      <c r="E183" s="67" t="str">
        <f t="shared" si="63"/>
        <v>Program</v>
      </c>
      <c r="F183" s="67" t="s">
        <v>90</v>
      </c>
      <c r="H183" s="67" t="str">
        <f t="shared" si="56"/>
        <v>Office of the Inspector General</v>
      </c>
      <c r="I183" s="67">
        <f t="shared" si="57"/>
        <v>0</v>
      </c>
      <c r="J183" s="67">
        <f t="shared" si="62"/>
        <v>0</v>
      </c>
      <c r="K183" s="67">
        <f t="shared" si="62"/>
        <v>0</v>
      </c>
      <c r="L183" s="67">
        <f t="shared" si="62"/>
        <v>0</v>
      </c>
      <c r="M183" s="67">
        <f t="shared" si="62"/>
        <v>0</v>
      </c>
      <c r="N183" s="67">
        <f t="shared" si="62"/>
        <v>0</v>
      </c>
      <c r="O183" s="67">
        <f t="shared" si="62"/>
        <v>0</v>
      </c>
      <c r="P183" s="67">
        <f t="shared" si="62"/>
        <v>0</v>
      </c>
      <c r="Q183" s="67">
        <f t="shared" si="62"/>
        <v>0</v>
      </c>
      <c r="R183" s="67">
        <f t="shared" si="62"/>
        <v>0</v>
      </c>
      <c r="S183" s="67">
        <f t="shared" si="62"/>
        <v>0</v>
      </c>
      <c r="T183" s="67">
        <f t="shared" si="62"/>
        <v>0</v>
      </c>
      <c r="U183" s="67">
        <f t="shared" si="62"/>
        <v>0</v>
      </c>
      <c r="V183" s="67">
        <f t="shared" si="62"/>
        <v>0</v>
      </c>
      <c r="W183" s="67">
        <f t="shared" si="62"/>
        <v>0</v>
      </c>
      <c r="X183" s="67">
        <f t="shared" si="62"/>
        <v>4.337512707556761</v>
      </c>
      <c r="Y183" s="67">
        <f t="shared" si="62"/>
        <v>4.907574022574841</v>
      </c>
      <c r="Z183" s="67">
        <f t="shared" si="62"/>
        <v>5.5857006064474941</v>
      </c>
      <c r="AA183" s="67">
        <f t="shared" si="62"/>
        <v>5.7508186496179636</v>
      </c>
      <c r="AB183" s="67">
        <f t="shared" si="62"/>
        <v>6.0994964138562491</v>
      </c>
      <c r="AC183" s="67">
        <f t="shared" si="62"/>
        <v>6.6646742378959951</v>
      </c>
      <c r="AD183" s="67">
        <f t="shared" si="62"/>
        <v>5.8301554708125556</v>
      </c>
      <c r="AE183" s="67">
        <f t="shared" si="62"/>
        <v>7.6754575587260412</v>
      </c>
      <c r="AF183" s="67">
        <f t="shared" si="62"/>
        <v>6.8289211500142333</v>
      </c>
      <c r="AG183" s="67">
        <f t="shared" si="62"/>
        <v>7.605792211443835</v>
      </c>
      <c r="AH183" s="67">
        <f t="shared" si="62"/>
        <v>7.712436303539457</v>
      </c>
      <c r="AI183" s="67">
        <f t="shared" si="62"/>
        <v>8.4940164044641655</v>
      </c>
      <c r="AJ183" s="67">
        <f t="shared" si="62"/>
        <v>8.8694731268202283</v>
      </c>
      <c r="AK183" s="67">
        <f t="shared" si="62"/>
        <v>11.03081019399011</v>
      </c>
      <c r="AL183" s="67">
        <f t="shared" si="62"/>
        <v>11.652516303679095</v>
      </c>
      <c r="AM183" s="67">
        <f t="shared" si="62"/>
        <v>12.120128709331427</v>
      </c>
      <c r="AN183" s="67">
        <f t="shared" si="62"/>
        <v>13.303177916956624</v>
      </c>
      <c r="AO183" s="67">
        <f t="shared" si="62"/>
        <v>13.543915464151802</v>
      </c>
      <c r="AP183" s="67">
        <f t="shared" si="62"/>
        <v>13.305589922393432</v>
      </c>
      <c r="AQ183" s="67">
        <f t="shared" si="62"/>
        <v>13.369759143621765</v>
      </c>
      <c r="AR183" s="67">
        <f t="shared" si="62"/>
        <v>15.271097507651948</v>
      </c>
      <c r="AS183" s="67">
        <f t="shared" si="62"/>
        <v>14.945243719132488</v>
      </c>
      <c r="AT183" s="67">
        <f t="shared" si="62"/>
        <v>14.889802805019507</v>
      </c>
      <c r="AU183" s="67">
        <f t="shared" si="62"/>
        <v>13.639188069594034</v>
      </c>
      <c r="AV183" s="67">
        <f t="shared" si="62"/>
        <v>14.186141861418614</v>
      </c>
      <c r="AW183" s="67">
        <f t="shared" si="62"/>
        <v>14.846451088061825</v>
      </c>
      <c r="AX183" s="67">
        <f t="shared" si="62"/>
        <v>14.76</v>
      </c>
      <c r="AY183" s="67">
        <f t="shared" si="62"/>
        <v>14.869888475836431</v>
      </c>
      <c r="AZ183" s="67">
        <f t="shared" si="62"/>
        <v>14.744020747286525</v>
      </c>
      <c r="BA183" s="67">
        <f t="shared" si="62"/>
        <v>14.487531999620746</v>
      </c>
      <c r="BB183" s="67">
        <f t="shared" si="62"/>
        <v>14.944409715857013</v>
      </c>
      <c r="BC183" s="67">
        <f t="shared" si="62"/>
        <v>15.291698792084299</v>
      </c>
      <c r="BD183" s="67">
        <f t="shared" si="62"/>
        <v>15.564839845990008</v>
      </c>
      <c r="BE183" s="67">
        <f t="shared" si="62"/>
        <v>18.665124072448734</v>
      </c>
      <c r="BF183" s="67">
        <f t="shared" si="62"/>
        <v>19.05840099937539</v>
      </c>
      <c r="BG183" s="67">
        <f t="shared" si="62"/>
        <v>18.670644026311766</v>
      </c>
      <c r="BH183" s="67">
        <f t="shared" si="62"/>
        <v>13.767783386874715</v>
      </c>
    </row>
    <row r="184" spans="1:60" s="67" customFormat="1" x14ac:dyDescent="0.25">
      <c r="A184" s="67" t="str">
        <f t="shared" ref="A184:E184" si="64">A9</f>
        <v>NSF</v>
      </c>
      <c r="B184" s="67" t="str">
        <f t="shared" si="64"/>
        <v>NSB</v>
      </c>
      <c r="C184" s="67" t="str">
        <f t="shared" si="64"/>
        <v>NSB</v>
      </c>
      <c r="D184" s="67" t="str">
        <f t="shared" si="64"/>
        <v>Steady</v>
      </c>
      <c r="E184" s="67" t="str">
        <f t="shared" si="64"/>
        <v>Program</v>
      </c>
      <c r="F184" s="67" t="s">
        <v>90</v>
      </c>
      <c r="H184" s="67" t="str">
        <f t="shared" si="56"/>
        <v>National Science Board</v>
      </c>
      <c r="I184" s="67">
        <f t="shared" si="57"/>
        <v>0</v>
      </c>
      <c r="J184" s="67">
        <f t="shared" si="62"/>
        <v>0</v>
      </c>
      <c r="K184" s="67">
        <f t="shared" si="62"/>
        <v>0</v>
      </c>
      <c r="L184" s="67">
        <f t="shared" si="62"/>
        <v>0</v>
      </c>
      <c r="M184" s="67">
        <f t="shared" si="62"/>
        <v>0</v>
      </c>
      <c r="N184" s="67">
        <f t="shared" si="62"/>
        <v>0</v>
      </c>
      <c r="O184" s="67">
        <f t="shared" si="62"/>
        <v>0</v>
      </c>
      <c r="P184" s="67">
        <f t="shared" si="62"/>
        <v>0</v>
      </c>
      <c r="Q184" s="67">
        <f t="shared" si="62"/>
        <v>0</v>
      </c>
      <c r="R184" s="67">
        <f t="shared" si="62"/>
        <v>0</v>
      </c>
      <c r="S184" s="67">
        <f t="shared" si="62"/>
        <v>0</v>
      </c>
      <c r="T184" s="67">
        <f t="shared" si="62"/>
        <v>0</v>
      </c>
      <c r="U184" s="67">
        <f t="shared" si="62"/>
        <v>0</v>
      </c>
      <c r="V184" s="67">
        <f t="shared" si="62"/>
        <v>0</v>
      </c>
      <c r="W184" s="67">
        <f t="shared" si="62"/>
        <v>0</v>
      </c>
      <c r="X184" s="67">
        <f t="shared" si="62"/>
        <v>0</v>
      </c>
      <c r="Y184" s="67">
        <f t="shared" si="62"/>
        <v>0</v>
      </c>
      <c r="Z184" s="67">
        <f t="shared" si="62"/>
        <v>0</v>
      </c>
      <c r="AA184" s="67">
        <f t="shared" si="62"/>
        <v>0</v>
      </c>
      <c r="AB184" s="67">
        <f t="shared" si="62"/>
        <v>0</v>
      </c>
      <c r="AC184" s="67">
        <f t="shared" si="62"/>
        <v>0</v>
      </c>
      <c r="AD184" s="67">
        <f t="shared" si="62"/>
        <v>0</v>
      </c>
      <c r="AE184" s="67">
        <f t="shared" si="62"/>
        <v>0</v>
      </c>
      <c r="AF184" s="67">
        <f t="shared" si="62"/>
        <v>0</v>
      </c>
      <c r="AG184" s="67">
        <f t="shared" si="62"/>
        <v>0</v>
      </c>
      <c r="AH184" s="67">
        <f t="shared" si="62"/>
        <v>0</v>
      </c>
      <c r="AI184" s="67">
        <f t="shared" si="62"/>
        <v>0</v>
      </c>
      <c r="AJ184" s="67">
        <f t="shared" si="62"/>
        <v>0</v>
      </c>
      <c r="AK184" s="67">
        <f t="shared" si="62"/>
        <v>3.6515785469760367</v>
      </c>
      <c r="AL184" s="67">
        <f t="shared" si="62"/>
        <v>2.7316352897748248</v>
      </c>
      <c r="AM184" s="67">
        <f t="shared" si="62"/>
        <v>4.3498987009891552</v>
      </c>
      <c r="AN184" s="67">
        <f t="shared" si="62"/>
        <v>4.5697054047784738</v>
      </c>
      <c r="AO184" s="67">
        <f t="shared" si="62"/>
        <v>4.1472559936370867</v>
      </c>
      <c r="AP184" s="67">
        <f t="shared" si="62"/>
        <v>4.2964795860983012</v>
      </c>
      <c r="AQ184" s="67">
        <f t="shared" si="62"/>
        <v>4.4826048171275641</v>
      </c>
      <c r="AR184" s="67">
        <f t="shared" si="62"/>
        <v>4.7879317883690424</v>
      </c>
      <c r="AS184" s="67">
        <f t="shared" si="62"/>
        <v>4.7992269701524588</v>
      </c>
      <c r="AT184" s="67">
        <f t="shared" si="62"/>
        <v>5.346409364125277</v>
      </c>
      <c r="AU184" s="67">
        <f t="shared" si="62"/>
        <v>4.2460646230323107</v>
      </c>
      <c r="AV184" s="67">
        <f t="shared" si="62"/>
        <v>4.3562935629356296</v>
      </c>
      <c r="AW184" s="67">
        <f t="shared" si="62"/>
        <v>4.2200528777709989</v>
      </c>
      <c r="AX184" s="67">
        <f t="shared" si="62"/>
        <v>4.3099999999999996</v>
      </c>
      <c r="AY184" s="67">
        <f t="shared" si="62"/>
        <v>4.2750929368029738</v>
      </c>
      <c r="AZ184" s="67">
        <f t="shared" si="62"/>
        <v>4.1974834309864573</v>
      </c>
      <c r="BA184" s="67">
        <f t="shared" si="62"/>
        <v>4.0959514553901588</v>
      </c>
      <c r="BB184" s="67">
        <f t="shared" si="62"/>
        <v>4.0564784601283224</v>
      </c>
      <c r="BC184" s="67">
        <f t="shared" si="62"/>
        <v>3.8550501156515034</v>
      </c>
      <c r="BD184" s="67">
        <f t="shared" si="62"/>
        <v>3.7683296469238963</v>
      </c>
      <c r="BE184" s="67">
        <f t="shared" si="62"/>
        <v>4.0684592675337106</v>
      </c>
      <c r="BF184" s="67">
        <f t="shared" si="62"/>
        <v>3.9740787008119924</v>
      </c>
      <c r="BG184" s="67">
        <f t="shared" si="62"/>
        <v>3.8932231910662387</v>
      </c>
      <c r="BH184" s="67">
        <f t="shared" si="62"/>
        <v>2.2946305644791192</v>
      </c>
    </row>
    <row r="185" spans="1:60" s="67" customFormat="1" x14ac:dyDescent="0.25">
      <c r="A185" s="67" t="str">
        <f t="shared" ref="A185:E185" si="65">A10</f>
        <v>NSF</v>
      </c>
      <c r="B185" s="67" t="str">
        <f t="shared" si="65"/>
        <v>NSF</v>
      </c>
      <c r="C185" s="67" t="str">
        <f t="shared" si="65"/>
        <v>NSF</v>
      </c>
      <c r="D185" s="67" t="str">
        <f t="shared" si="65"/>
        <v>Steady</v>
      </c>
      <c r="E185" s="67" t="str">
        <f t="shared" si="65"/>
        <v>Total</v>
      </c>
      <c r="F185" s="67" t="s">
        <v>90</v>
      </c>
      <c r="H185" s="67" t="str">
        <f t="shared" si="56"/>
        <v>National Science Foundation</v>
      </c>
      <c r="I185" s="67">
        <f t="shared" si="57"/>
        <v>2457.9419426870113</v>
      </c>
      <c r="J185" s="67">
        <f t="shared" si="62"/>
        <v>2544.1544885177454</v>
      </c>
      <c r="K185" s="67">
        <f t="shared" si="62"/>
        <v>2423.3841661258921</v>
      </c>
      <c r="L185" s="67">
        <f t="shared" si="62"/>
        <v>2422.2651261781693</v>
      </c>
      <c r="M185" s="67">
        <f t="shared" si="62"/>
        <v>2441.7355836849511</v>
      </c>
      <c r="N185" s="67">
        <f t="shared" si="62"/>
        <v>2357.9172056921088</v>
      </c>
      <c r="O185" s="67">
        <f t="shared" si="62"/>
        <v>2280.8836003770025</v>
      </c>
      <c r="P185" s="67">
        <f t="shared" si="62"/>
        <v>2388.5415289711391</v>
      </c>
      <c r="Q185" s="67">
        <f t="shared" si="62"/>
        <v>2214.9546126240234</v>
      </c>
      <c r="R185" s="67">
        <f t="shared" si="62"/>
        <v>2423.5296515182395</v>
      </c>
      <c r="S185" s="67">
        <f t="shared" si="62"/>
        <v>2594.6046144744623</v>
      </c>
      <c r="T185" s="67">
        <f t="shared" si="62"/>
        <v>2974.2179363548703</v>
      </c>
      <c r="U185" s="67">
        <f t="shared" si="62"/>
        <v>2917.3571024335029</v>
      </c>
      <c r="V185" s="67">
        <f t="shared" si="62"/>
        <v>3006.0771057920701</v>
      </c>
      <c r="W185" s="67">
        <f t="shared" si="62"/>
        <v>3052.3990165086057</v>
      </c>
      <c r="X185" s="67">
        <f t="shared" si="62"/>
        <v>3530.3422568620804</v>
      </c>
      <c r="Y185" s="67">
        <f t="shared" si="62"/>
        <v>3788.6455095697693</v>
      </c>
      <c r="Z185" s="67">
        <f t="shared" si="62"/>
        <v>4105.8218959463775</v>
      </c>
      <c r="AA185" s="67">
        <f t="shared" si="62"/>
        <v>4262.5105254950886</v>
      </c>
      <c r="AB185" s="67">
        <f t="shared" si="62"/>
        <v>4605.2144056157476</v>
      </c>
      <c r="AC185" s="67">
        <f t="shared" si="62"/>
        <v>4886.8410041841007</v>
      </c>
      <c r="AD185" s="67">
        <f t="shared" si="62"/>
        <v>4702.7368729832806</v>
      </c>
      <c r="AE185" s="67">
        <f t="shared" si="62"/>
        <v>4754.0106643608588</v>
      </c>
      <c r="AF185" s="67">
        <f t="shared" si="62"/>
        <v>4875.7884998576719</v>
      </c>
      <c r="AG185" s="67">
        <f t="shared" si="62"/>
        <v>5188.0781667369602</v>
      </c>
      <c r="AH185" s="67">
        <f t="shared" si="62"/>
        <v>5403.3425148051238</v>
      </c>
      <c r="AI185" s="67">
        <f t="shared" si="62"/>
        <v>5988.7118461745331</v>
      </c>
      <c r="AJ185" s="67">
        <f t="shared" si="62"/>
        <v>6319.9099814667734</v>
      </c>
      <c r="AK185" s="67">
        <f t="shared" si="62"/>
        <v>6807.8356789653863</v>
      </c>
      <c r="AL185" s="67">
        <f t="shared" si="62"/>
        <v>6954.6080964685616</v>
      </c>
      <c r="AM185" s="67">
        <f t="shared" si="62"/>
        <v>6531.7244666905026</v>
      </c>
      <c r="AN185" s="67">
        <f t="shared" si="62"/>
        <v>6548.1210855949894</v>
      </c>
      <c r="AO185" s="67">
        <f t="shared" si="62"/>
        <v>6686.0129530735148</v>
      </c>
      <c r="AP185" s="67">
        <f t="shared" si="62"/>
        <v>6842.919806545945</v>
      </c>
      <c r="AQ185" s="67">
        <f t="shared" si="62"/>
        <v>7213.169045495094</v>
      </c>
      <c r="AR185" s="67">
        <f t="shared" si="62"/>
        <v>7621.5566243987751</v>
      </c>
      <c r="AS185" s="67">
        <f t="shared" si="62"/>
        <v>7421.595447713119</v>
      </c>
      <c r="AT185" s="67">
        <f t="shared" si="62"/>
        <v>7492.7870926921851</v>
      </c>
      <c r="AU185" s="67">
        <f t="shared" si="62"/>
        <v>7146.6445733222863</v>
      </c>
      <c r="AV185" s="67">
        <f t="shared" si="62"/>
        <v>7104.7355473554735</v>
      </c>
      <c r="AW185" s="67">
        <f t="shared" si="62"/>
        <v>7375.6558877364232</v>
      </c>
      <c r="AX185" s="67">
        <f t="shared" si="62"/>
        <v>7493.8499999999995</v>
      </c>
      <c r="AY185" s="67">
        <f t="shared" si="62"/>
        <v>7341.3128546272746</v>
      </c>
      <c r="AZ185" s="67">
        <f t="shared" si="62"/>
        <v>7510.0950917299015</v>
      </c>
      <c r="BA185" s="67">
        <f t="shared" si="62"/>
        <v>7727.5338958945676</v>
      </c>
      <c r="BB185" s="67">
        <f t="shared" si="62"/>
        <v>7525.2881109074233</v>
      </c>
      <c r="BC185" s="67">
        <f t="shared" si="62"/>
        <v>7270.4189154459009</v>
      </c>
      <c r="BD185" s="67">
        <f t="shared" si="62"/>
        <v>7388.6868190382584</v>
      </c>
      <c r="BE185" s="67">
        <f t="shared" si="62"/>
        <v>7714.5870900821819</v>
      </c>
      <c r="BF185" s="67">
        <f t="shared" si="62"/>
        <v>7410.826826983136</v>
      </c>
      <c r="BG185" s="67">
        <f t="shared" si="62"/>
        <v>6929.7843047269398</v>
      </c>
      <c r="BH185" s="67">
        <f t="shared" si="62"/>
        <v>2985.4290959155578</v>
      </c>
    </row>
    <row r="186" spans="1:60" s="67" customFormat="1" x14ac:dyDescent="0.25">
      <c r="A186" s="67" t="str">
        <f t="shared" ref="A186:E186" si="66">A11</f>
        <v>NSF</v>
      </c>
      <c r="B186" s="67" t="str">
        <f t="shared" si="66"/>
        <v>R&amp;RA</v>
      </c>
      <c r="C186" s="67" t="str">
        <f t="shared" si="66"/>
        <v>BIO</v>
      </c>
      <c r="D186" s="67" t="str">
        <f t="shared" si="66"/>
        <v>Steady</v>
      </c>
      <c r="E186" s="67" t="str">
        <f t="shared" si="66"/>
        <v>Subprograms</v>
      </c>
      <c r="F186" s="67" t="s">
        <v>90</v>
      </c>
      <c r="H186" s="67" t="str">
        <f t="shared" si="56"/>
        <v>Directorate for Biological Sciences</v>
      </c>
      <c r="I186" s="67">
        <f t="shared" si="57"/>
        <v>0</v>
      </c>
      <c r="J186" s="67">
        <f t="shared" si="62"/>
        <v>379.38413361169103</v>
      </c>
      <c r="K186" s="67">
        <f t="shared" si="62"/>
        <v>410.79493835171968</v>
      </c>
      <c r="L186" s="67">
        <f t="shared" si="62"/>
        <v>431.28914563697168</v>
      </c>
      <c r="M186" s="67">
        <f t="shared" si="62"/>
        <v>435.95499296765121</v>
      </c>
      <c r="N186" s="67">
        <f t="shared" si="62"/>
        <v>432.12936610608017</v>
      </c>
      <c r="O186" s="67">
        <f t="shared" si="62"/>
        <v>437.28086710650331</v>
      </c>
      <c r="P186" s="67">
        <f t="shared" si="62"/>
        <v>389.06587354042739</v>
      </c>
      <c r="Q186" s="67">
        <f t="shared" si="62"/>
        <v>403.70276546337345</v>
      </c>
      <c r="R186" s="67">
        <f t="shared" si="62"/>
        <v>453.6213572447524</v>
      </c>
      <c r="S186" s="67">
        <f t="shared" si="62"/>
        <v>499.92112009465586</v>
      </c>
      <c r="T186" s="67">
        <f t="shared" si="62"/>
        <v>461.50819672131149</v>
      </c>
      <c r="U186" s="67">
        <f t="shared" si="62"/>
        <v>489.15299000188645</v>
      </c>
      <c r="V186" s="67">
        <f t="shared" si="62"/>
        <v>484.34131189475602</v>
      </c>
      <c r="W186" s="67">
        <f t="shared" si="62"/>
        <v>494.32736213558132</v>
      </c>
      <c r="X186" s="67">
        <f t="shared" si="62"/>
        <v>497.59403592002718</v>
      </c>
      <c r="Y186" s="67">
        <f t="shared" si="62"/>
        <v>417.38917061999024</v>
      </c>
      <c r="Z186" s="67">
        <f t="shared" si="62"/>
        <v>437.83913182253434</v>
      </c>
      <c r="AA186" s="67">
        <f t="shared" si="62"/>
        <v>423.07812256354282</v>
      </c>
      <c r="AB186" s="67">
        <f t="shared" si="62"/>
        <v>439.31023958492295</v>
      </c>
      <c r="AC186" s="67">
        <f t="shared" si="62"/>
        <v>449.55618649133294</v>
      </c>
      <c r="AD186" s="67">
        <f t="shared" si="62"/>
        <v>446.51364036374304</v>
      </c>
      <c r="AE186" s="67">
        <f t="shared" si="62"/>
        <v>467.30941057789312</v>
      </c>
      <c r="AF186" s="67">
        <f t="shared" si="62"/>
        <v>506.2624537432394</v>
      </c>
      <c r="AG186" s="67">
        <f t="shared" si="62"/>
        <v>551.24701251230135</v>
      </c>
      <c r="AH186" s="67">
        <f t="shared" si="62"/>
        <v>576.08456135518531</v>
      </c>
      <c r="AI186" s="67">
        <f t="shared" si="62"/>
        <v>653.42476805163369</v>
      </c>
      <c r="AJ186" s="67">
        <f t="shared" si="62"/>
        <v>674.66243050039714</v>
      </c>
      <c r="AK186" s="67">
        <f t="shared" si="62"/>
        <v>723.32952960568025</v>
      </c>
      <c r="AL186" s="67">
        <f t="shared" si="62"/>
        <v>722.34526885689672</v>
      </c>
      <c r="AM186" s="67">
        <f t="shared" si="62"/>
        <v>687.37933500178758</v>
      </c>
      <c r="AN186" s="67">
        <f t="shared" si="62"/>
        <v>673.74159127812572</v>
      </c>
      <c r="AO186" s="67">
        <f t="shared" si="62"/>
        <v>691.44415407340068</v>
      </c>
      <c r="AP186" s="67">
        <f t="shared" si="62"/>
        <v>692.40805308739175</v>
      </c>
      <c r="AQ186" s="67">
        <f t="shared" si="62"/>
        <v>732.18108831400536</v>
      </c>
      <c r="AR186" s="67">
        <f t="shared" si="62"/>
        <v>781.34018364669873</v>
      </c>
      <c r="AS186" s="67">
        <f t="shared" si="62"/>
        <v>764.73051320592651</v>
      </c>
      <c r="AT186" s="67">
        <f t="shared" si="62"/>
        <v>751.11251713592742</v>
      </c>
      <c r="AU186" s="67">
        <f t="shared" si="62"/>
        <v>703.41756420878198</v>
      </c>
      <c r="AV186" s="67">
        <f t="shared" si="62"/>
        <v>738.85813858138579</v>
      </c>
      <c r="AW186" s="67">
        <f t="shared" si="62"/>
        <v>748.61704291234491</v>
      </c>
      <c r="AX186" s="67">
        <f t="shared" si="62"/>
        <v>723.77</v>
      </c>
      <c r="AY186" s="67">
        <f t="shared" si="62"/>
        <v>726.10056740363916</v>
      </c>
      <c r="AZ186" s="67">
        <f t="shared" si="62"/>
        <v>726.7217366247238</v>
      </c>
      <c r="BA186" s="67">
        <f t="shared" si="62"/>
        <v>743.09282260358384</v>
      </c>
      <c r="BB186" s="67">
        <f t="shared" si="62"/>
        <v>741.80201649862522</v>
      </c>
      <c r="BC186" s="67">
        <f t="shared" si="62"/>
        <v>700.88237813758246</v>
      </c>
      <c r="BD186" s="67">
        <f t="shared" si="62"/>
        <v>681.5761448349308</v>
      </c>
      <c r="BE186" s="67">
        <f t="shared" si="62"/>
        <v>674.14824862363355</v>
      </c>
      <c r="BF186" s="67">
        <f t="shared" si="62"/>
        <v>616.48188632104939</v>
      </c>
      <c r="BG186" s="67">
        <f t="shared" si="62"/>
        <v>605.78246902248748</v>
      </c>
      <c r="BH186" s="67">
        <f t="shared" si="62"/>
        <v>172.013155881903</v>
      </c>
    </row>
    <row r="187" spans="1:60" s="67" customFormat="1" x14ac:dyDescent="0.25">
      <c r="A187" s="67" t="str">
        <f t="shared" ref="A187:E187" si="67">A12</f>
        <v>NSF</v>
      </c>
      <c r="B187" s="67" t="str">
        <f t="shared" si="67"/>
        <v>R&amp;RA</v>
      </c>
      <c r="C187" s="67" t="str">
        <f t="shared" si="67"/>
        <v>CISE</v>
      </c>
      <c r="D187" s="67" t="str">
        <f t="shared" si="67"/>
        <v>Steady</v>
      </c>
      <c r="E187" s="67" t="str">
        <f t="shared" si="67"/>
        <v>Subprograms</v>
      </c>
      <c r="F187" s="67" t="s">
        <v>90</v>
      </c>
      <c r="H187" s="67" t="str">
        <f t="shared" si="56"/>
        <v>Directorate for Computer and Information Science and Engineering</v>
      </c>
      <c r="I187" s="67">
        <f t="shared" si="57"/>
        <v>0</v>
      </c>
      <c r="J187" s="67">
        <f t="shared" si="62"/>
        <v>0</v>
      </c>
      <c r="K187" s="67">
        <f t="shared" si="62"/>
        <v>0</v>
      </c>
      <c r="L187" s="67">
        <f t="shared" si="62"/>
        <v>0</v>
      </c>
      <c r="M187" s="67">
        <f t="shared" si="62"/>
        <v>0</v>
      </c>
      <c r="N187" s="67">
        <f t="shared" si="62"/>
        <v>0</v>
      </c>
      <c r="O187" s="67">
        <f t="shared" si="62"/>
        <v>0</v>
      </c>
      <c r="P187" s="67">
        <f t="shared" si="62"/>
        <v>0</v>
      </c>
      <c r="Q187" s="67">
        <f t="shared" si="62"/>
        <v>0</v>
      </c>
      <c r="R187" s="67">
        <f t="shared" si="62"/>
        <v>12.245771347055227</v>
      </c>
      <c r="S187" s="67">
        <f t="shared" si="62"/>
        <v>81.63281404062316</v>
      </c>
      <c r="T187" s="67">
        <f t="shared" si="62"/>
        <v>194.55930568948892</v>
      </c>
      <c r="U187" s="67">
        <f t="shared" si="62"/>
        <v>220.44897189209581</v>
      </c>
      <c r="V187" s="67">
        <f t="shared" si="62"/>
        <v>226.40233875388267</v>
      </c>
      <c r="W187" s="67">
        <f t="shared" si="62"/>
        <v>266.66666666666669</v>
      </c>
      <c r="X187" s="67">
        <f t="shared" si="62"/>
        <v>287.76685869196888</v>
      </c>
      <c r="Y187" s="67">
        <f t="shared" ref="J187:BH192" si="68">Y12/Y$175</f>
        <v>310.01145100605271</v>
      </c>
      <c r="Z187" s="67">
        <f t="shared" si="68"/>
        <v>335.73252473667412</v>
      </c>
      <c r="AA187" s="67">
        <f t="shared" si="68"/>
        <v>336.19210977701545</v>
      </c>
      <c r="AB187" s="67">
        <f t="shared" si="68"/>
        <v>365.5272394323211</v>
      </c>
      <c r="AC187" s="67">
        <f t="shared" si="68"/>
        <v>385.27794381350861</v>
      </c>
      <c r="AD187" s="67">
        <f t="shared" si="68"/>
        <v>384.91199765327076</v>
      </c>
      <c r="AE187" s="67">
        <f t="shared" si="68"/>
        <v>393.36647931978672</v>
      </c>
      <c r="AF187" s="67">
        <f t="shared" si="68"/>
        <v>382.99316823228014</v>
      </c>
      <c r="AG187" s="67">
        <f t="shared" si="68"/>
        <v>419.72725994657668</v>
      </c>
      <c r="AH187" s="67">
        <f t="shared" si="68"/>
        <v>535.14254234953864</v>
      </c>
      <c r="AI187" s="67">
        <f t="shared" si="68"/>
        <v>642.93666801129484</v>
      </c>
      <c r="AJ187" s="67">
        <f t="shared" si="68"/>
        <v>681.77124702144556</v>
      </c>
      <c r="AK187" s="67">
        <f t="shared" si="68"/>
        <v>747.16622289844042</v>
      </c>
      <c r="AL187" s="67">
        <f t="shared" si="68"/>
        <v>744.86280300233796</v>
      </c>
      <c r="AM187" s="67">
        <f t="shared" si="68"/>
        <v>584.19735430818741</v>
      </c>
      <c r="AN187" s="67">
        <f t="shared" si="68"/>
        <v>575.67849686847603</v>
      </c>
      <c r="AO187" s="67">
        <f t="shared" si="68"/>
        <v>598.4319963640495</v>
      </c>
      <c r="AP187" s="67">
        <f t="shared" si="68"/>
        <v>602.02451917669555</v>
      </c>
      <c r="AQ187" s="67">
        <f t="shared" si="68"/>
        <v>640.61106155218556</v>
      </c>
      <c r="AR187" s="67">
        <f t="shared" si="68"/>
        <v>676.3336248360298</v>
      </c>
      <c r="AS187" s="67">
        <f t="shared" si="68"/>
        <v>682.90745114880815</v>
      </c>
      <c r="AT187" s="67">
        <f t="shared" si="68"/>
        <v>988.25266265949585</v>
      </c>
      <c r="AU187" s="67">
        <f t="shared" si="68"/>
        <v>888.69096934548463</v>
      </c>
      <c r="AV187" s="67">
        <f t="shared" si="68"/>
        <v>914.93439934399339</v>
      </c>
      <c r="AW187" s="67">
        <f t="shared" si="68"/>
        <v>948.72889973561109</v>
      </c>
      <c r="AX187" s="67">
        <f t="shared" si="68"/>
        <v>935.2</v>
      </c>
      <c r="AY187" s="67">
        <f t="shared" si="68"/>
        <v>915.60360007826262</v>
      </c>
      <c r="AZ187" s="67">
        <f t="shared" si="68"/>
        <v>922.87004130246862</v>
      </c>
      <c r="BA187" s="67">
        <f t="shared" si="68"/>
        <v>934.01915236560149</v>
      </c>
      <c r="BB187" s="67">
        <f t="shared" si="68"/>
        <v>913.28689275893669</v>
      </c>
      <c r="BC187" s="67">
        <f t="shared" si="68"/>
        <v>861.38096461920668</v>
      </c>
      <c r="BD187" s="67">
        <f t="shared" si="68"/>
        <v>831.49012861472931</v>
      </c>
      <c r="BE187" s="67">
        <f t="shared" si="68"/>
        <v>825.81983563392635</v>
      </c>
      <c r="BF187" s="67">
        <f t="shared" si="68"/>
        <v>772.4469081823861</v>
      </c>
      <c r="BG187" s="67">
        <f t="shared" si="68"/>
        <v>696.03793789199949</v>
      </c>
      <c r="BH187" s="67">
        <f t="shared" si="68"/>
        <v>264.85390852072817</v>
      </c>
    </row>
    <row r="188" spans="1:60" s="67" customFormat="1" x14ac:dyDescent="0.25">
      <c r="A188" s="67" t="str">
        <f t="shared" ref="A188:E188" si="69">A13</f>
        <v>NSF</v>
      </c>
      <c r="B188" s="67" t="str">
        <f t="shared" si="69"/>
        <v>R&amp;RA</v>
      </c>
      <c r="C188" s="67" t="str">
        <f t="shared" si="69"/>
        <v>ENG</v>
      </c>
      <c r="D188" s="67" t="str">
        <f t="shared" si="69"/>
        <v>Steady</v>
      </c>
      <c r="E188" s="67" t="str">
        <f t="shared" si="69"/>
        <v>Subprograms</v>
      </c>
      <c r="F188" s="67" t="s">
        <v>90</v>
      </c>
      <c r="H188" s="67" t="str">
        <f t="shared" si="56"/>
        <v>Directorate for Engineering</v>
      </c>
      <c r="I188" s="67">
        <f t="shared" si="57"/>
        <v>0</v>
      </c>
      <c r="J188" s="67">
        <f t="shared" si="68"/>
        <v>0</v>
      </c>
      <c r="K188" s="67">
        <f t="shared" si="68"/>
        <v>0</v>
      </c>
      <c r="L188" s="67">
        <f t="shared" si="68"/>
        <v>0</v>
      </c>
      <c r="M188" s="67">
        <f t="shared" si="68"/>
        <v>322.33192686357245</v>
      </c>
      <c r="N188" s="67">
        <f t="shared" si="68"/>
        <v>266.33117723156533</v>
      </c>
      <c r="O188" s="67">
        <f t="shared" si="68"/>
        <v>203.45664467483505</v>
      </c>
      <c r="P188" s="67">
        <f t="shared" si="68"/>
        <v>205.5210398766248</v>
      </c>
      <c r="Q188" s="67">
        <f t="shared" si="68"/>
        <v>215.34937724298078</v>
      </c>
      <c r="R188" s="67">
        <f t="shared" si="68"/>
        <v>241.20032606480535</v>
      </c>
      <c r="S188" s="67">
        <f t="shared" si="68"/>
        <v>297.03805955432853</v>
      </c>
      <c r="T188" s="67">
        <f t="shared" si="68"/>
        <v>279.47348119575702</v>
      </c>
      <c r="U188" s="67">
        <f t="shared" si="68"/>
        <v>307.64006791171477</v>
      </c>
      <c r="V188" s="67">
        <f t="shared" si="68"/>
        <v>314.39795359035264</v>
      </c>
      <c r="W188" s="67">
        <f t="shared" si="68"/>
        <v>328.52125043905863</v>
      </c>
      <c r="X188" s="67">
        <f t="shared" si="68"/>
        <v>338.95289732294145</v>
      </c>
      <c r="Y188" s="67">
        <f t="shared" si="68"/>
        <v>388.77801406837887</v>
      </c>
      <c r="Z188" s="67">
        <f t="shared" si="68"/>
        <v>411.90552186402812</v>
      </c>
      <c r="AA188" s="67">
        <f t="shared" si="68"/>
        <v>399.26711367534699</v>
      </c>
      <c r="AB188" s="67">
        <f t="shared" si="68"/>
        <v>452.81550434915312</v>
      </c>
      <c r="AC188" s="67">
        <f t="shared" si="68"/>
        <v>482.54781829049608</v>
      </c>
      <c r="AD188" s="67">
        <f t="shared" si="68"/>
        <v>473.31035494279848</v>
      </c>
      <c r="AE188" s="67">
        <f t="shared" si="68"/>
        <v>503.54662055051165</v>
      </c>
      <c r="AF188" s="67">
        <f t="shared" si="68"/>
        <v>488.38172502134927</v>
      </c>
      <c r="AG188" s="67">
        <f t="shared" si="68"/>
        <v>520.35287501757341</v>
      </c>
      <c r="AH188" s="67">
        <f t="shared" si="68"/>
        <v>523.0946150667952</v>
      </c>
      <c r="AI188" s="67">
        <f t="shared" si="68"/>
        <v>582.71749361301602</v>
      </c>
      <c r="AJ188" s="67">
        <f t="shared" si="68"/>
        <v>623.28567646280123</v>
      </c>
      <c r="AK188" s="67">
        <f t="shared" si="68"/>
        <v>686.82642322809681</v>
      </c>
      <c r="AL188" s="67">
        <f t="shared" si="68"/>
        <v>695.91485172880527</v>
      </c>
      <c r="AM188" s="67">
        <f t="shared" si="68"/>
        <v>663.91371707782139</v>
      </c>
      <c r="AN188" s="67">
        <f t="shared" si="68"/>
        <v>679.03038738111809</v>
      </c>
      <c r="AO188" s="67">
        <f t="shared" si="68"/>
        <v>715.82774684694925</v>
      </c>
      <c r="AP188" s="67">
        <f t="shared" si="68"/>
        <v>730.50275559554609</v>
      </c>
      <c r="AQ188" s="67">
        <f t="shared" si="68"/>
        <v>741.51427297056193</v>
      </c>
      <c r="AR188" s="67">
        <f t="shared" si="68"/>
        <v>848.18539571491033</v>
      </c>
      <c r="AS188" s="67">
        <f t="shared" si="68"/>
        <v>819.55121322739967</v>
      </c>
      <c r="AT188" s="67">
        <f t="shared" si="68"/>
        <v>869.50332173362847</v>
      </c>
      <c r="AU188" s="67">
        <f t="shared" si="68"/>
        <v>849.39933719966848</v>
      </c>
      <c r="AV188" s="67">
        <f t="shared" si="68"/>
        <v>853.95653956539559</v>
      </c>
      <c r="AW188" s="67">
        <f t="shared" si="68"/>
        <v>939.12955053894655</v>
      </c>
      <c r="AX188" s="67">
        <f t="shared" si="68"/>
        <v>915.67</v>
      </c>
      <c r="AY188" s="67">
        <f t="shared" si="68"/>
        <v>910.69262375269022</v>
      </c>
      <c r="AZ188" s="67">
        <f t="shared" si="68"/>
        <v>939.28537124195554</v>
      </c>
      <c r="BA188" s="67">
        <f t="shared" si="68"/>
        <v>939.74589930785999</v>
      </c>
      <c r="BB188" s="67">
        <f t="shared" si="68"/>
        <v>691.39138405132906</v>
      </c>
      <c r="BC188" s="67">
        <f t="shared" si="68"/>
        <v>652.6599845797997</v>
      </c>
      <c r="BD188" s="67">
        <f t="shared" si="68"/>
        <v>634.88162529696081</v>
      </c>
      <c r="BE188" s="67">
        <f t="shared" si="68"/>
        <v>636.37596744594271</v>
      </c>
      <c r="BF188" s="67">
        <f t="shared" si="68"/>
        <v>578.38850718301057</v>
      </c>
      <c r="BG188" s="67">
        <f t="shared" si="68"/>
        <v>550.71133547498857</v>
      </c>
      <c r="BH188" s="67">
        <f t="shared" si="68"/>
        <v>141.65519351384427</v>
      </c>
    </row>
    <row r="189" spans="1:60" s="67" customFormat="1" x14ac:dyDescent="0.25">
      <c r="A189" s="67" t="str">
        <f t="shared" ref="A189:E189" si="70">A14</f>
        <v>NSF</v>
      </c>
      <c r="B189" s="67" t="str">
        <f t="shared" si="70"/>
        <v>R&amp;RA</v>
      </c>
      <c r="C189" s="67" t="str">
        <f t="shared" si="70"/>
        <v>ASTRO</v>
      </c>
      <c r="D189" s="67" t="str">
        <f t="shared" si="70"/>
        <v>Steady</v>
      </c>
      <c r="E189" s="67" t="str">
        <f t="shared" si="70"/>
        <v>Subprograms</v>
      </c>
      <c r="F189" s="67" t="s">
        <v>90</v>
      </c>
      <c r="H189" s="67" t="str">
        <f t="shared" si="56"/>
        <v>Directorate f Astronomical, Atmospheric, Earth and Ocean Sciences</v>
      </c>
      <c r="I189" s="67">
        <f t="shared" si="57"/>
        <v>0</v>
      </c>
      <c r="J189" s="67">
        <f t="shared" si="68"/>
        <v>763.99095337508697</v>
      </c>
      <c r="K189" s="67">
        <f t="shared" si="68"/>
        <v>610.73977936404935</v>
      </c>
      <c r="L189" s="67">
        <f t="shared" si="68"/>
        <v>643.29887503800535</v>
      </c>
      <c r="M189" s="67">
        <f t="shared" si="68"/>
        <v>628.16596343178617</v>
      </c>
      <c r="N189" s="67">
        <f t="shared" si="68"/>
        <v>562.86675291073743</v>
      </c>
      <c r="O189" s="67">
        <f t="shared" si="68"/>
        <v>556.76484448633369</v>
      </c>
      <c r="P189" s="67">
        <f t="shared" si="68"/>
        <v>528.42696629213481</v>
      </c>
      <c r="Q189" s="67">
        <f t="shared" si="68"/>
        <v>594.95250158328054</v>
      </c>
      <c r="R189" s="67">
        <f t="shared" si="68"/>
        <v>668.53270837578964</v>
      </c>
      <c r="S189" s="67">
        <f t="shared" si="68"/>
        <v>499.92112009465586</v>
      </c>
      <c r="T189" s="67">
        <f t="shared" si="68"/>
        <v>0</v>
      </c>
      <c r="U189" s="67">
        <f t="shared" si="68"/>
        <v>0</v>
      </c>
      <c r="V189" s="67">
        <f t="shared" si="68"/>
        <v>0</v>
      </c>
      <c r="W189" s="67">
        <f t="shared" si="68"/>
        <v>0</v>
      </c>
      <c r="X189" s="67">
        <f t="shared" si="68"/>
        <v>0</v>
      </c>
      <c r="Y189" s="67">
        <f t="shared" si="68"/>
        <v>0</v>
      </c>
      <c r="Z189" s="67">
        <f t="shared" si="68"/>
        <v>0</v>
      </c>
      <c r="AA189" s="67">
        <f t="shared" si="68"/>
        <v>0</v>
      </c>
      <c r="AB189" s="67">
        <f t="shared" si="68"/>
        <v>0</v>
      </c>
      <c r="AC189" s="67">
        <f t="shared" si="68"/>
        <v>0</v>
      </c>
      <c r="AD189" s="67">
        <f t="shared" si="68"/>
        <v>0</v>
      </c>
      <c r="AE189" s="67">
        <f t="shared" si="68"/>
        <v>0</v>
      </c>
      <c r="AF189" s="67">
        <f t="shared" si="68"/>
        <v>0</v>
      </c>
      <c r="AG189" s="67">
        <f t="shared" si="68"/>
        <v>0</v>
      </c>
      <c r="AH189" s="67">
        <f t="shared" si="68"/>
        <v>0</v>
      </c>
      <c r="AI189" s="67">
        <f t="shared" si="68"/>
        <v>0</v>
      </c>
      <c r="AJ189" s="67">
        <f t="shared" si="68"/>
        <v>0</v>
      </c>
      <c r="AK189" s="67">
        <f t="shared" si="68"/>
        <v>0</v>
      </c>
      <c r="AL189" s="67">
        <f t="shared" si="68"/>
        <v>0</v>
      </c>
      <c r="AM189" s="67">
        <f t="shared" si="68"/>
        <v>0</v>
      </c>
      <c r="AN189" s="67">
        <f t="shared" si="68"/>
        <v>0</v>
      </c>
      <c r="AO189" s="67">
        <f t="shared" si="68"/>
        <v>0</v>
      </c>
      <c r="AP189" s="67">
        <f t="shared" si="68"/>
        <v>0</v>
      </c>
      <c r="AQ189" s="67">
        <f t="shared" si="68"/>
        <v>0</v>
      </c>
      <c r="AR189" s="67">
        <f t="shared" si="68"/>
        <v>0</v>
      </c>
      <c r="AS189" s="67">
        <f t="shared" si="68"/>
        <v>0</v>
      </c>
      <c r="AT189" s="67">
        <f t="shared" si="68"/>
        <v>0</v>
      </c>
      <c r="AU189" s="67">
        <f t="shared" si="68"/>
        <v>0</v>
      </c>
      <c r="AV189" s="67">
        <f t="shared" si="68"/>
        <v>0</v>
      </c>
      <c r="AW189" s="67">
        <f t="shared" si="68"/>
        <v>0</v>
      </c>
      <c r="AX189" s="67">
        <f t="shared" si="68"/>
        <v>0</v>
      </c>
      <c r="AY189" s="67">
        <f t="shared" si="68"/>
        <v>0</v>
      </c>
      <c r="AZ189" s="67">
        <f t="shared" si="68"/>
        <v>0</v>
      </c>
      <c r="BA189" s="67">
        <f t="shared" si="68"/>
        <v>0</v>
      </c>
      <c r="BB189" s="67">
        <f t="shared" si="68"/>
        <v>0</v>
      </c>
      <c r="BC189" s="67">
        <f t="shared" si="68"/>
        <v>0</v>
      </c>
      <c r="BD189" s="67">
        <f t="shared" si="68"/>
        <v>0</v>
      </c>
      <c r="BE189" s="67">
        <f t="shared" si="68"/>
        <v>0</v>
      </c>
      <c r="BF189" s="67">
        <f t="shared" si="68"/>
        <v>0</v>
      </c>
      <c r="BG189" s="67">
        <f t="shared" si="68"/>
        <v>0</v>
      </c>
      <c r="BH189" s="67">
        <f t="shared" si="68"/>
        <v>0</v>
      </c>
    </row>
    <row r="190" spans="1:60" s="67" customFormat="1" x14ac:dyDescent="0.25">
      <c r="A190" s="67" t="str">
        <f t="shared" ref="A190:E190" si="71">A15</f>
        <v>NSF</v>
      </c>
      <c r="B190" s="67" t="str">
        <f t="shared" si="71"/>
        <v>R&amp;RA</v>
      </c>
      <c r="C190" s="67" t="str">
        <f t="shared" si="71"/>
        <v>GEO</v>
      </c>
      <c r="D190" s="67" t="str">
        <f t="shared" si="71"/>
        <v>Steady</v>
      </c>
      <c r="E190" s="67" t="str">
        <f t="shared" si="71"/>
        <v>Subprograms</v>
      </c>
      <c r="F190" s="67" t="s">
        <v>90</v>
      </c>
      <c r="H190" s="67" t="str">
        <f t="shared" si="56"/>
        <v>Directorate for Geosciences</v>
      </c>
      <c r="I190" s="67">
        <f t="shared" si="57"/>
        <v>0</v>
      </c>
      <c r="J190" s="67">
        <f t="shared" si="68"/>
        <v>0</v>
      </c>
      <c r="K190" s="67">
        <f t="shared" si="68"/>
        <v>0</v>
      </c>
      <c r="L190" s="67">
        <f t="shared" si="68"/>
        <v>0</v>
      </c>
      <c r="M190" s="67">
        <f t="shared" si="68"/>
        <v>0</v>
      </c>
      <c r="N190" s="67">
        <f t="shared" si="68"/>
        <v>0</v>
      </c>
      <c r="O190" s="67">
        <f t="shared" si="68"/>
        <v>0</v>
      </c>
      <c r="P190" s="67">
        <f t="shared" si="68"/>
        <v>0</v>
      </c>
      <c r="Q190" s="67">
        <f t="shared" si="68"/>
        <v>0</v>
      </c>
      <c r="R190" s="67">
        <f t="shared" si="68"/>
        <v>0</v>
      </c>
      <c r="S190" s="67">
        <f t="shared" si="68"/>
        <v>0</v>
      </c>
      <c r="T190" s="67">
        <f t="shared" si="68"/>
        <v>514.68852459016398</v>
      </c>
      <c r="U190" s="67">
        <f t="shared" si="68"/>
        <v>538.03056027164678</v>
      </c>
      <c r="V190" s="67">
        <f t="shared" si="68"/>
        <v>531.06157500456789</v>
      </c>
      <c r="W190" s="67">
        <f t="shared" si="68"/>
        <v>544.27467509659289</v>
      </c>
      <c r="X190" s="67">
        <f t="shared" si="68"/>
        <v>550.66079295154191</v>
      </c>
      <c r="Y190" s="67">
        <f t="shared" si="68"/>
        <v>601.52134794699816</v>
      </c>
      <c r="Z190" s="67">
        <f t="shared" si="68"/>
        <v>607.77210341525688</v>
      </c>
      <c r="AA190" s="67">
        <f t="shared" si="68"/>
        <v>595.04132231404969</v>
      </c>
      <c r="AB190" s="67">
        <f t="shared" si="68"/>
        <v>616.7556844193499</v>
      </c>
      <c r="AC190" s="67">
        <f t="shared" si="68"/>
        <v>627.04124327555292</v>
      </c>
      <c r="AD190" s="67">
        <f t="shared" si="68"/>
        <v>622.60780287474336</v>
      </c>
      <c r="AE190" s="67">
        <f t="shared" si="68"/>
        <v>640.330018734688</v>
      </c>
      <c r="AF190" s="67">
        <f t="shared" si="68"/>
        <v>623.43153999430695</v>
      </c>
      <c r="AG190" s="67">
        <f t="shared" si="68"/>
        <v>672.03430338816247</v>
      </c>
      <c r="AH190" s="67">
        <f t="shared" si="68"/>
        <v>671.58931276683654</v>
      </c>
      <c r="AI190" s="67">
        <f t="shared" si="68"/>
        <v>757.83649320962741</v>
      </c>
      <c r="AJ190" s="67">
        <f t="shared" si="68"/>
        <v>806.92348424675663</v>
      </c>
      <c r="AK190" s="67">
        <f t="shared" si="68"/>
        <v>877.1903131735769</v>
      </c>
      <c r="AL190" s="67">
        <f t="shared" si="68"/>
        <v>877.82699643164756</v>
      </c>
      <c r="AM190" s="67">
        <f t="shared" si="68"/>
        <v>830.85448695030391</v>
      </c>
      <c r="AN190" s="67">
        <f t="shared" si="68"/>
        <v>816.45789839944337</v>
      </c>
      <c r="AO190" s="67">
        <f t="shared" si="68"/>
        <v>847.46051585047155</v>
      </c>
      <c r="AP190" s="67">
        <f t="shared" si="68"/>
        <v>852.40130469013604</v>
      </c>
      <c r="AQ190" s="67">
        <f t="shared" si="68"/>
        <v>901.57225691347003</v>
      </c>
      <c r="AR190" s="67">
        <f t="shared" si="68"/>
        <v>974.93441189331008</v>
      </c>
      <c r="AS190" s="67">
        <f t="shared" si="68"/>
        <v>950.52608975735461</v>
      </c>
      <c r="AT190" s="67">
        <f t="shared" si="68"/>
        <v>1393.4092586734155</v>
      </c>
      <c r="AU190" s="67">
        <f t="shared" si="68"/>
        <v>1319.1487158243579</v>
      </c>
      <c r="AV190" s="67">
        <f t="shared" si="68"/>
        <v>1354.3767937679377</v>
      </c>
      <c r="AW190" s="67">
        <f t="shared" si="68"/>
        <v>1341.3056741915802</v>
      </c>
      <c r="AX190" s="67">
        <f t="shared" si="68"/>
        <v>1325.38</v>
      </c>
      <c r="AY190" s="67">
        <f t="shared" si="68"/>
        <v>807.68929759342598</v>
      </c>
      <c r="AZ190" s="67">
        <f t="shared" si="68"/>
        <v>871.96234751704935</v>
      </c>
      <c r="BA190" s="67">
        <f t="shared" si="68"/>
        <v>919.58850858063909</v>
      </c>
      <c r="BB190" s="67">
        <f t="shared" si="68"/>
        <v>910.83409715857022</v>
      </c>
      <c r="BC190" s="67">
        <f t="shared" si="68"/>
        <v>860.32725092092858</v>
      </c>
      <c r="BD190" s="67">
        <f t="shared" si="68"/>
        <v>848.69337265503407</v>
      </c>
      <c r="BE190" s="67">
        <f t="shared" si="68"/>
        <v>840.31756163727755</v>
      </c>
      <c r="BF190" s="67">
        <f t="shared" si="68"/>
        <v>1231.3241723922549</v>
      </c>
      <c r="BG190" s="67">
        <f t="shared" si="68"/>
        <v>723.57350466574883</v>
      </c>
      <c r="BH190" s="67">
        <f t="shared" si="68"/>
        <v>668.17347407067473</v>
      </c>
    </row>
    <row r="191" spans="1:60" s="67" customFormat="1" x14ac:dyDescent="0.25">
      <c r="A191" s="67" t="str">
        <f t="shared" ref="A191:E191" si="72">A16</f>
        <v>NSF</v>
      </c>
      <c r="B191" s="67" t="str">
        <f t="shared" si="72"/>
        <v>R&amp;RA</v>
      </c>
      <c r="C191" s="67" t="str">
        <f t="shared" si="72"/>
        <v>MPS</v>
      </c>
      <c r="D191" s="67" t="str">
        <f t="shared" si="72"/>
        <v>Steady</v>
      </c>
      <c r="E191" s="67" t="str">
        <f t="shared" si="72"/>
        <v>Subprograms</v>
      </c>
      <c r="F191" s="67" t="s">
        <v>90</v>
      </c>
      <c r="H191" s="67" t="str">
        <f t="shared" si="56"/>
        <v>Directorate for Mathematical and Physical Sciences</v>
      </c>
      <c r="I191" s="67">
        <f t="shared" si="57"/>
        <v>0</v>
      </c>
      <c r="J191" s="67">
        <f t="shared" si="68"/>
        <v>668.98051496172582</v>
      </c>
      <c r="K191" s="67">
        <f t="shared" si="68"/>
        <v>728.16028552887747</v>
      </c>
      <c r="L191" s="67">
        <f t="shared" si="68"/>
        <v>755.50927333536026</v>
      </c>
      <c r="M191" s="67">
        <f t="shared" si="68"/>
        <v>615.55555555555566</v>
      </c>
      <c r="N191" s="67">
        <f t="shared" si="68"/>
        <v>585.60155239327298</v>
      </c>
      <c r="O191" s="67">
        <f t="shared" si="68"/>
        <v>604.34495758718185</v>
      </c>
      <c r="P191" s="67">
        <f t="shared" si="68"/>
        <v>601.10817360652129</v>
      </c>
      <c r="Q191" s="67">
        <f t="shared" si="68"/>
        <v>634.23263668988807</v>
      </c>
      <c r="R191" s="67">
        <f t="shared" si="68"/>
        <v>721.71591603831257</v>
      </c>
      <c r="S191" s="67">
        <f t="shared" si="68"/>
        <v>783.25379609544461</v>
      </c>
      <c r="T191" s="67">
        <f t="shared" si="68"/>
        <v>839.55641272902608</v>
      </c>
      <c r="U191" s="67">
        <f t="shared" si="68"/>
        <v>876.55159403886057</v>
      </c>
      <c r="V191" s="67">
        <f t="shared" si="68"/>
        <v>862.47030878859846</v>
      </c>
      <c r="W191" s="67">
        <f t="shared" si="68"/>
        <v>884.79100807867928</v>
      </c>
      <c r="X191" s="67">
        <f t="shared" si="68"/>
        <v>878.51575737038297</v>
      </c>
      <c r="Y191" s="67">
        <f t="shared" si="68"/>
        <v>1036.6922951087847</v>
      </c>
      <c r="Z191" s="67">
        <f t="shared" si="68"/>
        <v>993.18544526013409</v>
      </c>
      <c r="AA191" s="67">
        <f t="shared" si="68"/>
        <v>913.55060034305325</v>
      </c>
      <c r="AB191" s="67">
        <f t="shared" si="68"/>
        <v>942.89638333587675</v>
      </c>
      <c r="AC191" s="67">
        <f t="shared" si="68"/>
        <v>964.19904363419005</v>
      </c>
      <c r="AD191" s="67">
        <f t="shared" si="68"/>
        <v>968.77383396890593</v>
      </c>
      <c r="AE191" s="67">
        <f t="shared" si="68"/>
        <v>999.35581495892779</v>
      </c>
      <c r="AF191" s="67">
        <f t="shared" si="68"/>
        <v>978.14118986621111</v>
      </c>
      <c r="AG191" s="67">
        <f t="shared" si="68"/>
        <v>1031.4241529593701</v>
      </c>
      <c r="AH191" s="67">
        <f t="shared" si="68"/>
        <v>1041.0150117063765</v>
      </c>
      <c r="AI191" s="67">
        <f t="shared" si="68"/>
        <v>1148.4160279682667</v>
      </c>
      <c r="AJ191" s="67">
        <f t="shared" si="68"/>
        <v>1218.453799311623</v>
      </c>
      <c r="AK191" s="67">
        <f t="shared" si="68"/>
        <v>1319.5131228604034</v>
      </c>
      <c r="AL191" s="67">
        <f t="shared" si="68"/>
        <v>1343.1647594438291</v>
      </c>
      <c r="AM191" s="67">
        <f t="shared" si="68"/>
        <v>1274.4130616136335</v>
      </c>
      <c r="AN191" s="67">
        <f t="shared" si="68"/>
        <v>1260.2760380422176</v>
      </c>
      <c r="AO191" s="67">
        <f t="shared" si="68"/>
        <v>1307.4991478241109</v>
      </c>
      <c r="AP191" s="67">
        <f t="shared" si="68"/>
        <v>1317.2084130019123</v>
      </c>
      <c r="AQ191" s="67">
        <f t="shared" si="68"/>
        <v>1387.0205173951829</v>
      </c>
      <c r="AR191" s="67">
        <f t="shared" si="68"/>
        <v>1495.3541757761261</v>
      </c>
      <c r="AS191" s="67">
        <f t="shared" si="68"/>
        <v>1409.0831007086108</v>
      </c>
      <c r="AT191" s="67">
        <f t="shared" si="68"/>
        <v>1380.0485078561637</v>
      </c>
      <c r="AU191" s="67">
        <f t="shared" si="68"/>
        <v>1293.8483844241921</v>
      </c>
      <c r="AV191" s="67">
        <f t="shared" si="68"/>
        <v>1299.5694956949571</v>
      </c>
      <c r="AW191" s="67">
        <f t="shared" si="68"/>
        <v>1399.5525727069353</v>
      </c>
      <c r="AX191" s="67">
        <f t="shared" si="68"/>
        <v>1348.7800000000002</v>
      </c>
      <c r="AY191" s="67">
        <f t="shared" si="68"/>
        <v>1332.8409313245941</v>
      </c>
      <c r="AZ191" s="67">
        <f t="shared" si="68"/>
        <v>1444.0687734127366</v>
      </c>
      <c r="BA191" s="67">
        <f t="shared" si="68"/>
        <v>1413.3023608609083</v>
      </c>
      <c r="BB191" s="67">
        <f t="shared" si="68"/>
        <v>1402.4912923923007</v>
      </c>
      <c r="BC191" s="67">
        <f t="shared" si="68"/>
        <v>1353.9621348410863</v>
      </c>
      <c r="BD191" s="67">
        <f t="shared" si="68"/>
        <v>1323.0113869091506</v>
      </c>
      <c r="BE191" s="67">
        <f t="shared" si="68"/>
        <v>1324.4634165802281</v>
      </c>
      <c r="BF191" s="67">
        <f t="shared" si="68"/>
        <v>1213.4681449094317</v>
      </c>
      <c r="BG191" s="67">
        <f t="shared" si="68"/>
        <v>1152.6694202233441</v>
      </c>
      <c r="BH191" s="67">
        <f t="shared" si="68"/>
        <v>394.12574575493346</v>
      </c>
    </row>
    <row r="192" spans="1:60" s="67" customFormat="1" x14ac:dyDescent="0.25">
      <c r="A192" s="67" t="str">
        <f t="shared" ref="A192:E192" si="73">A17</f>
        <v>NSF</v>
      </c>
      <c r="B192" s="67" t="str">
        <f t="shared" si="73"/>
        <v>R&amp;RA</v>
      </c>
      <c r="C192" s="67" t="str">
        <f t="shared" si="73"/>
        <v>SBE</v>
      </c>
      <c r="D192" s="67" t="str">
        <f t="shared" si="73"/>
        <v>Steady</v>
      </c>
      <c r="E192" s="67" t="str">
        <f t="shared" si="73"/>
        <v>Subprograms</v>
      </c>
      <c r="F192" s="67" t="s">
        <v>90</v>
      </c>
      <c r="H192" s="67" t="str">
        <f t="shared" si="56"/>
        <v>Directorate for Social, Behavioral and Economic Sciences</v>
      </c>
      <c r="I192" s="67">
        <f t="shared" si="57"/>
        <v>0</v>
      </c>
      <c r="J192" s="67">
        <f t="shared" si="68"/>
        <v>0</v>
      </c>
      <c r="K192" s="67">
        <f t="shared" si="68"/>
        <v>0</v>
      </c>
      <c r="L192" s="67">
        <f t="shared" si="68"/>
        <v>0</v>
      </c>
      <c r="M192" s="67">
        <f t="shared" si="68"/>
        <v>0</v>
      </c>
      <c r="N192" s="67">
        <f t="shared" si="68"/>
        <v>0</v>
      </c>
      <c r="O192" s="67">
        <f t="shared" si="68"/>
        <v>0</v>
      </c>
      <c r="P192" s="67">
        <f t="shared" si="68"/>
        <v>0</v>
      </c>
      <c r="Q192" s="67">
        <f t="shared" si="68"/>
        <v>0</v>
      </c>
      <c r="R192" s="67">
        <f t="shared" si="68"/>
        <v>0</v>
      </c>
      <c r="S192" s="67">
        <f t="shared" si="68"/>
        <v>0</v>
      </c>
      <c r="T192" s="67">
        <f t="shared" si="68"/>
        <v>0</v>
      </c>
      <c r="U192" s="67">
        <f t="shared" si="68"/>
        <v>0</v>
      </c>
      <c r="V192" s="67">
        <f t="shared" si="68"/>
        <v>0</v>
      </c>
      <c r="W192" s="67">
        <f t="shared" si="68"/>
        <v>0</v>
      </c>
      <c r="X192" s="67">
        <f t="shared" si="68"/>
        <v>0</v>
      </c>
      <c r="Y192" s="67">
        <f t="shared" ref="J192:BH197" si="74">Y17/Y$175</f>
        <v>129.59267135612629</v>
      </c>
      <c r="Z192" s="67">
        <f t="shared" si="74"/>
        <v>137.23268432812</v>
      </c>
      <c r="AA192" s="67">
        <f t="shared" si="74"/>
        <v>141.38468735381258</v>
      </c>
      <c r="AB192" s="67">
        <f t="shared" si="74"/>
        <v>149.87028841751868</v>
      </c>
      <c r="AC192" s="67">
        <f t="shared" si="74"/>
        <v>164.91781231320979</v>
      </c>
      <c r="AD192" s="67">
        <f t="shared" si="74"/>
        <v>174.99706658844238</v>
      </c>
      <c r="AE192" s="67">
        <f t="shared" si="74"/>
        <v>176.70269491281167</v>
      </c>
      <c r="AF192" s="67">
        <f t="shared" si="74"/>
        <v>180.15798462852263</v>
      </c>
      <c r="AG192" s="67">
        <f t="shared" si="74"/>
        <v>199.68367777309152</v>
      </c>
      <c r="AH192" s="67">
        <f t="shared" si="74"/>
        <v>223.26676766285638</v>
      </c>
      <c r="AI192" s="67">
        <f t="shared" si="74"/>
        <v>238.30038994218097</v>
      </c>
      <c r="AJ192" s="67">
        <f t="shared" si="74"/>
        <v>243.53984643897275</v>
      </c>
      <c r="AK192" s="67">
        <f t="shared" si="74"/>
        <v>251.80677063522253</v>
      </c>
      <c r="AL192" s="67">
        <f t="shared" si="74"/>
        <v>226.7749477051803</v>
      </c>
      <c r="AM192" s="67">
        <f t="shared" si="74"/>
        <v>234.53700393278515</v>
      </c>
      <c r="AN192" s="67">
        <f t="shared" si="74"/>
        <v>233.39132451867317</v>
      </c>
      <c r="AO192" s="67">
        <f t="shared" si="74"/>
        <v>243.76775366435632</v>
      </c>
      <c r="AP192" s="67">
        <f t="shared" si="74"/>
        <v>256.29288044089532</v>
      </c>
      <c r="AQ192" s="67">
        <f t="shared" si="74"/>
        <v>268.24264049955394</v>
      </c>
      <c r="AR192" s="67">
        <f t="shared" si="74"/>
        <v>279.08832531700921</v>
      </c>
      <c r="AS192" s="67">
        <f t="shared" si="74"/>
        <v>265.54648915610909</v>
      </c>
      <c r="AT192" s="67">
        <f t="shared" si="74"/>
        <v>268.04808604871874</v>
      </c>
      <c r="AU192" s="67">
        <f t="shared" si="74"/>
        <v>251.26346313173158</v>
      </c>
      <c r="AV192" s="67">
        <f t="shared" si="74"/>
        <v>263.26363263632635</v>
      </c>
      <c r="AW192" s="67">
        <f t="shared" si="74"/>
        <v>280.85214561724626</v>
      </c>
      <c r="AX192" s="67">
        <f t="shared" si="74"/>
        <v>272.19</v>
      </c>
      <c r="AY192" s="67">
        <f t="shared" si="74"/>
        <v>265.00684797495597</v>
      </c>
      <c r="AZ192" s="67">
        <f t="shared" si="74"/>
        <v>240.7837863797906</v>
      </c>
      <c r="BA192" s="67">
        <f t="shared" si="74"/>
        <v>257.10628614771974</v>
      </c>
      <c r="BB192" s="67">
        <f t="shared" si="74"/>
        <v>256.96241979835014</v>
      </c>
      <c r="BC192" s="67">
        <f t="shared" si="74"/>
        <v>241.63454124903623</v>
      </c>
      <c r="BD192" s="67">
        <f t="shared" si="74"/>
        <v>234.29179978700748</v>
      </c>
      <c r="BE192" s="67">
        <f t="shared" si="74"/>
        <v>246.59698396233941</v>
      </c>
      <c r="BF192" s="67">
        <f t="shared" si="74"/>
        <v>226.64740787008122</v>
      </c>
      <c r="BG192" s="67">
        <f t="shared" si="74"/>
        <v>156.79975523940647</v>
      </c>
      <c r="BH192" s="67">
        <f t="shared" si="74"/>
        <v>71.898424353679061</v>
      </c>
    </row>
    <row r="193" spans="1:60" s="67" customFormat="1" x14ac:dyDescent="0.25">
      <c r="A193" s="67" t="str">
        <f t="shared" ref="A193:E193" si="75">A18</f>
        <v>NSF</v>
      </c>
      <c r="B193" s="67" t="str">
        <f t="shared" si="75"/>
        <v>R&amp;RA</v>
      </c>
      <c r="C193" s="67" t="str">
        <f t="shared" si="75"/>
        <v>OISE</v>
      </c>
      <c r="D193" s="67" t="str">
        <f t="shared" si="75"/>
        <v>Steady</v>
      </c>
      <c r="E193" s="67" t="str">
        <f t="shared" si="75"/>
        <v>Subprograms</v>
      </c>
      <c r="F193" s="67" t="s">
        <v>90</v>
      </c>
      <c r="H193" s="67" t="str">
        <f t="shared" si="56"/>
        <v>Office of International Science and Engineering</v>
      </c>
      <c r="I193" s="67">
        <f t="shared" si="57"/>
        <v>0</v>
      </c>
      <c r="J193" s="67">
        <f t="shared" si="74"/>
        <v>0</v>
      </c>
      <c r="K193" s="67">
        <f t="shared" si="74"/>
        <v>0</v>
      </c>
      <c r="L193" s="67">
        <f t="shared" si="74"/>
        <v>0</v>
      </c>
      <c r="M193" s="67">
        <f t="shared" si="74"/>
        <v>0</v>
      </c>
      <c r="N193" s="67">
        <f t="shared" si="74"/>
        <v>0</v>
      </c>
      <c r="O193" s="67">
        <f t="shared" si="74"/>
        <v>0</v>
      </c>
      <c r="P193" s="67">
        <f t="shared" si="74"/>
        <v>0</v>
      </c>
      <c r="Q193" s="67">
        <f t="shared" si="74"/>
        <v>0</v>
      </c>
      <c r="R193" s="67">
        <f t="shared" si="74"/>
        <v>0</v>
      </c>
      <c r="S193" s="67">
        <f t="shared" si="74"/>
        <v>0</v>
      </c>
      <c r="T193" s="67">
        <f t="shared" si="74"/>
        <v>0</v>
      </c>
      <c r="U193" s="67">
        <f t="shared" si="74"/>
        <v>0</v>
      </c>
      <c r="V193" s="67">
        <f t="shared" si="74"/>
        <v>0</v>
      </c>
      <c r="W193" s="67">
        <f t="shared" si="74"/>
        <v>0</v>
      </c>
      <c r="X193" s="67">
        <f t="shared" si="74"/>
        <v>0</v>
      </c>
      <c r="Y193" s="67">
        <f t="shared" si="74"/>
        <v>0</v>
      </c>
      <c r="Z193" s="67">
        <f t="shared" si="74"/>
        <v>0</v>
      </c>
      <c r="AA193" s="67">
        <f t="shared" si="74"/>
        <v>0</v>
      </c>
      <c r="AB193" s="67">
        <f t="shared" si="74"/>
        <v>0</v>
      </c>
      <c r="AC193" s="67">
        <f t="shared" si="74"/>
        <v>0</v>
      </c>
      <c r="AD193" s="67">
        <f t="shared" si="74"/>
        <v>0</v>
      </c>
      <c r="AE193" s="67">
        <f t="shared" si="74"/>
        <v>0</v>
      </c>
      <c r="AF193" s="67">
        <f t="shared" si="74"/>
        <v>0</v>
      </c>
      <c r="AG193" s="67">
        <f t="shared" si="74"/>
        <v>0</v>
      </c>
      <c r="AH193" s="67">
        <f t="shared" si="74"/>
        <v>0</v>
      </c>
      <c r="AI193" s="67">
        <f t="shared" si="74"/>
        <v>0</v>
      </c>
      <c r="AJ193" s="67">
        <f t="shared" si="74"/>
        <v>0</v>
      </c>
      <c r="AK193" s="67">
        <f t="shared" si="74"/>
        <v>50.678331431469509</v>
      </c>
      <c r="AL193" s="67">
        <f t="shared" si="74"/>
        <v>50.239940937615359</v>
      </c>
      <c r="AM193" s="67">
        <f t="shared" si="74"/>
        <v>51.698248122988922</v>
      </c>
      <c r="AN193" s="67">
        <f t="shared" si="74"/>
        <v>49.420088146601721</v>
      </c>
      <c r="AO193" s="67">
        <f t="shared" si="74"/>
        <v>45.858425178956935</v>
      </c>
      <c r="AP193" s="67">
        <f t="shared" si="74"/>
        <v>53.728489483747616</v>
      </c>
      <c r="AQ193" s="67">
        <f t="shared" si="74"/>
        <v>52.910347903657453</v>
      </c>
      <c r="AR193" s="67">
        <f t="shared" si="74"/>
        <v>52.295583734149545</v>
      </c>
      <c r="AS193" s="67">
        <f t="shared" si="74"/>
        <v>52.641185312432896</v>
      </c>
      <c r="AT193" s="67">
        <f t="shared" si="74"/>
        <v>0</v>
      </c>
      <c r="AU193" s="67">
        <f t="shared" si="74"/>
        <v>0</v>
      </c>
      <c r="AV193" s="67">
        <f t="shared" si="74"/>
        <v>0</v>
      </c>
      <c r="AW193" s="67">
        <f t="shared" si="74"/>
        <v>0</v>
      </c>
      <c r="AX193" s="67">
        <f t="shared" si="74"/>
        <v>0</v>
      </c>
      <c r="AY193" s="67">
        <f t="shared" si="74"/>
        <v>0</v>
      </c>
      <c r="AZ193" s="67">
        <f t="shared" si="74"/>
        <v>0</v>
      </c>
      <c r="BA193" s="67">
        <f t="shared" si="74"/>
        <v>46.458708637527259</v>
      </c>
      <c r="BB193" s="67">
        <f t="shared" si="74"/>
        <v>46.781851512373969</v>
      </c>
      <c r="BC193" s="67">
        <f t="shared" si="74"/>
        <v>43.964704874496704</v>
      </c>
      <c r="BD193" s="67">
        <f t="shared" si="74"/>
        <v>44.236913246497913</v>
      </c>
      <c r="BE193" s="67">
        <f t="shared" si="74"/>
        <v>54.256762147929464</v>
      </c>
      <c r="BF193" s="67">
        <f t="shared" si="74"/>
        <v>49.734540911930047</v>
      </c>
      <c r="BG193" s="67">
        <f t="shared" si="74"/>
        <v>40.538473305797773</v>
      </c>
      <c r="BH193" s="67">
        <f t="shared" si="74"/>
        <v>9.9433991127428492</v>
      </c>
    </row>
    <row r="194" spans="1:60" s="67" customFormat="1" x14ac:dyDescent="0.25">
      <c r="A194" s="67" t="str">
        <f t="shared" ref="A194:E194" si="76">A19</f>
        <v>NSF</v>
      </c>
      <c r="B194" s="67" t="str">
        <f t="shared" si="76"/>
        <v>R&amp;RA</v>
      </c>
      <c r="C194" s="67" t="str">
        <f t="shared" si="76"/>
        <v>TIPS</v>
      </c>
      <c r="D194" s="67" t="str">
        <f t="shared" si="76"/>
        <v>Steady</v>
      </c>
      <c r="E194" s="67" t="str">
        <f t="shared" si="76"/>
        <v>Subprograms</v>
      </c>
      <c r="F194" s="67" t="s">
        <v>90</v>
      </c>
      <c r="H194" s="67" t="str">
        <f t="shared" si="56"/>
        <v>Directorate for Technology, Innovation and Partnerships</v>
      </c>
      <c r="I194" s="67">
        <f t="shared" si="57"/>
        <v>0</v>
      </c>
      <c r="J194" s="67">
        <f t="shared" si="74"/>
        <v>0</v>
      </c>
      <c r="K194" s="67">
        <f t="shared" si="74"/>
        <v>0</v>
      </c>
      <c r="L194" s="67">
        <f t="shared" si="74"/>
        <v>0</v>
      </c>
      <c r="M194" s="67">
        <f t="shared" si="74"/>
        <v>0</v>
      </c>
      <c r="N194" s="67">
        <f t="shared" si="74"/>
        <v>0</v>
      </c>
      <c r="O194" s="67">
        <f t="shared" si="74"/>
        <v>0</v>
      </c>
      <c r="P194" s="67">
        <f t="shared" si="74"/>
        <v>0</v>
      </c>
      <c r="Q194" s="67">
        <f t="shared" si="74"/>
        <v>0</v>
      </c>
      <c r="R194" s="67">
        <f t="shared" si="74"/>
        <v>0</v>
      </c>
      <c r="S194" s="67">
        <f t="shared" si="74"/>
        <v>0</v>
      </c>
      <c r="T194" s="67">
        <f t="shared" si="74"/>
        <v>0</v>
      </c>
      <c r="U194" s="67">
        <f t="shared" si="74"/>
        <v>0</v>
      </c>
      <c r="V194" s="67">
        <f t="shared" si="74"/>
        <v>0</v>
      </c>
      <c r="W194" s="67">
        <f t="shared" si="74"/>
        <v>0</v>
      </c>
      <c r="X194" s="67">
        <f t="shared" si="74"/>
        <v>0</v>
      </c>
      <c r="Y194" s="67">
        <f t="shared" si="74"/>
        <v>0</v>
      </c>
      <c r="Z194" s="67">
        <f t="shared" si="74"/>
        <v>0</v>
      </c>
      <c r="AA194" s="67">
        <f t="shared" si="74"/>
        <v>0</v>
      </c>
      <c r="AB194" s="67">
        <f t="shared" si="74"/>
        <v>0</v>
      </c>
      <c r="AC194" s="67">
        <f t="shared" si="74"/>
        <v>0</v>
      </c>
      <c r="AD194" s="67">
        <f t="shared" si="74"/>
        <v>0</v>
      </c>
      <c r="AE194" s="67">
        <f t="shared" si="74"/>
        <v>0</v>
      </c>
      <c r="AF194" s="67">
        <f t="shared" si="74"/>
        <v>0</v>
      </c>
      <c r="AG194" s="67">
        <f t="shared" si="74"/>
        <v>0</v>
      </c>
      <c r="AH194" s="67">
        <f t="shared" si="74"/>
        <v>0</v>
      </c>
      <c r="AI194" s="67">
        <f t="shared" si="74"/>
        <v>0</v>
      </c>
      <c r="AJ194" s="67">
        <f t="shared" si="74"/>
        <v>0</v>
      </c>
      <c r="AK194" s="67">
        <f t="shared" si="74"/>
        <v>0</v>
      </c>
      <c r="AL194" s="67">
        <f t="shared" si="74"/>
        <v>0</v>
      </c>
      <c r="AM194" s="67">
        <f t="shared" si="74"/>
        <v>0</v>
      </c>
      <c r="AN194" s="67">
        <f t="shared" si="74"/>
        <v>0</v>
      </c>
      <c r="AO194" s="67">
        <f t="shared" si="74"/>
        <v>0</v>
      </c>
      <c r="AP194" s="67">
        <f t="shared" si="74"/>
        <v>0</v>
      </c>
      <c r="AQ194" s="67">
        <f t="shared" si="74"/>
        <v>0</v>
      </c>
      <c r="AR194" s="67">
        <f t="shared" si="74"/>
        <v>0</v>
      </c>
      <c r="AS194" s="67">
        <f t="shared" si="74"/>
        <v>0</v>
      </c>
      <c r="AT194" s="67">
        <f t="shared" si="74"/>
        <v>0</v>
      </c>
      <c r="AU194" s="67">
        <f t="shared" si="74"/>
        <v>0</v>
      </c>
      <c r="AV194" s="67">
        <f t="shared" si="74"/>
        <v>0</v>
      </c>
      <c r="AW194" s="67">
        <f t="shared" si="74"/>
        <v>0</v>
      </c>
      <c r="AX194" s="67">
        <f t="shared" si="74"/>
        <v>0</v>
      </c>
      <c r="AY194" s="67">
        <f t="shared" si="74"/>
        <v>0</v>
      </c>
      <c r="AZ194" s="67">
        <f t="shared" si="74"/>
        <v>240.7837863797906</v>
      </c>
      <c r="BA194" s="67">
        <f t="shared" si="74"/>
        <v>257.10628614771974</v>
      </c>
      <c r="BB194" s="67">
        <f t="shared" si="74"/>
        <v>322.92701099908339</v>
      </c>
      <c r="BC194" s="67">
        <f t="shared" si="74"/>
        <v>316.11410948342331</v>
      </c>
      <c r="BD194" s="67">
        <f t="shared" si="74"/>
        <v>338.33046612599333</v>
      </c>
      <c r="BE194" s="67">
        <f t="shared" si="74"/>
        <v>529.92100853746103</v>
      </c>
      <c r="BF194" s="67">
        <f t="shared" si="74"/>
        <v>482.43285446595877</v>
      </c>
      <c r="BG194" s="67">
        <f t="shared" si="74"/>
        <v>431.3905461220744</v>
      </c>
      <c r="BH194" s="67">
        <f t="shared" si="74"/>
        <v>267.70689918923057</v>
      </c>
    </row>
    <row r="195" spans="1:60" s="67" customFormat="1" x14ac:dyDescent="0.25">
      <c r="A195" s="67" t="str">
        <f t="shared" ref="A195:E195" si="77">A20</f>
        <v>NSF</v>
      </c>
      <c r="B195" s="67" t="str">
        <f t="shared" si="77"/>
        <v>R&amp;RA</v>
      </c>
      <c r="C195" s="67" t="str">
        <f t="shared" si="77"/>
        <v>Integrative Activities</v>
      </c>
      <c r="D195" s="67" t="str">
        <f t="shared" si="77"/>
        <v>Steady</v>
      </c>
      <c r="E195" s="67" t="str">
        <f t="shared" si="77"/>
        <v>Subprograms</v>
      </c>
      <c r="F195" s="67" t="s">
        <v>90</v>
      </c>
      <c r="I195" s="67">
        <f t="shared" si="57"/>
        <v>0</v>
      </c>
      <c r="J195" s="67">
        <f t="shared" si="74"/>
        <v>0</v>
      </c>
      <c r="K195" s="67">
        <f t="shared" si="74"/>
        <v>0</v>
      </c>
      <c r="L195" s="67">
        <f t="shared" si="74"/>
        <v>0</v>
      </c>
      <c r="M195" s="67">
        <f t="shared" si="74"/>
        <v>0</v>
      </c>
      <c r="N195" s="67">
        <f t="shared" si="74"/>
        <v>0</v>
      </c>
      <c r="O195" s="67">
        <f t="shared" si="74"/>
        <v>0</v>
      </c>
      <c r="P195" s="67">
        <f t="shared" si="74"/>
        <v>0</v>
      </c>
      <c r="Q195" s="67">
        <f t="shared" si="74"/>
        <v>0</v>
      </c>
      <c r="R195" s="67">
        <f t="shared" si="74"/>
        <v>0</v>
      </c>
      <c r="S195" s="67">
        <f t="shared" si="74"/>
        <v>0</v>
      </c>
      <c r="T195" s="67">
        <f t="shared" si="74"/>
        <v>0</v>
      </c>
      <c r="U195" s="67">
        <f t="shared" si="74"/>
        <v>0</v>
      </c>
      <c r="V195" s="67">
        <f t="shared" si="74"/>
        <v>0</v>
      </c>
      <c r="W195" s="67">
        <f t="shared" si="74"/>
        <v>0</v>
      </c>
      <c r="X195" s="67">
        <f t="shared" si="74"/>
        <v>0</v>
      </c>
      <c r="Y195" s="67">
        <f t="shared" si="74"/>
        <v>0</v>
      </c>
      <c r="Z195" s="67">
        <f t="shared" si="74"/>
        <v>0</v>
      </c>
      <c r="AA195" s="67">
        <f t="shared" si="74"/>
        <v>0</v>
      </c>
      <c r="AB195" s="67">
        <f t="shared" si="74"/>
        <v>0</v>
      </c>
      <c r="AC195" s="67">
        <f t="shared" si="74"/>
        <v>0</v>
      </c>
      <c r="AD195" s="67">
        <f t="shared" si="74"/>
        <v>0</v>
      </c>
      <c r="AE195" s="67">
        <f t="shared" si="74"/>
        <v>0</v>
      </c>
      <c r="AF195" s="67">
        <f t="shared" si="74"/>
        <v>184.79931682322803</v>
      </c>
      <c r="AG195" s="67">
        <f t="shared" si="74"/>
        <v>227.12076479685081</v>
      </c>
      <c r="AH195" s="67">
        <f t="shared" si="74"/>
        <v>178.00853876876465</v>
      </c>
      <c r="AI195" s="67">
        <f t="shared" si="74"/>
        <v>131.29487696651876</v>
      </c>
      <c r="AJ195" s="67">
        <f t="shared" si="74"/>
        <v>140.00529520783692</v>
      </c>
      <c r="AK195" s="67">
        <f t="shared" si="74"/>
        <v>124.07759604412324</v>
      </c>
      <c r="AL195" s="67">
        <f t="shared" si="74"/>
        <v>201.20585701981054</v>
      </c>
      <c r="AM195" s="67">
        <f t="shared" si="74"/>
        <v>156.02431176260279</v>
      </c>
      <c r="AN195" s="67">
        <f t="shared" si="74"/>
        <v>156.66898631408029</v>
      </c>
      <c r="AO195" s="67">
        <f t="shared" si="74"/>
        <v>133.32575843654129</v>
      </c>
      <c r="AP195" s="67">
        <f t="shared" si="74"/>
        <v>241.23270723203237</v>
      </c>
      <c r="AQ195" s="67">
        <f t="shared" si="74"/>
        <v>269.3800178412132</v>
      </c>
      <c r="AR195" s="67">
        <f t="shared" si="74"/>
        <v>300.49191080017488</v>
      </c>
      <c r="AS195" s="67">
        <f t="shared" si="74"/>
        <v>278.72020614129269</v>
      </c>
      <c r="AT195" s="67">
        <f t="shared" si="74"/>
        <v>420.33111884424761</v>
      </c>
      <c r="AU195" s="67">
        <f t="shared" si="74"/>
        <v>449.75144987572492</v>
      </c>
      <c r="AV195" s="67">
        <f t="shared" si="74"/>
        <v>443.95243952439523</v>
      </c>
      <c r="AW195" s="67">
        <f t="shared" si="74"/>
        <v>434.67561521252793</v>
      </c>
      <c r="AX195" s="67">
        <f t="shared" si="74"/>
        <v>426.57</v>
      </c>
      <c r="AY195" s="67">
        <f t="shared" si="74"/>
        <v>411.14263353551161</v>
      </c>
      <c r="AZ195" s="67">
        <f t="shared" si="74"/>
        <v>452.45413504946697</v>
      </c>
      <c r="BA195" s="67">
        <f t="shared" si="74"/>
        <v>518.93429411206989</v>
      </c>
      <c r="BB195" s="67">
        <f t="shared" si="74"/>
        <v>323.52612282309809</v>
      </c>
      <c r="BC195" s="67">
        <f t="shared" si="74"/>
        <v>451.58913732545187</v>
      </c>
      <c r="BD195" s="67">
        <f t="shared" si="74"/>
        <v>321.94642418284593</v>
      </c>
      <c r="BE195" s="67">
        <f t="shared" si="74"/>
        <v>388.57416420649486</v>
      </c>
      <c r="BF195" s="67">
        <f t="shared" si="74"/>
        <v>335.72767020612122</v>
      </c>
      <c r="BG195" s="67">
        <f t="shared" si="74"/>
        <v>346.48921523634698</v>
      </c>
      <c r="BH195" s="67">
        <f t="shared" si="74"/>
        <v>135.38320330426802</v>
      </c>
    </row>
    <row r="196" spans="1:60" s="67" customFormat="1" x14ac:dyDescent="0.25">
      <c r="A196" s="67" t="str">
        <f t="shared" ref="A196:E196" si="78">A21</f>
        <v>NSF</v>
      </c>
      <c r="B196" s="67" t="str">
        <f t="shared" si="78"/>
        <v>R&amp;RA</v>
      </c>
      <c r="C196" s="67" t="str">
        <f t="shared" si="78"/>
        <v>Arctic Research Commission</v>
      </c>
      <c r="D196" s="67" t="str">
        <f t="shared" si="78"/>
        <v>Steady</v>
      </c>
      <c r="E196" s="67" t="str">
        <f t="shared" si="78"/>
        <v>Subprograms</v>
      </c>
      <c r="F196" s="67" t="s">
        <v>90</v>
      </c>
      <c r="I196" s="67">
        <f t="shared" si="57"/>
        <v>0</v>
      </c>
      <c r="J196" s="67">
        <f t="shared" si="74"/>
        <v>0</v>
      </c>
      <c r="K196" s="67">
        <f t="shared" si="74"/>
        <v>0</v>
      </c>
      <c r="L196" s="67">
        <f t="shared" si="74"/>
        <v>0</v>
      </c>
      <c r="M196" s="67">
        <f t="shared" si="74"/>
        <v>0</v>
      </c>
      <c r="N196" s="67">
        <f t="shared" si="74"/>
        <v>0</v>
      </c>
      <c r="O196" s="67">
        <f t="shared" si="74"/>
        <v>0</v>
      </c>
      <c r="P196" s="67">
        <f t="shared" si="74"/>
        <v>0</v>
      </c>
      <c r="Q196" s="67">
        <f t="shared" si="74"/>
        <v>0</v>
      </c>
      <c r="R196" s="67">
        <f t="shared" si="74"/>
        <v>0</v>
      </c>
      <c r="S196" s="67">
        <f t="shared" si="74"/>
        <v>0</v>
      </c>
      <c r="T196" s="67">
        <f t="shared" si="74"/>
        <v>0</v>
      </c>
      <c r="U196" s="67">
        <f t="shared" si="74"/>
        <v>0</v>
      </c>
      <c r="V196" s="67">
        <f t="shared" si="74"/>
        <v>0</v>
      </c>
      <c r="W196" s="67">
        <f t="shared" si="74"/>
        <v>0</v>
      </c>
      <c r="X196" s="67">
        <f t="shared" si="74"/>
        <v>0</v>
      </c>
      <c r="Y196" s="67">
        <f t="shared" si="74"/>
        <v>0</v>
      </c>
      <c r="Z196" s="67">
        <f t="shared" si="74"/>
        <v>0</v>
      </c>
      <c r="AA196" s="67">
        <f t="shared" si="74"/>
        <v>0</v>
      </c>
      <c r="AB196" s="67">
        <f t="shared" si="74"/>
        <v>0</v>
      </c>
      <c r="AC196" s="67">
        <f t="shared" si="74"/>
        <v>0</v>
      </c>
      <c r="AD196" s="67">
        <f t="shared" si="74"/>
        <v>0</v>
      </c>
      <c r="AE196" s="67">
        <f t="shared" si="74"/>
        <v>0</v>
      </c>
      <c r="AF196" s="67">
        <f t="shared" si="74"/>
        <v>0</v>
      </c>
      <c r="AG196" s="67">
        <f t="shared" si="74"/>
        <v>0</v>
      </c>
      <c r="AH196" s="67">
        <f t="shared" si="74"/>
        <v>0</v>
      </c>
      <c r="AI196" s="67">
        <f t="shared" si="74"/>
        <v>0</v>
      </c>
      <c r="AJ196" s="67">
        <f t="shared" si="74"/>
        <v>0</v>
      </c>
      <c r="AK196" s="67">
        <f t="shared" si="74"/>
        <v>0</v>
      </c>
      <c r="AL196" s="67">
        <f t="shared" si="74"/>
        <v>0</v>
      </c>
      <c r="AM196" s="67">
        <f t="shared" si="74"/>
        <v>1.418186151829341</v>
      </c>
      <c r="AN196" s="67">
        <f t="shared" si="74"/>
        <v>1.3569937369519833</v>
      </c>
      <c r="AO196" s="67">
        <f t="shared" si="74"/>
        <v>1.6475400522667878</v>
      </c>
      <c r="AP196" s="67">
        <f t="shared" si="74"/>
        <v>1.6533573276346867</v>
      </c>
      <c r="AQ196" s="67">
        <f t="shared" si="74"/>
        <v>1.6726137377341659</v>
      </c>
      <c r="AR196" s="67">
        <f t="shared" si="74"/>
        <v>1.7271534761696548</v>
      </c>
      <c r="AS196" s="67">
        <f t="shared" si="74"/>
        <v>1.69637105432682</v>
      </c>
      <c r="AT196" s="67">
        <f t="shared" si="74"/>
        <v>1.5290519877675841</v>
      </c>
      <c r="AU196" s="67">
        <f t="shared" si="74"/>
        <v>1.4395194697597347</v>
      </c>
      <c r="AV196" s="67">
        <f t="shared" si="74"/>
        <v>1.3325133251332513</v>
      </c>
      <c r="AW196" s="67">
        <f t="shared" si="74"/>
        <v>1.4338010982306282</v>
      </c>
      <c r="AX196" s="67">
        <f t="shared" si="74"/>
        <v>1.43</v>
      </c>
      <c r="AY196" s="67">
        <f t="shared" si="74"/>
        <v>1.3989434552925064</v>
      </c>
      <c r="AZ196" s="67">
        <f t="shared" si="74"/>
        <v>1.3735472096820671</v>
      </c>
      <c r="BA196" s="67">
        <f t="shared" si="74"/>
        <v>1.4032426282355173</v>
      </c>
      <c r="BB196" s="67">
        <f t="shared" si="74"/>
        <v>1.4665444546287811</v>
      </c>
      <c r="BC196" s="67">
        <f t="shared" si="74"/>
        <v>1.3706844855649791</v>
      </c>
      <c r="BD196" s="67">
        <f t="shared" si="74"/>
        <v>1.6384041943147376</v>
      </c>
      <c r="BE196" s="67">
        <f t="shared" si="74"/>
        <v>360.64788957153115</v>
      </c>
      <c r="BF196" s="67">
        <f t="shared" si="74"/>
        <v>349.78138663335415</v>
      </c>
      <c r="BG196" s="67">
        <f t="shared" si="74"/>
        <v>342.66483096221509</v>
      </c>
      <c r="BH196" s="67">
        <f t="shared" si="74"/>
        <v>271.5312834633624</v>
      </c>
    </row>
    <row r="197" spans="1:60" s="67" customFormat="1" x14ac:dyDescent="0.25">
      <c r="A197" s="67" t="str">
        <f t="shared" ref="A197:E197" si="79">A22</f>
        <v>NSF</v>
      </c>
      <c r="B197" s="67" t="str">
        <f t="shared" si="79"/>
        <v>R&amp;RA</v>
      </c>
      <c r="C197" s="67" t="str">
        <f t="shared" si="79"/>
        <v>Antartic Program</v>
      </c>
      <c r="D197" s="67" t="str">
        <f t="shared" si="79"/>
        <v>Steady</v>
      </c>
      <c r="E197" s="67" t="str">
        <f t="shared" si="79"/>
        <v>Subprograms</v>
      </c>
      <c r="F197" s="67" t="s">
        <v>90</v>
      </c>
      <c r="I197" s="67">
        <f t="shared" si="57"/>
        <v>0</v>
      </c>
      <c r="J197" s="67">
        <f t="shared" si="74"/>
        <v>0</v>
      </c>
      <c r="K197" s="67">
        <f t="shared" si="74"/>
        <v>146.96625567813109</v>
      </c>
      <c r="L197" s="67">
        <f t="shared" si="74"/>
        <v>147.30009121313469</v>
      </c>
      <c r="M197" s="67">
        <f t="shared" si="74"/>
        <v>143.71589310829819</v>
      </c>
      <c r="N197" s="67">
        <f t="shared" si="74"/>
        <v>144.46571798188873</v>
      </c>
      <c r="O197" s="67">
        <f t="shared" si="74"/>
        <v>158.94203581526861</v>
      </c>
      <c r="P197" s="67">
        <f t="shared" si="74"/>
        <v>150.92531394580303</v>
      </c>
      <c r="Q197" s="67">
        <f t="shared" si="74"/>
        <v>175.63014566181127</v>
      </c>
      <c r="R197" s="67">
        <f t="shared" si="74"/>
        <v>208.79559812512736</v>
      </c>
      <c r="S197" s="67">
        <f t="shared" si="74"/>
        <v>218.69453756655494</v>
      </c>
      <c r="T197" s="67">
        <f t="shared" si="74"/>
        <v>212.61523625843782</v>
      </c>
      <c r="U197" s="67">
        <f t="shared" si="74"/>
        <v>221.24127523108848</v>
      </c>
      <c r="V197" s="67">
        <f t="shared" si="74"/>
        <v>228.06504659236248</v>
      </c>
      <c r="W197" s="67">
        <f t="shared" si="74"/>
        <v>230.48823322795926</v>
      </c>
      <c r="X197" s="67">
        <f t="shared" si="74"/>
        <v>256.64181633344629</v>
      </c>
      <c r="Y197" s="67">
        <f t="shared" ref="J197:BH202" si="80">Y22/Y$175</f>
        <v>286.27515131686573</v>
      </c>
      <c r="Z197" s="67">
        <f t="shared" si="80"/>
        <v>172.35876157037981</v>
      </c>
      <c r="AA197" s="67">
        <f t="shared" si="80"/>
        <v>380.80461562451273</v>
      </c>
      <c r="AB197" s="67">
        <f t="shared" si="80"/>
        <v>339.50862200518844</v>
      </c>
      <c r="AC197" s="67">
        <f t="shared" si="80"/>
        <v>332.70920502092048</v>
      </c>
      <c r="AD197" s="67">
        <f t="shared" si="80"/>
        <v>339.22411264300388</v>
      </c>
      <c r="AE197" s="67">
        <f t="shared" si="80"/>
        <v>323.14454532353363</v>
      </c>
      <c r="AF197" s="67">
        <f t="shared" si="80"/>
        <v>317.40535155138059</v>
      </c>
      <c r="AG197" s="67">
        <f t="shared" si="80"/>
        <v>345.2425137072965</v>
      </c>
      <c r="AH197" s="67">
        <f t="shared" si="80"/>
        <v>355.78432722765467</v>
      </c>
      <c r="AI197" s="67">
        <f t="shared" si="80"/>
        <v>379.56434045986288</v>
      </c>
      <c r="AJ197" s="67">
        <f t="shared" si="80"/>
        <v>398.18639131585917</v>
      </c>
      <c r="AK197" s="67">
        <f t="shared" si="80"/>
        <v>410.75187016609613</v>
      </c>
      <c r="AL197" s="67">
        <f t="shared" si="80"/>
        <v>420.47496000984376</v>
      </c>
      <c r="AM197" s="67">
        <f t="shared" si="80"/>
        <v>415.36169705636991</v>
      </c>
      <c r="AN197" s="67">
        <f t="shared" si="80"/>
        <v>452.9575504523313</v>
      </c>
      <c r="AO197" s="67">
        <f t="shared" si="80"/>
        <v>498.15930007953642</v>
      </c>
      <c r="AP197" s="67">
        <f t="shared" si="80"/>
        <v>502.90181081993023</v>
      </c>
      <c r="AQ197" s="67">
        <f t="shared" si="80"/>
        <v>528.04415700267612</v>
      </c>
      <c r="AR197" s="67">
        <f t="shared" si="80"/>
        <v>493.84564932225624</v>
      </c>
      <c r="AS197" s="67">
        <f t="shared" si="80"/>
        <v>473.15868584925914</v>
      </c>
      <c r="AT197" s="67">
        <f t="shared" si="80"/>
        <v>459.98101866497939</v>
      </c>
      <c r="AU197" s="67">
        <f t="shared" si="80"/>
        <v>441.64250207125104</v>
      </c>
      <c r="AV197" s="67">
        <f t="shared" si="80"/>
        <v>464.19639196391961</v>
      </c>
      <c r="AW197" s="67">
        <f t="shared" si="80"/>
        <v>450.49827130364037</v>
      </c>
      <c r="AX197" s="67">
        <f t="shared" si="80"/>
        <v>448.87</v>
      </c>
      <c r="AY197" s="67">
        <f t="shared" si="80"/>
        <v>457.68929759342598</v>
      </c>
      <c r="AZ197" s="67">
        <f t="shared" si="80"/>
        <v>481.91336086831245</v>
      </c>
      <c r="BA197" s="67">
        <f t="shared" si="80"/>
        <v>463.33554565279229</v>
      </c>
      <c r="BB197" s="67">
        <f t="shared" si="80"/>
        <v>0</v>
      </c>
      <c r="BC197" s="67">
        <f t="shared" si="80"/>
        <v>0</v>
      </c>
      <c r="BD197" s="67">
        <f t="shared" si="80"/>
        <v>0</v>
      </c>
      <c r="BE197" s="67">
        <f t="shared" si="80"/>
        <v>0</v>
      </c>
      <c r="BF197" s="67">
        <f t="shared" si="80"/>
        <v>0</v>
      </c>
      <c r="BG197" s="67">
        <f t="shared" si="80"/>
        <v>0</v>
      </c>
      <c r="BH197" s="67">
        <f t="shared" si="80"/>
        <v>0</v>
      </c>
    </row>
    <row r="198" spans="1:60" s="67" customFormat="1" x14ac:dyDescent="0.25">
      <c r="A198" s="67" t="str">
        <f t="shared" ref="A198:E198" si="81">A23</f>
        <v>Agriculture</v>
      </c>
      <c r="B198" s="67" t="str">
        <f t="shared" si="81"/>
        <v>USDA</v>
      </c>
      <c r="C198" s="67" t="str">
        <f t="shared" si="81"/>
        <v>ARS</v>
      </c>
      <c r="D198" s="67" t="str">
        <f t="shared" si="81"/>
        <v>Steady</v>
      </c>
      <c r="E198" s="67" t="str">
        <f t="shared" si="81"/>
        <v>Program</v>
      </c>
      <c r="F198" s="67" t="s">
        <v>90</v>
      </c>
      <c r="H198" s="67" t="str">
        <f t="shared" si="56"/>
        <v>Agricultural Research Service</v>
      </c>
      <c r="I198" s="67">
        <f t="shared" si="57"/>
        <v>0</v>
      </c>
      <c r="J198" s="67">
        <f t="shared" si="80"/>
        <v>0</v>
      </c>
      <c r="K198" s="67">
        <f t="shared" si="80"/>
        <v>0</v>
      </c>
      <c r="L198" s="67">
        <f t="shared" si="80"/>
        <v>0</v>
      </c>
      <c r="M198" s="67">
        <f t="shared" si="80"/>
        <v>0</v>
      </c>
      <c r="N198" s="67">
        <f t="shared" si="80"/>
        <v>0</v>
      </c>
      <c r="O198" s="67">
        <f t="shared" si="80"/>
        <v>0</v>
      </c>
      <c r="P198" s="67">
        <f t="shared" si="80"/>
        <v>0</v>
      </c>
      <c r="Q198" s="67">
        <f t="shared" si="80"/>
        <v>0</v>
      </c>
      <c r="R198" s="67">
        <f t="shared" si="80"/>
        <v>0</v>
      </c>
      <c r="S198" s="67">
        <f t="shared" si="80"/>
        <v>0</v>
      </c>
      <c r="T198" s="67">
        <f t="shared" si="80"/>
        <v>0</v>
      </c>
      <c r="U198" s="67">
        <f t="shared" si="80"/>
        <v>0</v>
      </c>
      <c r="V198" s="67">
        <f t="shared" si="80"/>
        <v>0</v>
      </c>
      <c r="W198" s="67">
        <f t="shared" si="80"/>
        <v>0</v>
      </c>
      <c r="X198" s="67">
        <f t="shared" si="80"/>
        <v>1034.4256184344292</v>
      </c>
      <c r="Y198" s="67">
        <f t="shared" si="80"/>
        <v>1109.0446589236055</v>
      </c>
      <c r="Z198" s="67">
        <f t="shared" si="80"/>
        <v>1185.5857006064475</v>
      </c>
      <c r="AA198" s="67">
        <f t="shared" si="80"/>
        <v>1106.9889287384999</v>
      </c>
      <c r="AB198" s="67">
        <f t="shared" si="80"/>
        <v>1121.9548298489242</v>
      </c>
      <c r="AC198" s="67">
        <f t="shared" si="80"/>
        <v>1123.729826658697</v>
      </c>
      <c r="AD198" s="67">
        <f t="shared" si="80"/>
        <v>1064.828395423878</v>
      </c>
      <c r="AE198" s="67">
        <f t="shared" si="80"/>
        <v>1112.5522409569103</v>
      </c>
      <c r="AF198" s="67">
        <f t="shared" si="80"/>
        <v>1159.9772274409336</v>
      </c>
      <c r="AG198" s="67">
        <f t="shared" si="80"/>
        <v>1176.7186840995359</v>
      </c>
      <c r="AH198" s="67">
        <f t="shared" si="80"/>
        <v>1203.690951659551</v>
      </c>
      <c r="AI198" s="67">
        <f t="shared" si="80"/>
        <v>1286.8091972569584</v>
      </c>
      <c r="AJ198" s="67">
        <f t="shared" si="80"/>
        <v>1583.267143235372</v>
      </c>
      <c r="AK198" s="67">
        <f t="shared" si="80"/>
        <v>1611.5126156967162</v>
      </c>
      <c r="AL198" s="67">
        <f t="shared" si="80"/>
        <v>1418.7276977974652</v>
      </c>
      <c r="AM198" s="67">
        <f t="shared" si="80"/>
        <v>1542.1284709808128</v>
      </c>
      <c r="AN198" s="67">
        <f t="shared" si="80"/>
        <v>1514.7297610763164</v>
      </c>
      <c r="AO198" s="67">
        <f t="shared" si="80"/>
        <v>1286.2174752868991</v>
      </c>
      <c r="AP198" s="67">
        <f t="shared" si="80"/>
        <v>1323.8105949836913</v>
      </c>
      <c r="AQ198" s="67">
        <f t="shared" si="80"/>
        <v>1326.9402319357716</v>
      </c>
      <c r="AR198" s="67">
        <f t="shared" si="80"/>
        <v>1367.5120244862267</v>
      </c>
      <c r="AS198" s="67">
        <f t="shared" si="80"/>
        <v>1216.448357311574</v>
      </c>
      <c r="AT198" s="67">
        <f t="shared" si="80"/>
        <v>1154.6978804175894</v>
      </c>
      <c r="AU198" s="67">
        <f t="shared" si="80"/>
        <v>1053.2311516155758</v>
      </c>
      <c r="AV198" s="67">
        <f t="shared" si="80"/>
        <v>1150.5555555555554</v>
      </c>
      <c r="AW198" s="67">
        <f t="shared" si="80"/>
        <v>1196.0514541387024</v>
      </c>
      <c r="AX198" s="67">
        <f t="shared" si="80"/>
        <v>1355.9259999999999</v>
      </c>
      <c r="AY198" s="67">
        <f t="shared" si="80"/>
        <v>1242.2568968890625</v>
      </c>
      <c r="AZ198" s="67">
        <f t="shared" si="80"/>
        <v>1290.3333013159161</v>
      </c>
      <c r="BA198" s="67">
        <f t="shared" si="80"/>
        <v>1597.1043898738978</v>
      </c>
      <c r="BB198" s="67">
        <f t="shared" si="80"/>
        <v>1491.0174152153988</v>
      </c>
      <c r="BC198" s="67">
        <f t="shared" si="80"/>
        <v>1397.2414974728006</v>
      </c>
      <c r="BD198" s="67">
        <f t="shared" si="80"/>
        <v>1301.712132383059</v>
      </c>
      <c r="BE198" s="67">
        <f t="shared" si="80"/>
        <v>1362.8022021862282</v>
      </c>
      <c r="BF198" s="67">
        <f t="shared" si="80"/>
        <v>1440.6831667707684</v>
      </c>
      <c r="BG198" s="67">
        <f t="shared" si="80"/>
        <v>1400.5377084289432</v>
      </c>
      <c r="BH198" s="67">
        <f t="shared" si="80"/>
        <v>1300.2906532048341</v>
      </c>
    </row>
    <row r="199" spans="1:60" s="67" customFormat="1" x14ac:dyDescent="0.25">
      <c r="A199" s="67" t="str">
        <f t="shared" ref="A199:E199" si="82">A24</f>
        <v>Agriculture</v>
      </c>
      <c r="B199" s="67" t="str">
        <f t="shared" si="82"/>
        <v>USDA</v>
      </c>
      <c r="C199" s="67" t="str">
        <f t="shared" si="82"/>
        <v>NIFA</v>
      </c>
      <c r="D199" s="67" t="str">
        <f t="shared" si="82"/>
        <v>Steady</v>
      </c>
      <c r="E199" s="67" t="str">
        <f t="shared" si="82"/>
        <v>Program</v>
      </c>
      <c r="F199" s="67" t="s">
        <v>90</v>
      </c>
      <c r="H199" s="67" t="str">
        <f t="shared" si="56"/>
        <v>National Institute of Food and Agriculture</v>
      </c>
      <c r="I199" s="67">
        <f t="shared" si="57"/>
        <v>0</v>
      </c>
      <c r="J199" s="67">
        <f t="shared" si="80"/>
        <v>0</v>
      </c>
      <c r="K199" s="67">
        <f t="shared" si="80"/>
        <v>0</v>
      </c>
      <c r="L199" s="67">
        <f t="shared" si="80"/>
        <v>0</v>
      </c>
      <c r="M199" s="67">
        <f t="shared" si="80"/>
        <v>0</v>
      </c>
      <c r="N199" s="67">
        <f t="shared" si="80"/>
        <v>0</v>
      </c>
      <c r="O199" s="67">
        <f t="shared" si="80"/>
        <v>0</v>
      </c>
      <c r="P199" s="67">
        <f t="shared" si="80"/>
        <v>0</v>
      </c>
      <c r="Q199" s="67">
        <f t="shared" si="80"/>
        <v>0</v>
      </c>
      <c r="R199" s="67">
        <f t="shared" si="80"/>
        <v>0</v>
      </c>
      <c r="S199" s="67">
        <f t="shared" si="80"/>
        <v>0</v>
      </c>
      <c r="T199" s="67">
        <f t="shared" si="80"/>
        <v>0</v>
      </c>
      <c r="U199" s="67">
        <f t="shared" si="80"/>
        <v>0</v>
      </c>
      <c r="V199" s="67">
        <f t="shared" si="80"/>
        <v>0</v>
      </c>
      <c r="W199" s="67">
        <f t="shared" si="80"/>
        <v>0</v>
      </c>
      <c r="X199" s="67">
        <f t="shared" si="80"/>
        <v>1274.2731277533042</v>
      </c>
      <c r="Y199" s="67">
        <f t="shared" si="80"/>
        <v>1390.1897595288729</v>
      </c>
      <c r="Z199" s="67">
        <f t="shared" si="80"/>
        <v>1474.5563357804022</v>
      </c>
      <c r="AA199" s="67">
        <f t="shared" si="80"/>
        <v>1420.0405426477469</v>
      </c>
      <c r="AB199" s="67">
        <f t="shared" si="80"/>
        <v>1428.0604303372502</v>
      </c>
      <c r="AC199" s="67">
        <f t="shared" si="80"/>
        <v>1397.1906754333531</v>
      </c>
      <c r="AD199" s="67">
        <f t="shared" si="80"/>
        <v>1340.5690818421826</v>
      </c>
      <c r="AE199" s="67">
        <f t="shared" si="80"/>
        <v>1318.6338089061826</v>
      </c>
      <c r="AF199" s="67">
        <f t="shared" si="80"/>
        <v>1226.8716196982637</v>
      </c>
      <c r="AG199" s="67">
        <f t="shared" si="80"/>
        <v>1301.8416982988892</v>
      </c>
      <c r="AH199" s="67">
        <f t="shared" si="80"/>
        <v>1313.8686131386862</v>
      </c>
      <c r="AI199" s="67">
        <f t="shared" si="80"/>
        <v>1331.1819281968535</v>
      </c>
      <c r="AJ199" s="67">
        <f t="shared" si="80"/>
        <v>1371.4588297590681</v>
      </c>
      <c r="AK199" s="67">
        <f t="shared" si="80"/>
        <v>1425.1299606948144</v>
      </c>
      <c r="AL199" s="67">
        <f t="shared" si="80"/>
        <v>1381.8137073951027</v>
      </c>
      <c r="AM199" s="67">
        <f t="shared" si="80"/>
        <v>1393.1593373852938</v>
      </c>
      <c r="AN199" s="67">
        <f t="shared" si="80"/>
        <v>1376.7107399675249</v>
      </c>
      <c r="AO199" s="67">
        <f t="shared" si="80"/>
        <v>1346.4379047835473</v>
      </c>
      <c r="AP199" s="67">
        <f t="shared" si="80"/>
        <v>1335.0579237431109</v>
      </c>
      <c r="AQ199" s="67">
        <f t="shared" si="80"/>
        <v>1367.0829616413916</v>
      </c>
      <c r="AR199" s="67">
        <f t="shared" si="80"/>
        <v>1476.8255356362047</v>
      </c>
      <c r="AS199" s="67">
        <f t="shared" si="80"/>
        <v>1308.7824779901223</v>
      </c>
      <c r="AT199" s="67">
        <f t="shared" si="80"/>
        <v>1272.803964989982</v>
      </c>
      <c r="AU199" s="67">
        <f t="shared" si="80"/>
        <v>1187.8624689312344</v>
      </c>
      <c r="AV199" s="67">
        <f t="shared" si="80"/>
        <v>1314.2189421894218</v>
      </c>
      <c r="AW199" s="67">
        <f t="shared" si="80"/>
        <v>1316.3961765304048</v>
      </c>
      <c r="AX199" s="67">
        <f t="shared" si="80"/>
        <v>1326.4760000000001</v>
      </c>
      <c r="AY199" s="67">
        <f t="shared" si="80"/>
        <v>1333.3095284680103</v>
      </c>
      <c r="AZ199" s="67">
        <f t="shared" si="80"/>
        <v>1352.2207280760736</v>
      </c>
      <c r="BA199" s="67">
        <f t="shared" si="80"/>
        <v>1395.0327107234284</v>
      </c>
      <c r="BB199" s="67">
        <f t="shared" si="80"/>
        <v>837.76351970669111</v>
      </c>
      <c r="BC199" s="67">
        <f t="shared" si="80"/>
        <v>872.95468174419602</v>
      </c>
      <c r="BD199" s="67">
        <f t="shared" si="80"/>
        <v>1108.38043745392</v>
      </c>
      <c r="BE199" s="67">
        <f t="shared" si="80"/>
        <v>738.05154392404052</v>
      </c>
      <c r="BF199" s="67">
        <f t="shared" si="80"/>
        <v>698.78201124297323</v>
      </c>
      <c r="BG199" s="67">
        <f t="shared" si="80"/>
        <v>674.62138595686099</v>
      </c>
      <c r="BH199" s="67">
        <f t="shared" si="80"/>
        <v>451.27734434756007</v>
      </c>
    </row>
    <row r="200" spans="1:60" s="67" customFormat="1" x14ac:dyDescent="0.25">
      <c r="A200" s="67" t="str">
        <f t="shared" ref="A200:E200" si="83">A25</f>
        <v>Agriculture</v>
      </c>
      <c r="B200" s="67" t="str">
        <f t="shared" si="83"/>
        <v>USDA</v>
      </c>
      <c r="C200" s="67" t="str">
        <f t="shared" si="83"/>
        <v>ERS</v>
      </c>
      <c r="D200" s="67" t="str">
        <f t="shared" si="83"/>
        <v>Steady</v>
      </c>
      <c r="E200" s="67" t="str">
        <f t="shared" si="83"/>
        <v>Program</v>
      </c>
      <c r="F200" s="67" t="s">
        <v>90</v>
      </c>
      <c r="H200" s="67" t="str">
        <f t="shared" si="56"/>
        <v>Economic Research Service</v>
      </c>
      <c r="I200" s="67">
        <f t="shared" si="57"/>
        <v>0</v>
      </c>
      <c r="J200" s="67">
        <f t="shared" si="80"/>
        <v>0</v>
      </c>
      <c r="K200" s="67">
        <f t="shared" si="80"/>
        <v>0</v>
      </c>
      <c r="L200" s="67">
        <f t="shared" si="80"/>
        <v>0</v>
      </c>
      <c r="M200" s="67">
        <f t="shared" si="80"/>
        <v>0</v>
      </c>
      <c r="N200" s="67">
        <f t="shared" si="80"/>
        <v>0</v>
      </c>
      <c r="O200" s="67">
        <f t="shared" si="80"/>
        <v>0</v>
      </c>
      <c r="P200" s="67">
        <f t="shared" si="80"/>
        <v>0</v>
      </c>
      <c r="Q200" s="67">
        <f t="shared" si="80"/>
        <v>0</v>
      </c>
      <c r="R200" s="67">
        <f t="shared" si="80"/>
        <v>0</v>
      </c>
      <c r="S200" s="67">
        <f t="shared" si="80"/>
        <v>0</v>
      </c>
      <c r="T200" s="67">
        <f t="shared" si="80"/>
        <v>0</v>
      </c>
      <c r="U200" s="67">
        <f t="shared" si="80"/>
        <v>0</v>
      </c>
      <c r="V200" s="67">
        <f t="shared" si="80"/>
        <v>0</v>
      </c>
      <c r="W200" s="67">
        <f t="shared" si="80"/>
        <v>0</v>
      </c>
      <c r="X200" s="67">
        <f t="shared" si="80"/>
        <v>85.884445950525247</v>
      </c>
      <c r="Y200" s="67">
        <f t="shared" si="80"/>
        <v>88.989039751349594</v>
      </c>
      <c r="Z200" s="67">
        <f t="shared" si="80"/>
        <v>94.047239067985942</v>
      </c>
      <c r="AA200" s="67">
        <f t="shared" si="80"/>
        <v>91.883673787618903</v>
      </c>
      <c r="AB200" s="67">
        <f t="shared" si="80"/>
        <v>84.265222035708845</v>
      </c>
      <c r="AC200" s="67">
        <f t="shared" si="80"/>
        <v>80.693365212193669</v>
      </c>
      <c r="AD200" s="67">
        <f t="shared" si="80"/>
        <v>77.735406277500743</v>
      </c>
      <c r="AE200" s="67">
        <f t="shared" si="80"/>
        <v>76.379881827352648</v>
      </c>
      <c r="AF200" s="67">
        <f t="shared" si="80"/>
        <v>102.47651579846286</v>
      </c>
      <c r="AG200" s="67">
        <f t="shared" si="80"/>
        <v>88.570223534373682</v>
      </c>
      <c r="AH200" s="67">
        <f t="shared" si="80"/>
        <v>88.142129183308086</v>
      </c>
      <c r="AI200" s="67">
        <f t="shared" si="80"/>
        <v>88.745461879790241</v>
      </c>
      <c r="AJ200" s="67">
        <f t="shared" si="80"/>
        <v>88.694731268202275</v>
      </c>
      <c r="AK200" s="67">
        <f t="shared" si="80"/>
        <v>87.48573602130088</v>
      </c>
      <c r="AL200" s="67">
        <f t="shared" si="80"/>
        <v>87.36311061892458</v>
      </c>
      <c r="AM200" s="67">
        <f t="shared" si="80"/>
        <v>88.189727088547258</v>
      </c>
      <c r="AN200" s="67">
        <f t="shared" si="80"/>
        <v>86.986778009742522</v>
      </c>
      <c r="AO200" s="67">
        <f t="shared" si="80"/>
        <v>85.217588910351097</v>
      </c>
      <c r="AP200" s="67">
        <f t="shared" si="80"/>
        <v>86.604431447531212</v>
      </c>
      <c r="AQ200" s="67">
        <f t="shared" si="80"/>
        <v>89.206066012488847</v>
      </c>
      <c r="AR200" s="67">
        <f t="shared" si="80"/>
        <v>89.637079142982074</v>
      </c>
      <c r="AS200" s="67">
        <f t="shared" si="80"/>
        <v>88.039510414429884</v>
      </c>
      <c r="AT200" s="67">
        <f t="shared" si="80"/>
        <v>82.252451755773492</v>
      </c>
      <c r="AU200" s="67">
        <f t="shared" si="80"/>
        <v>73.529411764705884</v>
      </c>
      <c r="AV200" s="67">
        <f t="shared" si="80"/>
        <v>80.010250102501033</v>
      </c>
      <c r="AW200" s="67">
        <f t="shared" si="80"/>
        <v>86.814114297335777</v>
      </c>
      <c r="AX200" s="67">
        <f t="shared" si="80"/>
        <v>85.373000000000005</v>
      </c>
      <c r="AY200" s="67">
        <f t="shared" si="80"/>
        <v>84.872823322246134</v>
      </c>
      <c r="AZ200" s="67">
        <f t="shared" si="80"/>
        <v>83.332052636634344</v>
      </c>
      <c r="BA200" s="67">
        <f t="shared" si="80"/>
        <v>82.257513985019443</v>
      </c>
      <c r="BB200" s="67">
        <f t="shared" si="80"/>
        <v>77.687442713107245</v>
      </c>
      <c r="BC200" s="67">
        <f t="shared" si="80"/>
        <v>74.530968902595731</v>
      </c>
      <c r="BD200" s="67">
        <f t="shared" si="80"/>
        <v>72.08978454984846</v>
      </c>
      <c r="BE200" s="67">
        <f t="shared" si="80"/>
        <v>74.204101172903535</v>
      </c>
      <c r="BF200" s="67">
        <f t="shared" si="80"/>
        <v>71.049344159900059</v>
      </c>
      <c r="BG200" s="67">
        <f t="shared" si="80"/>
        <v>69.603793789199941</v>
      </c>
      <c r="BH200" s="67">
        <f t="shared" si="80"/>
        <v>61.19014838610984</v>
      </c>
    </row>
    <row r="201" spans="1:60" s="67" customFormat="1" x14ac:dyDescent="0.25">
      <c r="A201" s="67" t="str">
        <f t="shared" ref="A201:E201" si="84">A26</f>
        <v>Agriculture</v>
      </c>
      <c r="B201" s="67" t="str">
        <f t="shared" si="84"/>
        <v>USDA</v>
      </c>
      <c r="C201" s="67" t="str">
        <f t="shared" si="84"/>
        <v>NASS</v>
      </c>
      <c r="D201" s="67" t="str">
        <f t="shared" si="84"/>
        <v>Steady</v>
      </c>
      <c r="E201" s="67" t="str">
        <f t="shared" si="84"/>
        <v>Program</v>
      </c>
      <c r="F201" s="67" t="s">
        <v>90</v>
      </c>
      <c r="H201" s="67" t="str">
        <f t="shared" si="56"/>
        <v>National Agricultural Statistics Service</v>
      </c>
      <c r="I201" s="67">
        <f t="shared" si="57"/>
        <v>0</v>
      </c>
      <c r="J201" s="67">
        <f t="shared" si="80"/>
        <v>0</v>
      </c>
      <c r="K201" s="67">
        <f t="shared" si="80"/>
        <v>0</v>
      </c>
      <c r="L201" s="67">
        <f t="shared" si="80"/>
        <v>0</v>
      </c>
      <c r="M201" s="67">
        <f t="shared" si="80"/>
        <v>0</v>
      </c>
      <c r="N201" s="67">
        <f t="shared" si="80"/>
        <v>0</v>
      </c>
      <c r="O201" s="67">
        <f t="shared" si="80"/>
        <v>0</v>
      </c>
      <c r="P201" s="67">
        <f t="shared" si="80"/>
        <v>0</v>
      </c>
      <c r="Q201" s="67">
        <f t="shared" si="80"/>
        <v>0</v>
      </c>
      <c r="R201" s="67">
        <f t="shared" si="80"/>
        <v>0</v>
      </c>
      <c r="S201" s="67">
        <f t="shared" si="80"/>
        <v>0</v>
      </c>
      <c r="T201" s="67">
        <f t="shared" si="80"/>
        <v>0</v>
      </c>
      <c r="U201" s="67">
        <f t="shared" si="80"/>
        <v>0</v>
      </c>
      <c r="V201" s="67">
        <f t="shared" si="80"/>
        <v>0</v>
      </c>
      <c r="W201" s="67">
        <f t="shared" si="80"/>
        <v>0</v>
      </c>
      <c r="X201" s="67">
        <f t="shared" si="80"/>
        <v>113.315825144019</v>
      </c>
      <c r="Y201" s="67">
        <f t="shared" si="80"/>
        <v>125.1006052674628</v>
      </c>
      <c r="Z201" s="67">
        <f t="shared" si="80"/>
        <v>131.88796680497924</v>
      </c>
      <c r="AA201" s="67">
        <f t="shared" si="80"/>
        <v>126.38390768750975</v>
      </c>
      <c r="AB201" s="67">
        <f t="shared" si="80"/>
        <v>124.93972226461163</v>
      </c>
      <c r="AC201" s="67">
        <f t="shared" si="80"/>
        <v>121.04004781829049</v>
      </c>
      <c r="AD201" s="67">
        <f t="shared" si="80"/>
        <v>118.80316808448227</v>
      </c>
      <c r="AE201" s="67">
        <f t="shared" si="80"/>
        <v>144.11298457991066</v>
      </c>
      <c r="AF201" s="67">
        <f t="shared" si="80"/>
        <v>167.94762311414746</v>
      </c>
      <c r="AG201" s="67">
        <f t="shared" si="80"/>
        <v>146.21116265991844</v>
      </c>
      <c r="AH201" s="67">
        <f t="shared" si="80"/>
        <v>136.34485608042971</v>
      </c>
      <c r="AI201" s="67">
        <f t="shared" si="80"/>
        <v>135.80744924028505</v>
      </c>
      <c r="AJ201" s="67">
        <f t="shared" si="80"/>
        <v>152.23722531109348</v>
      </c>
      <c r="AK201" s="67">
        <f t="shared" si="80"/>
        <v>174.97147204260176</v>
      </c>
      <c r="AL201" s="67">
        <f t="shared" si="80"/>
        <v>157.4996923834133</v>
      </c>
      <c r="AM201" s="67">
        <f t="shared" si="80"/>
        <v>152.54439280181148</v>
      </c>
      <c r="AN201" s="67">
        <f t="shared" si="80"/>
        <v>161.2154952447228</v>
      </c>
      <c r="AO201" s="67">
        <f t="shared" si="80"/>
        <v>167.02647426428814</v>
      </c>
      <c r="AP201" s="67">
        <f t="shared" si="80"/>
        <v>182.20672590259812</v>
      </c>
      <c r="AQ201" s="67">
        <f t="shared" si="80"/>
        <v>169.4915254237288</v>
      </c>
      <c r="AR201" s="67">
        <f t="shared" si="80"/>
        <v>177.08788806296459</v>
      </c>
      <c r="AS201" s="67">
        <f t="shared" si="80"/>
        <v>167.4898003006227</v>
      </c>
      <c r="AT201" s="67">
        <f t="shared" si="80"/>
        <v>167.66845934830749</v>
      </c>
      <c r="AU201" s="67">
        <f t="shared" si="80"/>
        <v>171.91383595691798</v>
      </c>
      <c r="AV201" s="67">
        <f t="shared" si="80"/>
        <v>165.23780237802376</v>
      </c>
      <c r="AW201" s="67">
        <f t="shared" si="80"/>
        <v>175.31828350620296</v>
      </c>
      <c r="AX201" s="67">
        <f t="shared" si="80"/>
        <v>168.44300000000001</v>
      </c>
      <c r="AY201" s="67">
        <f t="shared" si="80"/>
        <v>167.52005478379965</v>
      </c>
      <c r="AZ201" s="67">
        <f t="shared" si="80"/>
        <v>184.14849678224957</v>
      </c>
      <c r="BA201" s="67">
        <f t="shared" si="80"/>
        <v>165.46600929174173</v>
      </c>
      <c r="BB201" s="67">
        <f t="shared" si="80"/>
        <v>165.25572868927591</v>
      </c>
      <c r="BC201" s="67">
        <f t="shared" si="80"/>
        <v>157.62871583997259</v>
      </c>
      <c r="BD201" s="67">
        <f t="shared" si="80"/>
        <v>185.95887605472271</v>
      </c>
      <c r="BE201" s="67">
        <f t="shared" si="80"/>
        <v>197.87760312774276</v>
      </c>
      <c r="BF201" s="67">
        <f t="shared" si="80"/>
        <v>146.4030293566521</v>
      </c>
      <c r="BG201" s="67">
        <f t="shared" si="80"/>
        <v>143.42435367905767</v>
      </c>
      <c r="BH201" s="67">
        <f t="shared" si="80"/>
        <v>141.502218142879</v>
      </c>
    </row>
    <row r="202" spans="1:60" s="67" customFormat="1" x14ac:dyDescent="0.25">
      <c r="A202" s="67" t="str">
        <f t="shared" ref="A202:E202" si="85">A27</f>
        <v>Agriculture</v>
      </c>
      <c r="B202" s="67" t="str">
        <f t="shared" si="85"/>
        <v>USDA</v>
      </c>
      <c r="C202" s="67" t="str">
        <f t="shared" si="85"/>
        <v>FS R&amp;D</v>
      </c>
      <c r="D202" s="67" t="str">
        <f t="shared" si="85"/>
        <v>Steady</v>
      </c>
      <c r="E202" s="67" t="str">
        <f t="shared" si="85"/>
        <v>Program</v>
      </c>
      <c r="F202" s="67" t="s">
        <v>90</v>
      </c>
      <c r="H202" s="67" t="str">
        <f t="shared" si="56"/>
        <v>U.S. Forest Service R&amp;D</v>
      </c>
      <c r="I202" s="67">
        <f t="shared" si="57"/>
        <v>0</v>
      </c>
      <c r="J202" s="67">
        <f t="shared" si="80"/>
        <v>0</v>
      </c>
      <c r="K202" s="67">
        <f t="shared" si="80"/>
        <v>0</v>
      </c>
      <c r="L202" s="67">
        <f t="shared" si="80"/>
        <v>0</v>
      </c>
      <c r="M202" s="67">
        <f t="shared" si="80"/>
        <v>0</v>
      </c>
      <c r="N202" s="67">
        <f t="shared" si="80"/>
        <v>0</v>
      </c>
      <c r="O202" s="67">
        <f t="shared" si="80"/>
        <v>0</v>
      </c>
      <c r="P202" s="67">
        <f t="shared" si="80"/>
        <v>0</v>
      </c>
      <c r="Q202" s="67">
        <f t="shared" si="80"/>
        <v>0</v>
      </c>
      <c r="R202" s="67">
        <f t="shared" si="80"/>
        <v>0</v>
      </c>
      <c r="S202" s="67">
        <f t="shared" si="80"/>
        <v>0</v>
      </c>
      <c r="T202" s="67">
        <f t="shared" si="80"/>
        <v>0</v>
      </c>
      <c r="U202" s="67">
        <f t="shared" si="80"/>
        <v>0</v>
      </c>
      <c r="V202" s="67">
        <f t="shared" si="80"/>
        <v>0</v>
      </c>
      <c r="W202" s="67">
        <f t="shared" si="80"/>
        <v>0</v>
      </c>
      <c r="X202" s="67">
        <f t="shared" si="80"/>
        <v>255.71840054218913</v>
      </c>
      <c r="Y202" s="67">
        <f t="shared" ref="J202:BH207" si="86">Y27/Y$175</f>
        <v>274.21397022738432</v>
      </c>
      <c r="Z202" s="67">
        <f t="shared" si="86"/>
        <v>288.07692307692304</v>
      </c>
      <c r="AA202" s="67">
        <f t="shared" si="86"/>
        <v>284.91345704038673</v>
      </c>
      <c r="AB202" s="67">
        <f t="shared" si="86"/>
        <v>294.64825270868306</v>
      </c>
      <c r="AC202" s="67">
        <f t="shared" si="86"/>
        <v>289.89838613269575</v>
      </c>
      <c r="AD202" s="67">
        <f t="shared" si="86"/>
        <v>261.07362863009683</v>
      </c>
      <c r="AE202" s="67">
        <f t="shared" si="86"/>
        <v>260.8445020896383</v>
      </c>
      <c r="AF202" s="67">
        <f t="shared" si="86"/>
        <v>267.57756902931965</v>
      </c>
      <c r="AG202" s="67">
        <f t="shared" si="86"/>
        <v>279.76943624349781</v>
      </c>
      <c r="AH202" s="67">
        <f t="shared" si="86"/>
        <v>278.19859523481614</v>
      </c>
      <c r="AI202" s="67">
        <f t="shared" si="86"/>
        <v>330.77853973376358</v>
      </c>
      <c r="AJ202" s="67">
        <f t="shared" si="86"/>
        <v>319.03627217368285</v>
      </c>
      <c r="AK202" s="67">
        <f t="shared" si="86"/>
        <v>360.08621782680365</v>
      </c>
      <c r="AL202" s="67">
        <f t="shared" si="86"/>
        <v>361.75710594315245</v>
      </c>
      <c r="AM202" s="67">
        <f t="shared" si="86"/>
        <v>355.14241449171732</v>
      </c>
      <c r="AN202" s="67">
        <f t="shared" si="86"/>
        <v>349.10693574576663</v>
      </c>
      <c r="AO202" s="67">
        <f t="shared" si="86"/>
        <v>344.27905919781841</v>
      </c>
      <c r="AP202" s="67">
        <f t="shared" si="86"/>
        <v>353.1661230457766</v>
      </c>
      <c r="AQ202" s="67">
        <f t="shared" si="86"/>
        <v>330.06244424620871</v>
      </c>
      <c r="AR202" s="67">
        <f t="shared" si="86"/>
        <v>341.05815478793181</v>
      </c>
      <c r="AS202" s="67">
        <f t="shared" si="86"/>
        <v>329.61133777109728</v>
      </c>
      <c r="AT202" s="67">
        <f t="shared" si="86"/>
        <v>311.08299061478436</v>
      </c>
      <c r="AU202" s="67">
        <f t="shared" si="86"/>
        <v>289.97514498757249</v>
      </c>
      <c r="AV202" s="67">
        <f t="shared" si="86"/>
        <v>300.12812628126284</v>
      </c>
      <c r="AW202" s="67">
        <f t="shared" si="86"/>
        <v>300.99654260728084</v>
      </c>
      <c r="AX202" s="67">
        <f t="shared" si="86"/>
        <v>291</v>
      </c>
      <c r="AY202" s="67">
        <f t="shared" si="86"/>
        <v>282.24809234983371</v>
      </c>
      <c r="AZ202" s="67">
        <f t="shared" si="86"/>
        <v>285.27518970319858</v>
      </c>
      <c r="BA202" s="67">
        <f t="shared" si="86"/>
        <v>284.44107329098324</v>
      </c>
      <c r="BB202" s="67">
        <f t="shared" si="86"/>
        <v>287.80934922089824</v>
      </c>
      <c r="BC202" s="67">
        <f t="shared" si="86"/>
        <v>263.85676347125843</v>
      </c>
      <c r="BD202" s="67">
        <f t="shared" si="86"/>
        <v>373.55615630376019</v>
      </c>
      <c r="BE202" s="67">
        <f t="shared" si="86"/>
        <v>326.33846644857573</v>
      </c>
      <c r="BF202" s="67">
        <f t="shared" si="86"/>
        <v>288.10118675827607</v>
      </c>
      <c r="BG202" s="67">
        <f t="shared" si="86"/>
        <v>342.66483096221509</v>
      </c>
      <c r="BH202" s="67">
        <f t="shared" si="86"/>
        <v>32.124827902707665</v>
      </c>
    </row>
    <row r="203" spans="1:60" s="67" customFormat="1" x14ac:dyDescent="0.25">
      <c r="A203" s="67" t="str">
        <f t="shared" ref="A203:E203" si="87">A28</f>
        <v>Agriculture</v>
      </c>
      <c r="B203" s="67" t="str">
        <f t="shared" si="87"/>
        <v>USDA</v>
      </c>
      <c r="C203" s="67" t="str">
        <f t="shared" si="87"/>
        <v>ARRA</v>
      </c>
      <c r="D203" s="67" t="str">
        <f t="shared" si="87"/>
        <v>One-Year</v>
      </c>
      <c r="E203" s="67" t="str">
        <f t="shared" si="87"/>
        <v>Program</v>
      </c>
      <c r="F203" s="67" t="s">
        <v>90</v>
      </c>
      <c r="H203" s="67" t="str">
        <f t="shared" si="56"/>
        <v>American Recovery and Reinvestment Act of 2009</v>
      </c>
      <c r="I203" s="67">
        <f t="shared" si="57"/>
        <v>0</v>
      </c>
      <c r="J203" s="67">
        <f t="shared" si="86"/>
        <v>0</v>
      </c>
      <c r="K203" s="67">
        <f t="shared" si="86"/>
        <v>0</v>
      </c>
      <c r="L203" s="67">
        <f t="shared" si="86"/>
        <v>0</v>
      </c>
      <c r="M203" s="67">
        <f t="shared" si="86"/>
        <v>0</v>
      </c>
      <c r="N203" s="67">
        <f t="shared" si="86"/>
        <v>0</v>
      </c>
      <c r="O203" s="67">
        <f t="shared" si="86"/>
        <v>0</v>
      </c>
      <c r="P203" s="67">
        <f t="shared" si="86"/>
        <v>0</v>
      </c>
      <c r="Q203" s="67">
        <f t="shared" si="86"/>
        <v>0</v>
      </c>
      <c r="R203" s="67">
        <f t="shared" si="86"/>
        <v>0</v>
      </c>
      <c r="S203" s="67">
        <f t="shared" si="86"/>
        <v>0</v>
      </c>
      <c r="T203" s="67">
        <f t="shared" si="86"/>
        <v>0</v>
      </c>
      <c r="U203" s="67">
        <f t="shared" si="86"/>
        <v>0</v>
      </c>
      <c r="V203" s="67">
        <f t="shared" si="86"/>
        <v>0</v>
      </c>
      <c r="W203" s="67">
        <f t="shared" si="86"/>
        <v>0</v>
      </c>
      <c r="X203" s="67">
        <f t="shared" si="86"/>
        <v>0</v>
      </c>
      <c r="Y203" s="67">
        <f t="shared" si="86"/>
        <v>0</v>
      </c>
      <c r="Z203" s="67">
        <f t="shared" si="86"/>
        <v>0</v>
      </c>
      <c r="AA203" s="67">
        <f t="shared" si="86"/>
        <v>0</v>
      </c>
      <c r="AB203" s="67">
        <f t="shared" si="86"/>
        <v>0</v>
      </c>
      <c r="AC203" s="67">
        <f t="shared" si="86"/>
        <v>0</v>
      </c>
      <c r="AD203" s="67">
        <f t="shared" si="86"/>
        <v>0</v>
      </c>
      <c r="AE203" s="67">
        <f t="shared" si="86"/>
        <v>0</v>
      </c>
      <c r="AF203" s="67">
        <f t="shared" si="86"/>
        <v>0</v>
      </c>
      <c r="AG203" s="67">
        <f t="shared" si="86"/>
        <v>0</v>
      </c>
      <c r="AH203" s="67">
        <f t="shared" si="86"/>
        <v>0</v>
      </c>
      <c r="AI203" s="67">
        <f t="shared" si="86"/>
        <v>0</v>
      </c>
      <c r="AJ203" s="67">
        <f t="shared" si="86"/>
        <v>0</v>
      </c>
      <c r="AK203" s="67">
        <f t="shared" si="86"/>
        <v>0</v>
      </c>
      <c r="AL203" s="67">
        <f t="shared" si="86"/>
        <v>0</v>
      </c>
      <c r="AM203" s="67">
        <f t="shared" si="86"/>
        <v>0</v>
      </c>
      <c r="AN203" s="67">
        <f t="shared" si="86"/>
        <v>0</v>
      </c>
      <c r="AO203" s="67">
        <f t="shared" si="86"/>
        <v>0</v>
      </c>
      <c r="AP203" s="67">
        <f t="shared" si="86"/>
        <v>0</v>
      </c>
      <c r="AQ203" s="67">
        <f t="shared" si="86"/>
        <v>196.25334522747545</v>
      </c>
      <c r="AR203" s="67">
        <f t="shared" si="86"/>
        <v>0</v>
      </c>
      <c r="AS203" s="67">
        <f t="shared" si="86"/>
        <v>0</v>
      </c>
      <c r="AT203" s="67">
        <f t="shared" si="86"/>
        <v>0</v>
      </c>
      <c r="AU203" s="67">
        <f t="shared" si="86"/>
        <v>0</v>
      </c>
      <c r="AV203" s="67">
        <f t="shared" si="86"/>
        <v>0</v>
      </c>
      <c r="AW203" s="67">
        <f t="shared" si="86"/>
        <v>0</v>
      </c>
      <c r="AX203" s="67">
        <f t="shared" si="86"/>
        <v>0</v>
      </c>
      <c r="AY203" s="67">
        <f t="shared" si="86"/>
        <v>0</v>
      </c>
      <c r="AZ203" s="67">
        <f t="shared" si="86"/>
        <v>0</v>
      </c>
      <c r="BA203" s="67">
        <f t="shared" si="86"/>
        <v>0</v>
      </c>
      <c r="BB203" s="67">
        <f t="shared" si="86"/>
        <v>0</v>
      </c>
      <c r="BC203" s="67">
        <f t="shared" si="86"/>
        <v>0</v>
      </c>
      <c r="BD203" s="67">
        <f t="shared" si="86"/>
        <v>0</v>
      </c>
      <c r="BE203" s="67">
        <f t="shared" si="86"/>
        <v>0</v>
      </c>
      <c r="BF203" s="67">
        <f t="shared" si="86"/>
        <v>0</v>
      </c>
      <c r="BG203" s="67">
        <f t="shared" si="86"/>
        <v>0</v>
      </c>
      <c r="BH203" s="67">
        <f t="shared" si="86"/>
        <v>0</v>
      </c>
    </row>
    <row r="204" spans="1:60" s="67" customFormat="1" x14ac:dyDescent="0.25">
      <c r="A204" s="67" t="str">
        <f t="shared" ref="A204:E204" si="88">A29</f>
        <v>DOE</v>
      </c>
      <c r="B204" s="67" t="str">
        <f t="shared" si="88"/>
        <v>Office of Science</v>
      </c>
      <c r="C204" s="67" t="str">
        <f t="shared" si="88"/>
        <v>OS</v>
      </c>
      <c r="D204" s="67" t="str">
        <f t="shared" si="88"/>
        <v>Steady</v>
      </c>
      <c r="E204" s="67" t="str">
        <f t="shared" si="88"/>
        <v>Program</v>
      </c>
      <c r="F204" s="67" t="s">
        <v>90</v>
      </c>
      <c r="H204" s="67" t="str">
        <f t="shared" si="56"/>
        <v>Office of Science</v>
      </c>
      <c r="I204" s="67">
        <f t="shared" si="57"/>
        <v>0</v>
      </c>
      <c r="J204" s="67">
        <f t="shared" si="86"/>
        <v>0</v>
      </c>
      <c r="K204" s="67">
        <f t="shared" si="86"/>
        <v>0</v>
      </c>
      <c r="L204" s="67">
        <f t="shared" si="86"/>
        <v>0</v>
      </c>
      <c r="M204" s="67">
        <f t="shared" si="86"/>
        <v>0</v>
      </c>
      <c r="N204" s="67">
        <f t="shared" si="86"/>
        <v>0</v>
      </c>
      <c r="O204" s="67">
        <f t="shared" si="86"/>
        <v>0</v>
      </c>
      <c r="P204" s="67">
        <f t="shared" si="86"/>
        <v>0</v>
      </c>
      <c r="Q204" s="67">
        <f t="shared" si="86"/>
        <v>0</v>
      </c>
      <c r="R204" s="67">
        <f t="shared" si="86"/>
        <v>0</v>
      </c>
      <c r="S204" s="67">
        <f t="shared" si="86"/>
        <v>3879.8856241372509</v>
      </c>
      <c r="T204" s="67">
        <f t="shared" si="86"/>
        <v>3271.5486981677918</v>
      </c>
      <c r="U204" s="67">
        <f t="shared" si="86"/>
        <v>2373.3955857385399</v>
      </c>
      <c r="V204" s="67">
        <f t="shared" si="86"/>
        <v>3398.6606979718617</v>
      </c>
      <c r="W204" s="67">
        <f t="shared" si="86"/>
        <v>3249.631190727081</v>
      </c>
      <c r="X204" s="67">
        <f t="shared" si="86"/>
        <v>3205.8403930870895</v>
      </c>
      <c r="Y204" s="67">
        <f t="shared" si="86"/>
        <v>4213.4794699820059</v>
      </c>
      <c r="Z204" s="67">
        <f t="shared" si="86"/>
        <v>4726.9390360676662</v>
      </c>
      <c r="AA204" s="67">
        <f t="shared" si="86"/>
        <v>4786.2154997661</v>
      </c>
      <c r="AB204" s="67">
        <f t="shared" si="86"/>
        <v>4919.731420723333</v>
      </c>
      <c r="AC204" s="67">
        <f t="shared" si="86"/>
        <v>4026.232815301853</v>
      </c>
      <c r="AD204" s="67">
        <f t="shared" si="86"/>
        <v>3670.0953358756237</v>
      </c>
      <c r="AE204" s="67">
        <f t="shared" si="86"/>
        <v>3427.1004467502516</v>
      </c>
      <c r="AF204" s="67">
        <f t="shared" si="86"/>
        <v>3547.544833475662</v>
      </c>
      <c r="AG204" s="67">
        <f t="shared" si="86"/>
        <v>3824.3624349782085</v>
      </c>
      <c r="AH204" s="67">
        <f t="shared" si="86"/>
        <v>3868.6131386861316</v>
      </c>
      <c r="AI204" s="67">
        <f t="shared" si="86"/>
        <v>4310.8780422213258</v>
      </c>
      <c r="AJ204" s="67">
        <f t="shared" si="86"/>
        <v>4319.5657929573736</v>
      </c>
      <c r="AK204" s="67">
        <f t="shared" si="86"/>
        <v>4192.9757829339424</v>
      </c>
      <c r="AL204" s="67">
        <f t="shared" si="86"/>
        <v>4334.9329395841023</v>
      </c>
      <c r="AM204" s="67">
        <f t="shared" si="86"/>
        <v>4333.214158026457</v>
      </c>
      <c r="AN204" s="67">
        <f t="shared" si="86"/>
        <v>4213.6395267919279</v>
      </c>
      <c r="AO204" s="67">
        <f t="shared" si="86"/>
        <v>4359.7318486535623</v>
      </c>
      <c r="AP204" s="67">
        <f t="shared" si="86"/>
        <v>4592.2843324710384</v>
      </c>
      <c r="AQ204" s="67">
        <f t="shared" si="86"/>
        <v>5367.3840321141834</v>
      </c>
      <c r="AR204" s="67">
        <f t="shared" si="86"/>
        <v>5426.1991692173151</v>
      </c>
      <c r="AS204" s="67">
        <f t="shared" si="86"/>
        <v>5257.980459523299</v>
      </c>
      <c r="AT204" s="67">
        <f t="shared" si="86"/>
        <v>5204.0282610988079</v>
      </c>
      <c r="AU204" s="67">
        <f t="shared" si="86"/>
        <v>4847.9649958574973</v>
      </c>
      <c r="AV204" s="67">
        <f t="shared" si="86"/>
        <v>5259.3665436654373</v>
      </c>
      <c r="AW204" s="67">
        <f t="shared" si="86"/>
        <v>5153.282489322758</v>
      </c>
      <c r="AX204" s="67">
        <f t="shared" si="86"/>
        <v>5347.0000000000009</v>
      </c>
      <c r="AY204" s="67">
        <f t="shared" si="86"/>
        <v>5273.891606339268</v>
      </c>
      <c r="AZ204" s="67">
        <f t="shared" si="86"/>
        <v>6012.7778311401407</v>
      </c>
      <c r="BA204" s="67">
        <f t="shared" si="86"/>
        <v>6243.4815587370822</v>
      </c>
      <c r="BB204" s="67">
        <f t="shared" si="86"/>
        <v>6416.1319890009172</v>
      </c>
      <c r="BC204" s="67">
        <f t="shared" si="86"/>
        <v>6019.0182472372144</v>
      </c>
      <c r="BD204" s="67">
        <f t="shared" si="86"/>
        <v>6991.0706971409854</v>
      </c>
      <c r="BE204" s="67">
        <f t="shared" si="86"/>
        <v>6462.937844091598</v>
      </c>
      <c r="BF204" s="67">
        <f t="shared" si="86"/>
        <v>6433.479075577764</v>
      </c>
      <c r="BG204" s="67">
        <f t="shared" si="86"/>
        <v>6302.5852837693137</v>
      </c>
      <c r="BH204" s="67">
        <f t="shared" si="86"/>
        <v>5424.5066544286374</v>
      </c>
    </row>
    <row r="205" spans="1:60" s="67" customFormat="1" x14ac:dyDescent="0.25">
      <c r="A205" s="67" t="str">
        <f t="shared" ref="A205:E205" si="89">A30</f>
        <v>DOE</v>
      </c>
      <c r="B205" s="67" t="str">
        <f t="shared" si="89"/>
        <v>Office of Science</v>
      </c>
      <c r="C205" s="67" t="str">
        <f t="shared" si="89"/>
        <v>Adv Sci Comp</v>
      </c>
      <c r="D205" s="67" t="str">
        <f t="shared" si="89"/>
        <v>Steady</v>
      </c>
      <c r="E205" s="67" t="str">
        <f t="shared" si="89"/>
        <v>Subprograms</v>
      </c>
      <c r="F205" s="67" t="s">
        <v>90</v>
      </c>
      <c r="H205" s="67" t="str">
        <f t="shared" si="56"/>
        <v>Advanced Scientific Computing Research</v>
      </c>
      <c r="I205" s="67">
        <f t="shared" si="57"/>
        <v>0</v>
      </c>
      <c r="J205" s="67">
        <f t="shared" si="86"/>
        <v>0</v>
      </c>
      <c r="K205" s="67">
        <f t="shared" si="86"/>
        <v>0</v>
      </c>
      <c r="L205" s="67">
        <f t="shared" si="86"/>
        <v>0</v>
      </c>
      <c r="M205" s="67">
        <f t="shared" si="86"/>
        <v>0</v>
      </c>
      <c r="N205" s="67">
        <f t="shared" si="86"/>
        <v>0</v>
      </c>
      <c r="O205" s="67">
        <f t="shared" si="86"/>
        <v>0</v>
      </c>
      <c r="P205" s="67">
        <f t="shared" si="86"/>
        <v>0</v>
      </c>
      <c r="Q205" s="67">
        <f t="shared" si="86"/>
        <v>0</v>
      </c>
      <c r="R205" s="67">
        <f t="shared" si="86"/>
        <v>0</v>
      </c>
      <c r="S205" s="67">
        <f t="shared" si="86"/>
        <v>0</v>
      </c>
      <c r="T205" s="67">
        <f t="shared" si="86"/>
        <v>0</v>
      </c>
      <c r="U205" s="67">
        <f t="shared" si="86"/>
        <v>0</v>
      </c>
      <c r="V205" s="67">
        <f t="shared" si="86"/>
        <v>0</v>
      </c>
      <c r="W205" s="67">
        <f t="shared" si="86"/>
        <v>0</v>
      </c>
      <c r="X205" s="67">
        <f t="shared" si="86"/>
        <v>0</v>
      </c>
      <c r="Y205" s="67">
        <f t="shared" si="86"/>
        <v>0</v>
      </c>
      <c r="Z205" s="67">
        <f t="shared" si="86"/>
        <v>0</v>
      </c>
      <c r="AA205" s="67">
        <f t="shared" si="86"/>
        <v>0</v>
      </c>
      <c r="AB205" s="67">
        <f t="shared" si="86"/>
        <v>0</v>
      </c>
      <c r="AC205" s="67">
        <f t="shared" si="86"/>
        <v>0</v>
      </c>
      <c r="AD205" s="67">
        <f t="shared" si="86"/>
        <v>0</v>
      </c>
      <c r="AE205" s="67">
        <f t="shared" si="86"/>
        <v>212.26113272805884</v>
      </c>
      <c r="AF205" s="67">
        <f t="shared" si="86"/>
        <v>208.90834044975804</v>
      </c>
      <c r="AG205" s="67">
        <f t="shared" si="86"/>
        <v>215.81892309855195</v>
      </c>
      <c r="AH205" s="67">
        <f t="shared" si="86"/>
        <v>172.15259606114861</v>
      </c>
      <c r="AI205" s="67">
        <f t="shared" si="86"/>
        <v>216.48514185827617</v>
      </c>
      <c r="AJ205" s="67">
        <f t="shared" si="86"/>
        <v>198.57029388403495</v>
      </c>
      <c r="AK205" s="67">
        <f t="shared" si="86"/>
        <v>210.47293013820212</v>
      </c>
      <c r="AL205" s="67">
        <f t="shared" si="86"/>
        <v>242.40187030884707</v>
      </c>
      <c r="AM205" s="67">
        <f t="shared" si="86"/>
        <v>269.33619354069839</v>
      </c>
      <c r="AN205" s="67">
        <f t="shared" si="86"/>
        <v>264.43980514961726</v>
      </c>
      <c r="AO205" s="67">
        <f t="shared" si="86"/>
        <v>313.60072719009202</v>
      </c>
      <c r="AP205" s="67">
        <f t="shared" si="86"/>
        <v>384.65864357215162</v>
      </c>
      <c r="AQ205" s="67">
        <f t="shared" si="86"/>
        <v>400.31222123104368</v>
      </c>
      <c r="AR205" s="67">
        <f t="shared" si="86"/>
        <v>418.67074770441627</v>
      </c>
      <c r="AS205" s="67">
        <f t="shared" si="86"/>
        <v>440.53789993558087</v>
      </c>
      <c r="AT205" s="67">
        <f t="shared" si="86"/>
        <v>451.6545397026257</v>
      </c>
      <c r="AU205" s="67">
        <f t="shared" si="86"/>
        <v>419.42833471416736</v>
      </c>
      <c r="AV205" s="67">
        <f t="shared" si="86"/>
        <v>475.06355063550632</v>
      </c>
      <c r="AW205" s="67">
        <f t="shared" si="86"/>
        <v>532.24628838722788</v>
      </c>
      <c r="AX205" s="67">
        <f t="shared" si="86"/>
        <v>621</v>
      </c>
      <c r="AY205" s="67">
        <f t="shared" si="86"/>
        <v>632.94854235961657</v>
      </c>
      <c r="AZ205" s="67">
        <f t="shared" si="86"/>
        <v>778.02324464508695</v>
      </c>
      <c r="BA205" s="67">
        <f t="shared" si="86"/>
        <v>886.9820802123827</v>
      </c>
      <c r="BB205" s="67">
        <f t="shared" si="86"/>
        <v>898.25847846012834</v>
      </c>
      <c r="BC205" s="67">
        <f t="shared" si="86"/>
        <v>869.5279705302836</v>
      </c>
      <c r="BD205" s="67">
        <f t="shared" si="86"/>
        <v>956.00884738264938</v>
      </c>
      <c r="BE205" s="67">
        <f t="shared" si="86"/>
        <v>852.15032314689211</v>
      </c>
      <c r="BF205" s="67">
        <f t="shared" si="86"/>
        <v>793.25421611492823</v>
      </c>
      <c r="BG205" s="67">
        <f t="shared" si="86"/>
        <v>792.59216766100656</v>
      </c>
      <c r="BH205" s="67">
        <f t="shared" si="86"/>
        <v>777.11488450359502</v>
      </c>
    </row>
    <row r="206" spans="1:60" s="67" customFormat="1" x14ac:dyDescent="0.25">
      <c r="A206" s="67" t="str">
        <f t="shared" ref="A206:E206" si="90">A31</f>
        <v>DOE</v>
      </c>
      <c r="B206" s="67" t="str">
        <f t="shared" si="90"/>
        <v>Office of Science</v>
      </c>
      <c r="C206" s="67" t="str">
        <f t="shared" si="90"/>
        <v>BES</v>
      </c>
      <c r="D206" s="67" t="str">
        <f t="shared" si="90"/>
        <v>Steady</v>
      </c>
      <c r="E206" s="67" t="str">
        <f t="shared" si="90"/>
        <v>Subprograms</v>
      </c>
      <c r="F206" s="67" t="s">
        <v>90</v>
      </c>
      <c r="H206" s="67" t="str">
        <f t="shared" si="56"/>
        <v>Basic Energy Sciences</v>
      </c>
      <c r="I206" s="67">
        <f t="shared" si="57"/>
        <v>0</v>
      </c>
      <c r="J206" s="67">
        <f t="shared" si="86"/>
        <v>0</v>
      </c>
      <c r="K206" s="67">
        <f t="shared" si="86"/>
        <v>0</v>
      </c>
      <c r="L206" s="67">
        <f t="shared" si="86"/>
        <v>0</v>
      </c>
      <c r="M206" s="67">
        <f t="shared" si="86"/>
        <v>0</v>
      </c>
      <c r="N206" s="67">
        <f t="shared" si="86"/>
        <v>0</v>
      </c>
      <c r="O206" s="67">
        <f t="shared" si="86"/>
        <v>0</v>
      </c>
      <c r="P206" s="67">
        <f t="shared" si="86"/>
        <v>0</v>
      </c>
      <c r="Q206" s="67">
        <f t="shared" si="86"/>
        <v>0</v>
      </c>
      <c r="R206" s="67">
        <f t="shared" si="86"/>
        <v>0</v>
      </c>
      <c r="S206" s="67">
        <f t="shared" si="86"/>
        <v>0</v>
      </c>
      <c r="T206" s="67">
        <f t="shared" si="86"/>
        <v>0</v>
      </c>
      <c r="U206" s="67">
        <f t="shared" si="86"/>
        <v>0</v>
      </c>
      <c r="V206" s="67">
        <f t="shared" si="86"/>
        <v>0</v>
      </c>
      <c r="W206" s="67">
        <f t="shared" si="86"/>
        <v>938.41763259571485</v>
      </c>
      <c r="X206" s="67">
        <f t="shared" si="86"/>
        <v>955.7777024737378</v>
      </c>
      <c r="Y206" s="67">
        <f t="shared" si="86"/>
        <v>1154.5885817111075</v>
      </c>
      <c r="Z206" s="67">
        <f t="shared" si="86"/>
        <v>1213.5333546121926</v>
      </c>
      <c r="AA206" s="67">
        <f t="shared" si="86"/>
        <v>1328.3954467487915</v>
      </c>
      <c r="AB206" s="67">
        <f t="shared" si="86"/>
        <v>1156.4169082862811</v>
      </c>
      <c r="AC206" s="67">
        <f t="shared" si="86"/>
        <v>891.70203227734601</v>
      </c>
      <c r="AD206" s="67">
        <f t="shared" si="86"/>
        <v>1135.7186858316222</v>
      </c>
      <c r="AE206" s="67">
        <f t="shared" si="86"/>
        <v>912.22078109237646</v>
      </c>
      <c r="AF206" s="67">
        <f t="shared" si="86"/>
        <v>927.71989752348429</v>
      </c>
      <c r="AG206" s="67">
        <f t="shared" si="86"/>
        <v>1101.0614368058484</v>
      </c>
      <c r="AH206" s="67">
        <f t="shared" si="86"/>
        <v>1049.4422255887619</v>
      </c>
      <c r="AI206" s="67">
        <f t="shared" si="86"/>
        <v>1309.667876832056</v>
      </c>
      <c r="AJ206" s="67">
        <f t="shared" si="86"/>
        <v>1298.6497220015885</v>
      </c>
      <c r="AK206" s="67">
        <f t="shared" si="86"/>
        <v>1265.3733992646128</v>
      </c>
      <c r="AL206" s="67">
        <f t="shared" si="86"/>
        <v>1221.8530823181986</v>
      </c>
      <c r="AM206" s="67">
        <f t="shared" si="86"/>
        <v>1287.0933142652843</v>
      </c>
      <c r="AN206" s="67">
        <f t="shared" si="86"/>
        <v>1290.8837856645791</v>
      </c>
      <c r="AO206" s="67">
        <f t="shared" si="86"/>
        <v>1389.6148164981253</v>
      </c>
      <c r="AP206" s="67">
        <f t="shared" si="86"/>
        <v>1409.2902935552806</v>
      </c>
      <c r="AQ206" s="67">
        <f t="shared" si="86"/>
        <v>1712.7564674397859</v>
      </c>
      <c r="AR206" s="67">
        <f t="shared" si="86"/>
        <v>1747.9230432881504</v>
      </c>
      <c r="AS206" s="67">
        <f t="shared" si="86"/>
        <v>1759.1915396177797</v>
      </c>
      <c r="AT206" s="67">
        <f t="shared" si="86"/>
        <v>1734.4374143203627</v>
      </c>
      <c r="AU206" s="67">
        <f t="shared" si="86"/>
        <v>1606.5202982601493</v>
      </c>
      <c r="AV206" s="67">
        <f t="shared" si="86"/>
        <v>1704.2865928659287</v>
      </c>
      <c r="AW206" s="67">
        <f t="shared" si="86"/>
        <v>1711.3321130770794</v>
      </c>
      <c r="AX206" s="67">
        <f t="shared" si="86"/>
        <v>1849</v>
      </c>
      <c r="AY206" s="67">
        <f t="shared" si="86"/>
        <v>1830.8550185873605</v>
      </c>
      <c r="AZ206" s="67">
        <f t="shared" si="86"/>
        <v>2007.4920756891752</v>
      </c>
      <c r="BA206" s="67">
        <f t="shared" si="86"/>
        <v>2053.6645491608988</v>
      </c>
      <c r="BB206" s="67">
        <f t="shared" si="86"/>
        <v>2028.4142988084327</v>
      </c>
      <c r="BC206" s="67">
        <f t="shared" si="86"/>
        <v>1923.2416688083611</v>
      </c>
      <c r="BD206" s="67">
        <f t="shared" si="86"/>
        <v>2066.8468911280415</v>
      </c>
      <c r="BE206" s="67">
        <f t="shared" si="86"/>
        <v>2021.8622835713713</v>
      </c>
      <c r="BF206" s="67">
        <f t="shared" si="86"/>
        <v>2049.9882885696443</v>
      </c>
      <c r="BG206" s="67">
        <f t="shared" si="86"/>
        <v>1979.7192901942788</v>
      </c>
      <c r="BH206" s="67">
        <f t="shared" si="86"/>
        <v>1714.089031665902</v>
      </c>
    </row>
    <row r="207" spans="1:60" s="67" customFormat="1" x14ac:dyDescent="0.25">
      <c r="A207" s="67" t="str">
        <f t="shared" ref="A207:E207" si="91">A32</f>
        <v>DOE</v>
      </c>
      <c r="B207" s="67" t="str">
        <f t="shared" si="91"/>
        <v>Office of Science</v>
      </c>
      <c r="C207" s="67" t="str">
        <f t="shared" si="91"/>
        <v>Bio Env Res</v>
      </c>
      <c r="D207" s="67" t="str">
        <f t="shared" si="91"/>
        <v>Steady</v>
      </c>
      <c r="E207" s="67" t="str">
        <f t="shared" si="91"/>
        <v>Subprograms</v>
      </c>
      <c r="F207" s="67" t="s">
        <v>90</v>
      </c>
      <c r="H207" s="67" t="str">
        <f t="shared" si="56"/>
        <v>Biological and Environmental Research</v>
      </c>
      <c r="I207" s="67">
        <f t="shared" si="57"/>
        <v>0</v>
      </c>
      <c r="J207" s="67">
        <f t="shared" si="86"/>
        <v>0</v>
      </c>
      <c r="K207" s="67">
        <f t="shared" si="86"/>
        <v>0</v>
      </c>
      <c r="L207" s="67">
        <f t="shared" si="86"/>
        <v>0</v>
      </c>
      <c r="M207" s="67">
        <f t="shared" si="86"/>
        <v>0</v>
      </c>
      <c r="N207" s="67">
        <f t="shared" si="86"/>
        <v>0</v>
      </c>
      <c r="O207" s="67">
        <f t="shared" si="86"/>
        <v>0</v>
      </c>
      <c r="P207" s="67">
        <f t="shared" si="86"/>
        <v>0</v>
      </c>
      <c r="Q207" s="67">
        <f t="shared" si="86"/>
        <v>0</v>
      </c>
      <c r="R207" s="67">
        <f t="shared" si="86"/>
        <v>0</v>
      </c>
      <c r="S207" s="67">
        <f t="shared" si="86"/>
        <v>0</v>
      </c>
      <c r="T207" s="67">
        <f t="shared" si="86"/>
        <v>0</v>
      </c>
      <c r="U207" s="67">
        <f t="shared" si="86"/>
        <v>0</v>
      </c>
      <c r="V207" s="67">
        <f t="shared" si="86"/>
        <v>0</v>
      </c>
      <c r="W207" s="67">
        <f t="shared" si="86"/>
        <v>440.40744643484368</v>
      </c>
      <c r="X207" s="67">
        <f t="shared" si="86"/>
        <v>517.45171128431036</v>
      </c>
      <c r="Y207" s="67">
        <f t="shared" ref="J207:BH212" si="92">Y32/Y$175</f>
        <v>638.96613773924435</v>
      </c>
      <c r="Z207" s="67">
        <f t="shared" si="92"/>
        <v>562.40025534631332</v>
      </c>
      <c r="AA207" s="67">
        <f t="shared" si="92"/>
        <v>549.19694370809293</v>
      </c>
      <c r="AB207" s="67">
        <f t="shared" si="92"/>
        <v>603.08255760720283</v>
      </c>
      <c r="AC207" s="67">
        <f t="shared" si="92"/>
        <v>610.04931261207412</v>
      </c>
      <c r="AD207" s="67">
        <f t="shared" si="92"/>
        <v>602.75154004106787</v>
      </c>
      <c r="AE207" s="67">
        <f t="shared" si="92"/>
        <v>538.22020464043817</v>
      </c>
      <c r="AF207" s="67">
        <f t="shared" si="92"/>
        <v>563.15969257045253</v>
      </c>
      <c r="AG207" s="67">
        <f t="shared" si="92"/>
        <v>598.74876985800643</v>
      </c>
      <c r="AH207" s="67">
        <f t="shared" si="92"/>
        <v>568.79217738603495</v>
      </c>
      <c r="AI207" s="67">
        <f t="shared" si="92"/>
        <v>641.38765631302942</v>
      </c>
      <c r="AJ207" s="67">
        <f t="shared" si="92"/>
        <v>677.78660312417264</v>
      </c>
      <c r="AK207" s="67">
        <f t="shared" si="92"/>
        <v>623.8113351084063</v>
      </c>
      <c r="AL207" s="67">
        <f t="shared" si="92"/>
        <v>769.04146671588535</v>
      </c>
      <c r="AM207" s="67">
        <f t="shared" si="92"/>
        <v>662.61470623286857</v>
      </c>
      <c r="AN207" s="67">
        <f t="shared" si="92"/>
        <v>654.14057063326379</v>
      </c>
      <c r="AO207" s="67">
        <f t="shared" si="92"/>
        <v>545.39256902624697</v>
      </c>
      <c r="AP207" s="67">
        <f t="shared" si="92"/>
        <v>549.99437633562025</v>
      </c>
      <c r="AQ207" s="67">
        <f t="shared" si="92"/>
        <v>652.3193577163247</v>
      </c>
      <c r="AR207" s="67">
        <f t="shared" si="92"/>
        <v>642.76344556187144</v>
      </c>
      <c r="AS207" s="67">
        <f t="shared" si="92"/>
        <v>639.08739531887477</v>
      </c>
      <c r="AT207" s="67">
        <f t="shared" si="92"/>
        <v>624.73162501318143</v>
      </c>
      <c r="AU207" s="67">
        <f t="shared" si="92"/>
        <v>580.63069594034801</v>
      </c>
      <c r="AV207" s="67">
        <f t="shared" si="92"/>
        <v>608.45633456334565</v>
      </c>
      <c r="AW207" s="67">
        <f t="shared" si="92"/>
        <v>582.28391295505389</v>
      </c>
      <c r="AX207" s="67">
        <f t="shared" si="92"/>
        <v>609</v>
      </c>
      <c r="AY207" s="67">
        <f t="shared" si="92"/>
        <v>598.70866757972999</v>
      </c>
      <c r="AZ207" s="67">
        <f t="shared" si="92"/>
        <v>646.43165882239941</v>
      </c>
      <c r="BA207" s="67">
        <f t="shared" si="92"/>
        <v>668.43652223381059</v>
      </c>
      <c r="BB207" s="67">
        <f t="shared" si="92"/>
        <v>687.44271310724105</v>
      </c>
      <c r="BC207" s="67">
        <f t="shared" si="92"/>
        <v>645.07838601901824</v>
      </c>
      <c r="BD207" s="67">
        <f t="shared" si="92"/>
        <v>638.15843368559024</v>
      </c>
      <c r="BE207" s="67">
        <f t="shared" si="92"/>
        <v>725.28524694805708</v>
      </c>
      <c r="BF207" s="67">
        <f t="shared" si="92"/>
        <v>702.685821361649</v>
      </c>
      <c r="BG207" s="67">
        <f t="shared" si="92"/>
        <v>665.44286369894451</v>
      </c>
      <c r="BH207" s="67">
        <f t="shared" si="92"/>
        <v>302.06516750803127</v>
      </c>
    </row>
    <row r="208" spans="1:60" s="67" customFormat="1" x14ac:dyDescent="0.25">
      <c r="A208" s="67" t="str">
        <f t="shared" ref="A208:E208" si="93">A33</f>
        <v>DOE</v>
      </c>
      <c r="B208" s="67" t="str">
        <f t="shared" si="93"/>
        <v>Office of Science</v>
      </c>
      <c r="C208" s="67" t="str">
        <f t="shared" si="93"/>
        <v xml:space="preserve">Fusion </v>
      </c>
      <c r="D208" s="67" t="str">
        <f t="shared" si="93"/>
        <v>Steady</v>
      </c>
      <c r="E208" s="67" t="str">
        <f t="shared" si="93"/>
        <v>Subprograms</v>
      </c>
      <c r="F208" s="67" t="s">
        <v>90</v>
      </c>
      <c r="H208" s="67" t="str">
        <f t="shared" si="56"/>
        <v>Fusion Energy Sciences</v>
      </c>
      <c r="I208" s="67">
        <f t="shared" si="57"/>
        <v>0</v>
      </c>
      <c r="J208" s="67">
        <f t="shared" si="92"/>
        <v>0</v>
      </c>
      <c r="K208" s="67">
        <f t="shared" si="92"/>
        <v>0</v>
      </c>
      <c r="L208" s="67">
        <f t="shared" si="92"/>
        <v>0</v>
      </c>
      <c r="M208" s="67">
        <f t="shared" si="92"/>
        <v>0</v>
      </c>
      <c r="N208" s="67">
        <f t="shared" si="92"/>
        <v>0</v>
      </c>
      <c r="O208" s="67">
        <f t="shared" si="92"/>
        <v>0</v>
      </c>
      <c r="P208" s="67">
        <f t="shared" si="92"/>
        <v>0</v>
      </c>
      <c r="Q208" s="67">
        <f t="shared" si="92"/>
        <v>0</v>
      </c>
      <c r="R208" s="67">
        <f t="shared" si="92"/>
        <v>0</v>
      </c>
      <c r="S208" s="67">
        <f t="shared" si="92"/>
        <v>0</v>
      </c>
      <c r="T208" s="67">
        <f t="shared" si="92"/>
        <v>0</v>
      </c>
      <c r="U208" s="67">
        <f t="shared" si="92"/>
        <v>0</v>
      </c>
      <c r="V208" s="67">
        <f t="shared" si="92"/>
        <v>0</v>
      </c>
      <c r="W208" s="67">
        <f t="shared" si="92"/>
        <v>605.3020723568668</v>
      </c>
      <c r="X208" s="67">
        <f t="shared" si="92"/>
        <v>536.59776347001025</v>
      </c>
      <c r="Y208" s="67">
        <f t="shared" si="92"/>
        <v>468.80255193849177</v>
      </c>
      <c r="Z208" s="67">
        <f t="shared" si="92"/>
        <v>530.16278327481643</v>
      </c>
      <c r="AA208" s="67">
        <f t="shared" si="92"/>
        <v>522.53235615156723</v>
      </c>
      <c r="AB208" s="67">
        <f t="shared" si="92"/>
        <v>501.4497176865558</v>
      </c>
      <c r="AC208" s="67">
        <f t="shared" si="92"/>
        <v>498.04542737597126</v>
      </c>
      <c r="AD208" s="67">
        <f t="shared" si="92"/>
        <v>350.45467879143445</v>
      </c>
      <c r="AE208" s="67">
        <f t="shared" si="92"/>
        <v>323.89393284334921</v>
      </c>
      <c r="AF208" s="67">
        <f t="shared" si="92"/>
        <v>319.08625106746371</v>
      </c>
      <c r="AG208" s="67">
        <f t="shared" si="92"/>
        <v>305.42387178405733</v>
      </c>
      <c r="AH208" s="67">
        <f t="shared" si="92"/>
        <v>333.28742597438372</v>
      </c>
      <c r="AI208" s="67">
        <f t="shared" si="92"/>
        <v>325.4000268925642</v>
      </c>
      <c r="AJ208" s="67">
        <f t="shared" si="92"/>
        <v>319.03627217368285</v>
      </c>
      <c r="AK208" s="67">
        <f t="shared" si="92"/>
        <v>303.03030303030306</v>
      </c>
      <c r="AL208" s="67">
        <f t="shared" si="92"/>
        <v>316.22985111357207</v>
      </c>
      <c r="AM208" s="67">
        <f t="shared" si="92"/>
        <v>315.81456322250034</v>
      </c>
      <c r="AN208" s="67">
        <f t="shared" si="92"/>
        <v>327.0702853166319</v>
      </c>
      <c r="AO208" s="67">
        <f t="shared" si="92"/>
        <v>354.50516986706054</v>
      </c>
      <c r="AP208" s="67">
        <f t="shared" si="92"/>
        <v>331.79619840287933</v>
      </c>
      <c r="AQ208" s="67">
        <f t="shared" si="92"/>
        <v>440.45495093666369</v>
      </c>
      <c r="AR208" s="67">
        <f t="shared" si="92"/>
        <v>456.93047660690866</v>
      </c>
      <c r="AS208" s="67">
        <f t="shared" si="92"/>
        <v>394.30642044234486</v>
      </c>
      <c r="AT208" s="67">
        <f t="shared" si="92"/>
        <v>414.38047031530107</v>
      </c>
      <c r="AU208" s="67">
        <f t="shared" si="92"/>
        <v>391.23446561723279</v>
      </c>
      <c r="AV208" s="67">
        <f t="shared" si="92"/>
        <v>508.25645756457567</v>
      </c>
      <c r="AW208" s="67">
        <f t="shared" si="92"/>
        <v>465.08643481797839</v>
      </c>
      <c r="AX208" s="67">
        <f t="shared" si="92"/>
        <v>438</v>
      </c>
      <c r="AY208" s="67">
        <f t="shared" si="92"/>
        <v>371.74721189591077</v>
      </c>
      <c r="AZ208" s="67">
        <f t="shared" si="92"/>
        <v>511.10460090289121</v>
      </c>
      <c r="BA208" s="67">
        <f t="shared" si="92"/>
        <v>534.74921778704845</v>
      </c>
      <c r="BB208" s="67">
        <f t="shared" si="92"/>
        <v>615.032080659945</v>
      </c>
      <c r="BC208" s="67">
        <f t="shared" si="92"/>
        <v>575.68748393729118</v>
      </c>
      <c r="BD208" s="67">
        <f t="shared" si="92"/>
        <v>770.04997132792664</v>
      </c>
      <c r="BE208" s="67">
        <f t="shared" si="92"/>
        <v>608.79278704220849</v>
      </c>
      <c r="BF208" s="67">
        <f t="shared" si="92"/>
        <v>616.80199875078074</v>
      </c>
      <c r="BG208" s="67">
        <f t="shared" si="92"/>
        <v>569.66498393758604</v>
      </c>
      <c r="BH208" s="67">
        <f t="shared" si="92"/>
        <v>634.84778950588964</v>
      </c>
    </row>
    <row r="209" spans="1:60" s="67" customFormat="1" x14ac:dyDescent="0.25">
      <c r="A209" s="67" t="str">
        <f t="shared" ref="A209:E209" si="94">A34</f>
        <v>DOE</v>
      </c>
      <c r="B209" s="67" t="str">
        <f t="shared" si="94"/>
        <v>Office of Science</v>
      </c>
      <c r="C209" s="67" t="str">
        <f t="shared" si="94"/>
        <v xml:space="preserve">High-Energy </v>
      </c>
      <c r="D209" s="67" t="str">
        <f t="shared" si="94"/>
        <v>Steady</v>
      </c>
      <c r="E209" s="67" t="str">
        <f t="shared" si="94"/>
        <v>Subprograms</v>
      </c>
      <c r="F209" s="67" t="s">
        <v>90</v>
      </c>
      <c r="H209" s="67" t="str">
        <f t="shared" si="56"/>
        <v>High Energy Physics</v>
      </c>
      <c r="I209" s="67">
        <f t="shared" si="57"/>
        <v>0</v>
      </c>
      <c r="J209" s="67">
        <f t="shared" si="92"/>
        <v>0</v>
      </c>
      <c r="K209" s="67">
        <f t="shared" si="92"/>
        <v>0</v>
      </c>
      <c r="L209" s="67">
        <f t="shared" si="92"/>
        <v>0</v>
      </c>
      <c r="M209" s="67">
        <f t="shared" si="92"/>
        <v>0</v>
      </c>
      <c r="N209" s="67">
        <f t="shared" si="92"/>
        <v>0</v>
      </c>
      <c r="O209" s="67">
        <f t="shared" si="92"/>
        <v>0</v>
      </c>
      <c r="P209" s="67">
        <f t="shared" si="92"/>
        <v>0</v>
      </c>
      <c r="Q209" s="67">
        <f t="shared" si="92"/>
        <v>0</v>
      </c>
      <c r="R209" s="67">
        <f t="shared" si="92"/>
        <v>0</v>
      </c>
      <c r="S209" s="67">
        <f t="shared" si="92"/>
        <v>0</v>
      </c>
      <c r="T209" s="67">
        <f t="shared" si="92"/>
        <v>0</v>
      </c>
      <c r="U209" s="67">
        <f t="shared" si="92"/>
        <v>0</v>
      </c>
      <c r="V209" s="67">
        <f t="shared" si="92"/>
        <v>0</v>
      </c>
      <c r="W209" s="67">
        <f t="shared" si="92"/>
        <v>0</v>
      </c>
      <c r="X209" s="67">
        <f t="shared" si="92"/>
        <v>976.44866147068797</v>
      </c>
      <c r="Y209" s="67">
        <f t="shared" si="92"/>
        <v>953.29788974317034</v>
      </c>
      <c r="Z209" s="67">
        <f t="shared" si="92"/>
        <v>986.91350143632292</v>
      </c>
      <c r="AA209" s="67">
        <f t="shared" si="92"/>
        <v>945.11149228130364</v>
      </c>
      <c r="AB209" s="67">
        <f t="shared" si="92"/>
        <v>931.17656035403638</v>
      </c>
      <c r="AC209" s="67">
        <f t="shared" si="92"/>
        <v>944.65481171548117</v>
      </c>
      <c r="AD209" s="67">
        <f t="shared" si="92"/>
        <v>962.75007333528902</v>
      </c>
      <c r="AE209" s="67">
        <f t="shared" si="92"/>
        <v>946.99380314166319</v>
      </c>
      <c r="AF209" s="67">
        <f t="shared" si="92"/>
        <v>951.59407913464281</v>
      </c>
      <c r="AG209" s="67">
        <f t="shared" si="92"/>
        <v>957.00267116547161</v>
      </c>
      <c r="AH209" s="67">
        <f t="shared" si="92"/>
        <v>948.90510948905114</v>
      </c>
      <c r="AI209" s="67">
        <f t="shared" si="92"/>
        <v>935.86123436869707</v>
      </c>
      <c r="AJ209" s="67">
        <f t="shared" si="92"/>
        <v>922.68996558114907</v>
      </c>
      <c r="AK209" s="67">
        <f t="shared" si="92"/>
        <v>887.53645239000889</v>
      </c>
      <c r="AL209" s="67">
        <f t="shared" si="92"/>
        <v>883.4748369632091</v>
      </c>
      <c r="AM209" s="67">
        <f t="shared" si="92"/>
        <v>856.8704564414254</v>
      </c>
      <c r="AN209" s="67">
        <f t="shared" si="92"/>
        <v>813.03641846439348</v>
      </c>
      <c r="AO209" s="67">
        <f t="shared" si="92"/>
        <v>832.85990228383139</v>
      </c>
      <c r="AP209" s="67">
        <f t="shared" si="92"/>
        <v>790.68721178720057</v>
      </c>
      <c r="AQ209" s="67">
        <f t="shared" si="92"/>
        <v>865.29884032114182</v>
      </c>
      <c r="AR209" s="67">
        <f t="shared" si="92"/>
        <v>864.6698731963271</v>
      </c>
      <c r="AS209" s="67">
        <f t="shared" si="92"/>
        <v>832.70130985613048</v>
      </c>
      <c r="AT209" s="67">
        <f t="shared" si="92"/>
        <v>812.54138985553095</v>
      </c>
      <c r="AU209" s="67">
        <f t="shared" si="92"/>
        <v>753.44138359569183</v>
      </c>
      <c r="AV209" s="67">
        <f t="shared" si="92"/>
        <v>794.30094300943006</v>
      </c>
      <c r="AW209" s="67">
        <f t="shared" si="92"/>
        <v>757.81167378482803</v>
      </c>
      <c r="AX209" s="67">
        <f t="shared" si="92"/>
        <v>795</v>
      </c>
      <c r="AY209" s="67">
        <f t="shared" si="92"/>
        <v>807.08276266875362</v>
      </c>
      <c r="AZ209" s="67">
        <f t="shared" si="92"/>
        <v>872.15445202189994</v>
      </c>
      <c r="BA209" s="67">
        <f t="shared" si="92"/>
        <v>929.17417275054515</v>
      </c>
      <c r="BB209" s="67">
        <f t="shared" si="92"/>
        <v>957.83684692942256</v>
      </c>
      <c r="BC209" s="67">
        <f t="shared" si="92"/>
        <v>896.08498243810504</v>
      </c>
      <c r="BD209" s="67">
        <f t="shared" si="92"/>
        <v>1082.1659703448843</v>
      </c>
      <c r="BE209" s="67">
        <f t="shared" si="92"/>
        <v>930.3438921247905</v>
      </c>
      <c r="BF209" s="67">
        <f t="shared" si="92"/>
        <v>936.91442848219867</v>
      </c>
      <c r="BG209" s="67">
        <f t="shared" si="92"/>
        <v>851.18249961756169</v>
      </c>
      <c r="BH209" s="67">
        <f t="shared" si="92"/>
        <v>940.61955025240945</v>
      </c>
    </row>
    <row r="210" spans="1:60" s="67" customFormat="1" x14ac:dyDescent="0.25">
      <c r="A210" s="67" t="str">
        <f t="shared" ref="A210:E210" si="95">A35</f>
        <v>DOE</v>
      </c>
      <c r="B210" s="67" t="str">
        <f t="shared" si="95"/>
        <v>Office of Science</v>
      </c>
      <c r="C210" s="67" t="str">
        <f t="shared" si="95"/>
        <v xml:space="preserve">Nuclear </v>
      </c>
      <c r="D210" s="67" t="str">
        <f t="shared" si="95"/>
        <v>Steady</v>
      </c>
      <c r="E210" s="67" t="str">
        <f t="shared" si="95"/>
        <v>Subprograms</v>
      </c>
      <c r="F210" s="67" t="s">
        <v>90</v>
      </c>
      <c r="H210" s="67" t="str">
        <f t="shared" si="56"/>
        <v>Nuclear Physics</v>
      </c>
      <c r="I210" s="67">
        <f t="shared" si="57"/>
        <v>0</v>
      </c>
      <c r="J210" s="67">
        <f t="shared" si="92"/>
        <v>0</v>
      </c>
      <c r="K210" s="67">
        <f t="shared" si="92"/>
        <v>0</v>
      </c>
      <c r="L210" s="67">
        <f t="shared" si="92"/>
        <v>0</v>
      </c>
      <c r="M210" s="67">
        <f t="shared" si="92"/>
        <v>0</v>
      </c>
      <c r="N210" s="67">
        <f t="shared" si="92"/>
        <v>0</v>
      </c>
      <c r="O210" s="67">
        <f t="shared" si="92"/>
        <v>0</v>
      </c>
      <c r="P210" s="67">
        <f t="shared" si="92"/>
        <v>0</v>
      </c>
      <c r="Q210" s="67">
        <f t="shared" si="92"/>
        <v>0</v>
      </c>
      <c r="R210" s="67">
        <f t="shared" si="92"/>
        <v>0</v>
      </c>
      <c r="S210" s="67">
        <f t="shared" si="92"/>
        <v>0</v>
      </c>
      <c r="T210" s="67">
        <f t="shared" si="92"/>
        <v>0</v>
      </c>
      <c r="U210" s="67">
        <f t="shared" si="92"/>
        <v>0</v>
      </c>
      <c r="V210" s="67">
        <f t="shared" si="92"/>
        <v>0</v>
      </c>
      <c r="W210" s="67">
        <f t="shared" si="92"/>
        <v>610.30558482613276</v>
      </c>
      <c r="X210" s="67">
        <f t="shared" si="92"/>
        <v>486.61470687902408</v>
      </c>
      <c r="Y210" s="67">
        <f t="shared" si="92"/>
        <v>508.28234909209885</v>
      </c>
      <c r="Z210" s="67">
        <f t="shared" si="92"/>
        <v>560.80434088732841</v>
      </c>
      <c r="AA210" s="67">
        <f t="shared" si="92"/>
        <v>478.09137689069081</v>
      </c>
      <c r="AB210" s="67">
        <f t="shared" si="92"/>
        <v>526.93422859758891</v>
      </c>
      <c r="AC210" s="67">
        <f t="shared" si="92"/>
        <v>488.30842797369996</v>
      </c>
      <c r="AD210" s="67">
        <f t="shared" si="92"/>
        <v>439.9325315341743</v>
      </c>
      <c r="AE210" s="67">
        <f t="shared" si="92"/>
        <v>446.67963683527893</v>
      </c>
      <c r="AF210" s="67">
        <f t="shared" si="92"/>
        <v>447.96185596356389</v>
      </c>
      <c r="AG210" s="67">
        <f t="shared" si="92"/>
        <v>459.95782370307887</v>
      </c>
      <c r="AH210" s="67">
        <f t="shared" si="92"/>
        <v>479.27282743423774</v>
      </c>
      <c r="AI210" s="67">
        <f t="shared" si="92"/>
        <v>473.30913002554792</v>
      </c>
      <c r="AJ210" s="67">
        <f t="shared" si="92"/>
        <v>464.65448768864178</v>
      </c>
      <c r="AK210" s="67">
        <f t="shared" si="92"/>
        <v>467.85850133130469</v>
      </c>
      <c r="AL210" s="67">
        <f t="shared" si="92"/>
        <v>467.57721176325828</v>
      </c>
      <c r="AM210" s="67">
        <f t="shared" si="92"/>
        <v>469.55070909307597</v>
      </c>
      <c r="AN210" s="67">
        <f t="shared" si="92"/>
        <v>415.21688703317096</v>
      </c>
      <c r="AO210" s="67">
        <f t="shared" si="92"/>
        <v>469.26485626633337</v>
      </c>
      <c r="AP210" s="67">
        <f t="shared" si="92"/>
        <v>476.88673939939264</v>
      </c>
      <c r="AQ210" s="67">
        <f t="shared" si="92"/>
        <v>557.53791257805528</v>
      </c>
      <c r="AR210" s="67">
        <f t="shared" si="92"/>
        <v>570.61652820288589</v>
      </c>
      <c r="AS210" s="67">
        <f t="shared" si="92"/>
        <v>566.54928065278068</v>
      </c>
      <c r="AT210" s="67">
        <f t="shared" si="92"/>
        <v>563.78993989243918</v>
      </c>
      <c r="AU210" s="67">
        <f t="shared" si="92"/>
        <v>525.31897265948635</v>
      </c>
      <c r="AV210" s="67">
        <f t="shared" si="92"/>
        <v>568.67773677736773</v>
      </c>
      <c r="AW210" s="67">
        <f t="shared" si="92"/>
        <v>590.54708155379296</v>
      </c>
      <c r="AX210" s="67">
        <f t="shared" si="92"/>
        <v>617.1</v>
      </c>
      <c r="AY210" s="67">
        <f t="shared" si="92"/>
        <v>608.4914889454119</v>
      </c>
      <c r="AZ210" s="67">
        <f t="shared" si="92"/>
        <v>656.99740658918461</v>
      </c>
      <c r="BA210" s="67">
        <f t="shared" si="92"/>
        <v>654.21446856926138</v>
      </c>
      <c r="BB210" s="67">
        <f t="shared" si="92"/>
        <v>653.5288725939505</v>
      </c>
      <c r="BC210" s="67">
        <f t="shared" si="92"/>
        <v>610.81127387989375</v>
      </c>
      <c r="BD210" s="67">
        <f t="shared" si="92"/>
        <v>720.89784549848457</v>
      </c>
      <c r="BE210" s="67">
        <f t="shared" si="92"/>
        <v>642.30431660416491</v>
      </c>
      <c r="BF210" s="67">
        <f t="shared" si="92"/>
        <v>627.73266708307312</v>
      </c>
      <c r="BG210" s="67">
        <f t="shared" si="92"/>
        <v>587.31834174697883</v>
      </c>
      <c r="BH210" s="67">
        <f t="shared" si="92"/>
        <v>646.63989597674777</v>
      </c>
    </row>
    <row r="211" spans="1:60" s="67" customFormat="1" x14ac:dyDescent="0.25">
      <c r="A211" s="67" t="str">
        <f t="shared" ref="A211:E211" si="96">A36</f>
        <v>DOE</v>
      </c>
      <c r="B211" s="67" t="str">
        <f t="shared" si="96"/>
        <v>EERE</v>
      </c>
      <c r="C211" s="67" t="str">
        <f t="shared" si="96"/>
        <v>EERE</v>
      </c>
      <c r="D211" s="67" t="str">
        <f t="shared" si="96"/>
        <v>Steady</v>
      </c>
      <c r="E211" s="67" t="str">
        <f t="shared" si="96"/>
        <v>Program</v>
      </c>
      <c r="F211" s="67" t="s">
        <v>90</v>
      </c>
      <c r="H211" s="67" t="str">
        <f t="shared" si="56"/>
        <v>Energy Efficiency and Renewable Energy</v>
      </c>
      <c r="I211" s="67">
        <f t="shared" si="57"/>
        <v>0</v>
      </c>
      <c r="J211" s="67">
        <f t="shared" si="92"/>
        <v>0</v>
      </c>
      <c r="K211" s="67">
        <f t="shared" si="92"/>
        <v>0</v>
      </c>
      <c r="L211" s="67">
        <f t="shared" si="92"/>
        <v>0</v>
      </c>
      <c r="M211" s="67">
        <f t="shared" si="92"/>
        <v>0</v>
      </c>
      <c r="N211" s="67">
        <f t="shared" si="92"/>
        <v>0</v>
      </c>
      <c r="O211" s="67">
        <f t="shared" si="92"/>
        <v>0</v>
      </c>
      <c r="P211" s="67">
        <f t="shared" si="92"/>
        <v>0</v>
      </c>
      <c r="Q211" s="67">
        <f t="shared" si="92"/>
        <v>0</v>
      </c>
      <c r="R211" s="67">
        <f t="shared" si="92"/>
        <v>0</v>
      </c>
      <c r="S211" s="67">
        <f t="shared" si="92"/>
        <v>0</v>
      </c>
      <c r="T211" s="67">
        <f t="shared" si="92"/>
        <v>0</v>
      </c>
      <c r="U211" s="67">
        <f t="shared" si="92"/>
        <v>0</v>
      </c>
      <c r="V211" s="67">
        <f t="shared" si="92"/>
        <v>0</v>
      </c>
      <c r="W211" s="67">
        <f t="shared" si="92"/>
        <v>0</v>
      </c>
      <c r="X211" s="67">
        <f t="shared" si="92"/>
        <v>0</v>
      </c>
      <c r="Y211" s="67">
        <f t="shared" si="92"/>
        <v>0</v>
      </c>
      <c r="Z211" s="67">
        <f t="shared" si="92"/>
        <v>0</v>
      </c>
      <c r="AA211" s="67">
        <f t="shared" si="92"/>
        <v>0</v>
      </c>
      <c r="AB211" s="67">
        <f t="shared" si="92"/>
        <v>0</v>
      </c>
      <c r="AC211" s="67">
        <f t="shared" si="92"/>
        <v>0</v>
      </c>
      <c r="AD211" s="67">
        <f t="shared" si="92"/>
        <v>0</v>
      </c>
      <c r="AE211" s="67">
        <f t="shared" si="92"/>
        <v>0</v>
      </c>
      <c r="AF211" s="67">
        <f t="shared" si="92"/>
        <v>0</v>
      </c>
      <c r="AG211" s="67">
        <f t="shared" si="92"/>
        <v>0</v>
      </c>
      <c r="AH211" s="67">
        <f t="shared" si="92"/>
        <v>0</v>
      </c>
      <c r="AI211" s="67">
        <f t="shared" si="92"/>
        <v>0</v>
      </c>
      <c r="AJ211" s="67">
        <f t="shared" si="92"/>
        <v>0</v>
      </c>
      <c r="AK211" s="67">
        <f t="shared" si="92"/>
        <v>0</v>
      </c>
      <c r="AL211" s="67">
        <f t="shared" si="92"/>
        <v>0</v>
      </c>
      <c r="AM211" s="67">
        <f t="shared" si="92"/>
        <v>0</v>
      </c>
      <c r="AN211" s="67">
        <f t="shared" si="92"/>
        <v>0</v>
      </c>
      <c r="AO211" s="67">
        <f t="shared" si="92"/>
        <v>1065.7879786387909</v>
      </c>
      <c r="AP211" s="67">
        <f t="shared" si="92"/>
        <v>848.04858846024069</v>
      </c>
      <c r="AQ211" s="67">
        <f t="shared" si="92"/>
        <v>947.81445138269396</v>
      </c>
      <c r="AR211" s="67">
        <f t="shared" si="92"/>
        <v>2422.8159160472233</v>
      </c>
      <c r="AS211" s="67">
        <f t="shared" si="92"/>
        <v>1902.2127979385871</v>
      </c>
      <c r="AT211" s="67">
        <f t="shared" si="92"/>
        <v>1877.6210060107558</v>
      </c>
      <c r="AU211" s="67">
        <f t="shared" si="92"/>
        <v>1752.0267191383598</v>
      </c>
      <c r="AV211" s="67">
        <f t="shared" si="92"/>
        <v>1870.5166051660522</v>
      </c>
      <c r="AW211" s="67">
        <f t="shared" si="92"/>
        <v>1871.9208867195443</v>
      </c>
      <c r="AX211" s="67">
        <f t="shared" si="92"/>
        <v>2069.194</v>
      </c>
      <c r="AY211" s="67">
        <f t="shared" si="92"/>
        <v>1990.3952259831735</v>
      </c>
      <c r="AZ211" s="67">
        <f t="shared" si="92"/>
        <v>2230.120065315532</v>
      </c>
      <c r="BA211" s="67">
        <f t="shared" si="92"/>
        <v>2255.6177111974971</v>
      </c>
      <c r="BB211" s="67">
        <f t="shared" si="92"/>
        <v>2545.6251145737856</v>
      </c>
      <c r="BC211" s="67">
        <f t="shared" si="92"/>
        <v>2453.5252291613124</v>
      </c>
      <c r="BD211" s="67">
        <f t="shared" si="92"/>
        <v>2778.733513557795</v>
      </c>
      <c r="BE211" s="67">
        <f t="shared" si="92"/>
        <v>14360.488310859331</v>
      </c>
      <c r="BF211" s="67">
        <f t="shared" si="92"/>
        <v>2701.4366021236729</v>
      </c>
      <c r="BG211" s="67">
        <f t="shared" si="92"/>
        <v>2646.4739176992507</v>
      </c>
      <c r="BH211" s="67">
        <f t="shared" si="92"/>
        <v>679.21064708581923</v>
      </c>
    </row>
    <row r="212" spans="1:60" s="67" customFormat="1" x14ac:dyDescent="0.25">
      <c r="A212" s="67" t="str">
        <f t="shared" ref="A212:E212" si="97">A37</f>
        <v>DOE</v>
      </c>
      <c r="B212" s="67" t="str">
        <f t="shared" si="97"/>
        <v>Electricity</v>
      </c>
      <c r="C212" s="67" t="str">
        <f t="shared" si="97"/>
        <v>Electricity</v>
      </c>
      <c r="D212" s="67" t="str">
        <f t="shared" si="97"/>
        <v>Steady</v>
      </c>
      <c r="E212" s="67" t="str">
        <f t="shared" si="97"/>
        <v>Program</v>
      </c>
      <c r="F212" s="67" t="s">
        <v>90</v>
      </c>
      <c r="I212" s="67">
        <f t="shared" si="57"/>
        <v>0</v>
      </c>
      <c r="J212" s="67">
        <f t="shared" si="92"/>
        <v>0</v>
      </c>
      <c r="K212" s="67">
        <f t="shared" si="92"/>
        <v>0</v>
      </c>
      <c r="L212" s="67">
        <f t="shared" si="92"/>
        <v>0</v>
      </c>
      <c r="M212" s="67">
        <f t="shared" si="92"/>
        <v>0</v>
      </c>
      <c r="N212" s="67">
        <f t="shared" si="92"/>
        <v>0</v>
      </c>
      <c r="O212" s="67">
        <f t="shared" si="92"/>
        <v>0</v>
      </c>
      <c r="P212" s="67">
        <f t="shared" si="92"/>
        <v>0</v>
      </c>
      <c r="Q212" s="67">
        <f t="shared" si="92"/>
        <v>0</v>
      </c>
      <c r="R212" s="67">
        <f t="shared" si="92"/>
        <v>0</v>
      </c>
      <c r="S212" s="67">
        <f t="shared" si="92"/>
        <v>0</v>
      </c>
      <c r="T212" s="67">
        <f t="shared" si="92"/>
        <v>0</v>
      </c>
      <c r="U212" s="67">
        <f t="shared" si="92"/>
        <v>0</v>
      </c>
      <c r="V212" s="67">
        <f t="shared" si="92"/>
        <v>0</v>
      </c>
      <c r="W212" s="67">
        <f t="shared" si="92"/>
        <v>0</v>
      </c>
      <c r="X212" s="67">
        <f t="shared" si="92"/>
        <v>0</v>
      </c>
      <c r="Y212" s="67">
        <f t="shared" ref="J212:BH217" si="98">Y37/Y$175</f>
        <v>0</v>
      </c>
      <c r="Z212" s="67">
        <f t="shared" si="98"/>
        <v>0</v>
      </c>
      <c r="AA212" s="67">
        <f t="shared" si="98"/>
        <v>0</v>
      </c>
      <c r="AB212" s="67">
        <f t="shared" si="98"/>
        <v>0</v>
      </c>
      <c r="AC212" s="67">
        <f t="shared" si="98"/>
        <v>0</v>
      </c>
      <c r="AD212" s="67">
        <f t="shared" si="98"/>
        <v>0</v>
      </c>
      <c r="AE212" s="67">
        <f t="shared" si="98"/>
        <v>0</v>
      </c>
      <c r="AF212" s="67">
        <f t="shared" si="98"/>
        <v>0</v>
      </c>
      <c r="AG212" s="67">
        <f t="shared" si="98"/>
        <v>0</v>
      </c>
      <c r="AH212" s="67">
        <f t="shared" si="98"/>
        <v>0</v>
      </c>
      <c r="AI212" s="67">
        <f t="shared" si="98"/>
        <v>0</v>
      </c>
      <c r="AJ212" s="67">
        <f t="shared" si="98"/>
        <v>0</v>
      </c>
      <c r="AK212" s="67">
        <f t="shared" si="98"/>
        <v>0</v>
      </c>
      <c r="AL212" s="67">
        <f t="shared" si="98"/>
        <v>0</v>
      </c>
      <c r="AM212" s="67">
        <f t="shared" si="98"/>
        <v>0</v>
      </c>
      <c r="AN212" s="67">
        <f t="shared" si="98"/>
        <v>0</v>
      </c>
      <c r="AO212" s="67">
        <f t="shared" si="98"/>
        <v>110.21474832405409</v>
      </c>
      <c r="AP212" s="67">
        <f t="shared" si="98"/>
        <v>93.352828703182993</v>
      </c>
      <c r="AQ212" s="67">
        <f t="shared" si="98"/>
        <v>83.63068688670829</v>
      </c>
      <c r="AR212" s="67">
        <f t="shared" si="98"/>
        <v>184.17577612592919</v>
      </c>
      <c r="AS212" s="67">
        <f t="shared" si="98"/>
        <v>147.27292248228471</v>
      </c>
      <c r="AT212" s="67">
        <f t="shared" si="98"/>
        <v>136.23958662870399</v>
      </c>
      <c r="AU212" s="67">
        <f t="shared" si="98"/>
        <v>133.79867439933719</v>
      </c>
      <c r="AV212" s="67">
        <f t="shared" si="98"/>
        <v>147.81160311603116</v>
      </c>
      <c r="AW212" s="67">
        <f t="shared" si="98"/>
        <v>146.33007931665651</v>
      </c>
      <c r="AX212" s="67">
        <f t="shared" si="98"/>
        <v>206</v>
      </c>
      <c r="AY212" s="67">
        <f t="shared" si="98"/>
        <v>147.11895910780669</v>
      </c>
      <c r="AZ212" s="67">
        <f t="shared" si="98"/>
        <v>152.81913360868313</v>
      </c>
      <c r="BA212" s="67">
        <f t="shared" si="98"/>
        <v>147.90935811131126</v>
      </c>
      <c r="BB212" s="67">
        <f t="shared" si="98"/>
        <v>174.15215398716774</v>
      </c>
      <c r="BC212" s="67">
        <f t="shared" si="98"/>
        <v>172.80904651760471</v>
      </c>
      <c r="BD212" s="67">
        <f t="shared" si="98"/>
        <v>206.43892848365692</v>
      </c>
      <c r="BE212" s="67">
        <f t="shared" si="98"/>
        <v>635.92116811617325</v>
      </c>
      <c r="BF212" s="67">
        <f t="shared" si="98"/>
        <v>218.61336664584636</v>
      </c>
      <c r="BG212" s="67">
        <f t="shared" si="98"/>
        <v>214.16551935138443</v>
      </c>
      <c r="BH212" s="67">
        <f t="shared" si="98"/>
        <v>147.62123298148998</v>
      </c>
    </row>
    <row r="213" spans="1:60" s="67" customFormat="1" x14ac:dyDescent="0.25">
      <c r="A213" s="67" t="str">
        <f t="shared" ref="A213:E213" si="99">A38</f>
        <v>DOE</v>
      </c>
      <c r="B213" s="67" t="str">
        <f t="shared" si="99"/>
        <v>Nuclear</v>
      </c>
      <c r="C213" s="67" t="str">
        <f t="shared" si="99"/>
        <v>Nuclear</v>
      </c>
      <c r="D213" s="67" t="str">
        <f t="shared" si="99"/>
        <v>Steady</v>
      </c>
      <c r="E213" s="67" t="str">
        <f t="shared" si="99"/>
        <v>Program</v>
      </c>
      <c r="F213" s="67" t="s">
        <v>90</v>
      </c>
      <c r="H213" s="67" t="str">
        <f t="shared" si="56"/>
        <v>Nuclear Energy</v>
      </c>
      <c r="I213" s="67">
        <f t="shared" si="57"/>
        <v>0</v>
      </c>
      <c r="J213" s="67">
        <f t="shared" si="98"/>
        <v>0</v>
      </c>
      <c r="K213" s="67">
        <f t="shared" si="98"/>
        <v>0</v>
      </c>
      <c r="L213" s="67">
        <f t="shared" si="98"/>
        <v>0</v>
      </c>
      <c r="M213" s="67">
        <f t="shared" si="98"/>
        <v>0</v>
      </c>
      <c r="N213" s="67">
        <f t="shared" si="98"/>
        <v>0</v>
      </c>
      <c r="O213" s="67">
        <f t="shared" si="98"/>
        <v>0</v>
      </c>
      <c r="P213" s="67">
        <f t="shared" si="98"/>
        <v>0</v>
      </c>
      <c r="Q213" s="67">
        <f t="shared" si="98"/>
        <v>0</v>
      </c>
      <c r="R213" s="67">
        <f t="shared" si="98"/>
        <v>0</v>
      </c>
      <c r="S213" s="67">
        <f t="shared" si="98"/>
        <v>0</v>
      </c>
      <c r="T213" s="67">
        <f t="shared" si="98"/>
        <v>0</v>
      </c>
      <c r="U213" s="67">
        <f t="shared" si="98"/>
        <v>0</v>
      </c>
      <c r="V213" s="67">
        <f t="shared" si="98"/>
        <v>0</v>
      </c>
      <c r="W213" s="67">
        <f t="shared" si="98"/>
        <v>0</v>
      </c>
      <c r="X213" s="67">
        <f t="shared" si="98"/>
        <v>0</v>
      </c>
      <c r="Y213" s="67">
        <f t="shared" si="98"/>
        <v>0</v>
      </c>
      <c r="Z213" s="67">
        <f t="shared" si="98"/>
        <v>0</v>
      </c>
      <c r="AA213" s="67">
        <f t="shared" si="98"/>
        <v>0</v>
      </c>
      <c r="AB213" s="67">
        <f t="shared" si="98"/>
        <v>0</v>
      </c>
      <c r="AC213" s="67">
        <f t="shared" si="98"/>
        <v>0</v>
      </c>
      <c r="AD213" s="67">
        <f t="shared" si="98"/>
        <v>0</v>
      </c>
      <c r="AE213" s="67">
        <f t="shared" si="98"/>
        <v>0</v>
      </c>
      <c r="AF213" s="67">
        <f t="shared" si="98"/>
        <v>0</v>
      </c>
      <c r="AG213" s="67">
        <f t="shared" si="98"/>
        <v>0</v>
      </c>
      <c r="AH213" s="67">
        <f t="shared" si="98"/>
        <v>0</v>
      </c>
      <c r="AI213" s="67">
        <f t="shared" si="98"/>
        <v>0</v>
      </c>
      <c r="AJ213" s="67">
        <f t="shared" si="98"/>
        <v>0</v>
      </c>
      <c r="AK213" s="67">
        <f t="shared" si="98"/>
        <v>0</v>
      </c>
      <c r="AL213" s="67">
        <f t="shared" si="98"/>
        <v>0</v>
      </c>
      <c r="AM213" s="67">
        <f t="shared" si="98"/>
        <v>0</v>
      </c>
      <c r="AN213" s="67">
        <f t="shared" si="98"/>
        <v>0</v>
      </c>
      <c r="AO213" s="67">
        <f t="shared" si="98"/>
        <v>340.87035564140439</v>
      </c>
      <c r="AP213" s="67">
        <f t="shared" si="98"/>
        <v>623.10201327184791</v>
      </c>
      <c r="AQ213" s="67">
        <f t="shared" si="98"/>
        <v>702.49776984834966</v>
      </c>
      <c r="AR213" s="67">
        <f t="shared" si="98"/>
        <v>937.83996501967647</v>
      </c>
      <c r="AS213" s="67">
        <f t="shared" si="98"/>
        <v>865.3596736096199</v>
      </c>
      <c r="AT213" s="67">
        <f t="shared" si="98"/>
        <v>900.36486343983972</v>
      </c>
      <c r="AU213" s="67">
        <f t="shared" si="98"/>
        <v>826.72120961060489</v>
      </c>
      <c r="AV213" s="67">
        <f t="shared" si="98"/>
        <v>899.56949569495691</v>
      </c>
      <c r="AW213" s="67">
        <f t="shared" si="98"/>
        <v>835.75655887736423</v>
      </c>
      <c r="AX213" s="67">
        <f t="shared" si="98"/>
        <v>986.16099999999994</v>
      </c>
      <c r="AY213" s="67">
        <f t="shared" si="98"/>
        <v>993.75953825083161</v>
      </c>
      <c r="AZ213" s="67">
        <f t="shared" si="98"/>
        <v>1157.4834309864568</v>
      </c>
      <c r="BA213" s="67">
        <f t="shared" si="98"/>
        <v>1257.314876268133</v>
      </c>
      <c r="BB213" s="67">
        <f t="shared" si="98"/>
        <v>1368.8432630614116</v>
      </c>
      <c r="BC213" s="67">
        <f t="shared" si="98"/>
        <v>1291.5274565236014</v>
      </c>
      <c r="BD213" s="67">
        <f t="shared" si="98"/>
        <v>1377.0787253215369</v>
      </c>
      <c r="BE213" s="67">
        <f t="shared" si="98"/>
        <v>1858.294103566584</v>
      </c>
      <c r="BF213" s="67">
        <f t="shared" si="98"/>
        <v>1315.5840099937541</v>
      </c>
      <c r="BG213" s="67">
        <f t="shared" si="98"/>
        <v>1288.8175003824385</v>
      </c>
      <c r="BH213" s="67">
        <f t="shared" si="98"/>
        <v>1047.8812911121311</v>
      </c>
    </row>
    <row r="214" spans="1:60" s="67" customFormat="1" x14ac:dyDescent="0.25">
      <c r="A214" s="67" t="str">
        <f t="shared" ref="A214:E214" si="100">A39</f>
        <v>DOE</v>
      </c>
      <c r="B214" s="67" t="str">
        <f t="shared" si="100"/>
        <v>Fossil Energy R&amp;D</v>
      </c>
      <c r="C214" s="67" t="str">
        <f t="shared" si="100"/>
        <v>Fossil Energy R&amp;D</v>
      </c>
      <c r="D214" s="67" t="str">
        <f t="shared" si="100"/>
        <v>Steady</v>
      </c>
      <c r="E214" s="67" t="str">
        <f t="shared" si="100"/>
        <v>Program</v>
      </c>
      <c r="F214" s="67" t="s">
        <v>90</v>
      </c>
      <c r="I214" s="67">
        <f t="shared" si="57"/>
        <v>0</v>
      </c>
      <c r="J214" s="67">
        <f t="shared" si="98"/>
        <v>0</v>
      </c>
      <c r="K214" s="67">
        <f t="shared" si="98"/>
        <v>0</v>
      </c>
      <c r="L214" s="67">
        <f t="shared" si="98"/>
        <v>0</v>
      </c>
      <c r="M214" s="67">
        <f t="shared" si="98"/>
        <v>0</v>
      </c>
      <c r="N214" s="67">
        <f t="shared" si="98"/>
        <v>0</v>
      </c>
      <c r="O214" s="67">
        <f t="shared" si="98"/>
        <v>0</v>
      </c>
      <c r="P214" s="67">
        <f t="shared" si="98"/>
        <v>0</v>
      </c>
      <c r="Q214" s="67">
        <f t="shared" si="98"/>
        <v>0</v>
      </c>
      <c r="R214" s="67">
        <f t="shared" si="98"/>
        <v>0</v>
      </c>
      <c r="S214" s="67">
        <f t="shared" si="98"/>
        <v>594.95168605797676</v>
      </c>
      <c r="T214" s="67">
        <f t="shared" si="98"/>
        <v>558.91996142719393</v>
      </c>
      <c r="U214" s="67">
        <f t="shared" si="98"/>
        <v>444.06715714016224</v>
      </c>
      <c r="V214" s="67">
        <f t="shared" si="98"/>
        <v>697.24100127900601</v>
      </c>
      <c r="W214" s="67">
        <f t="shared" si="98"/>
        <v>549.17456972251489</v>
      </c>
      <c r="X214" s="67">
        <f t="shared" si="98"/>
        <v>583.70044052863443</v>
      </c>
      <c r="Y214" s="67">
        <f t="shared" si="98"/>
        <v>630.78684770161954</v>
      </c>
      <c r="Z214" s="67">
        <f t="shared" si="98"/>
        <v>567.34759016916689</v>
      </c>
      <c r="AA214" s="67">
        <f t="shared" si="98"/>
        <v>512.24076095431155</v>
      </c>
      <c r="AB214" s="67">
        <f t="shared" si="98"/>
        <v>513.20006104074469</v>
      </c>
      <c r="AC214" s="67">
        <f t="shared" si="98"/>
        <v>488.64315600717271</v>
      </c>
      <c r="AD214" s="67">
        <f t="shared" si="98"/>
        <v>427.8380756820182</v>
      </c>
      <c r="AE214" s="67">
        <f t="shared" si="98"/>
        <v>413.02781380602397</v>
      </c>
      <c r="AF214" s="67">
        <f t="shared" si="98"/>
        <v>392.82664389410758</v>
      </c>
      <c r="AG214" s="67">
        <f t="shared" si="98"/>
        <v>414.73358639111484</v>
      </c>
      <c r="AH214" s="67">
        <f t="shared" si="98"/>
        <v>484.78171050819446</v>
      </c>
      <c r="AI214" s="67">
        <f t="shared" si="98"/>
        <v>599.70418179373405</v>
      </c>
      <c r="AJ214" s="67">
        <f t="shared" si="98"/>
        <v>550.70161503839029</v>
      </c>
      <c r="AK214" s="67">
        <f t="shared" si="98"/>
        <v>589.57778623050592</v>
      </c>
      <c r="AL214" s="67">
        <f t="shared" si="98"/>
        <v>673.06509166974286</v>
      </c>
      <c r="AM214" s="67">
        <f t="shared" si="98"/>
        <v>533.90537480634021</v>
      </c>
      <c r="AN214" s="67">
        <f t="shared" si="98"/>
        <v>502.20366504291349</v>
      </c>
      <c r="AO214" s="67">
        <f t="shared" si="98"/>
        <v>546.52880354505169</v>
      </c>
      <c r="AP214" s="67">
        <f t="shared" si="98"/>
        <v>619.72781464402203</v>
      </c>
      <c r="AQ214" s="67">
        <f t="shared" si="98"/>
        <v>602.14094558429974</v>
      </c>
      <c r="AR214" s="67">
        <f t="shared" si="98"/>
        <v>721.21775251421082</v>
      </c>
      <c r="AS214" s="67">
        <f t="shared" si="98"/>
        <v>628.14258106076875</v>
      </c>
      <c r="AT214" s="67">
        <f t="shared" si="98"/>
        <v>552.64578719814403</v>
      </c>
      <c r="AU214" s="67">
        <f t="shared" si="98"/>
        <v>516.48198011599004</v>
      </c>
      <c r="AV214" s="67">
        <f t="shared" si="98"/>
        <v>564.40139401394015</v>
      </c>
      <c r="AW214" s="67">
        <f t="shared" si="98"/>
        <v>558.15029489526125</v>
      </c>
      <c r="AX214" s="67">
        <f t="shared" si="98"/>
        <v>632</v>
      </c>
      <c r="AY214" s="67">
        <f t="shared" si="98"/>
        <v>667.18841713950303</v>
      </c>
      <c r="AZ214" s="67">
        <f t="shared" si="98"/>
        <v>698.12409951013353</v>
      </c>
      <c r="BA214" s="67">
        <f t="shared" si="98"/>
        <v>701.62131411775863</v>
      </c>
      <c r="BB214" s="67">
        <f t="shared" si="98"/>
        <v>687.44271310724105</v>
      </c>
      <c r="BC214" s="67">
        <f t="shared" si="98"/>
        <v>642.50835260858389</v>
      </c>
      <c r="BD214" s="67">
        <f t="shared" si="98"/>
        <v>489.06365200294914</v>
      </c>
      <c r="BE214" s="67">
        <f t="shared" si="98"/>
        <v>999.76063193170023</v>
      </c>
      <c r="BF214" s="67">
        <f t="shared" si="98"/>
        <v>675.35915053091821</v>
      </c>
      <c r="BG214" s="67">
        <f t="shared" si="98"/>
        <v>661.61847942481268</v>
      </c>
      <c r="BH214" s="67">
        <f t="shared" si="98"/>
        <v>455.10172862169196</v>
      </c>
    </row>
    <row r="215" spans="1:60" s="67" customFormat="1" x14ac:dyDescent="0.25">
      <c r="A215" s="67" t="str">
        <f t="shared" ref="A215:E215" si="101">A40</f>
        <v>DOE</v>
      </c>
      <c r="B215" s="67" t="str">
        <f t="shared" si="101"/>
        <v>Energy Supply</v>
      </c>
      <c r="C215" s="67" t="str">
        <f t="shared" si="101"/>
        <v>Energy Supply</v>
      </c>
      <c r="D215" s="67" t="str">
        <f t="shared" si="101"/>
        <v>Steady</v>
      </c>
      <c r="E215" s="67" t="str">
        <f t="shared" si="101"/>
        <v>Program</v>
      </c>
      <c r="F215" s="67" t="s">
        <v>90</v>
      </c>
      <c r="I215" s="67">
        <f t="shared" si="57"/>
        <v>0</v>
      </c>
      <c r="J215" s="67">
        <f t="shared" si="98"/>
        <v>0</v>
      </c>
      <c r="K215" s="67">
        <f t="shared" si="98"/>
        <v>0</v>
      </c>
      <c r="L215" s="67">
        <f t="shared" si="98"/>
        <v>0</v>
      </c>
      <c r="M215" s="67">
        <f t="shared" si="98"/>
        <v>0</v>
      </c>
      <c r="N215" s="67">
        <f t="shared" si="98"/>
        <v>0</v>
      </c>
      <c r="O215" s="67">
        <f t="shared" si="98"/>
        <v>0</v>
      </c>
      <c r="P215" s="67">
        <f t="shared" si="98"/>
        <v>0</v>
      </c>
      <c r="Q215" s="67">
        <f t="shared" si="98"/>
        <v>0</v>
      </c>
      <c r="R215" s="67">
        <f t="shared" si="98"/>
        <v>0</v>
      </c>
      <c r="S215" s="67">
        <f t="shared" si="98"/>
        <v>3361.4671662394003</v>
      </c>
      <c r="T215" s="67">
        <f t="shared" si="98"/>
        <v>3025.4580520732889</v>
      </c>
      <c r="U215" s="67">
        <f t="shared" si="98"/>
        <v>2765.8932276928881</v>
      </c>
      <c r="V215" s="67">
        <f t="shared" si="98"/>
        <v>2814.7268408551067</v>
      </c>
      <c r="W215" s="67">
        <f t="shared" si="98"/>
        <v>2784.5100105374077</v>
      </c>
      <c r="X215" s="67">
        <f t="shared" si="98"/>
        <v>2829.3798712300918</v>
      </c>
      <c r="Y215" s="67">
        <f t="shared" si="98"/>
        <v>3156.8787829216426</v>
      </c>
      <c r="Z215" s="67">
        <f t="shared" si="98"/>
        <v>3363.0705394190873</v>
      </c>
      <c r="AA215" s="67">
        <f t="shared" si="98"/>
        <v>3290.1917979104942</v>
      </c>
      <c r="AB215" s="67">
        <f t="shared" si="98"/>
        <v>3236.8380894246907</v>
      </c>
      <c r="AC215" s="67">
        <f t="shared" si="98"/>
        <v>3354.9013747758518</v>
      </c>
      <c r="AD215" s="67">
        <f t="shared" si="98"/>
        <v>2756.3801701378702</v>
      </c>
      <c r="AE215" s="67">
        <f t="shared" si="98"/>
        <v>697.21861939760777</v>
      </c>
      <c r="AF215" s="67">
        <f t="shared" si="98"/>
        <v>421.29234272701393</v>
      </c>
      <c r="AG215" s="67">
        <f t="shared" si="98"/>
        <v>504.70968648952618</v>
      </c>
      <c r="AH215" s="67">
        <f t="shared" si="98"/>
        <v>512.32612587797826</v>
      </c>
      <c r="AI215" s="67">
        <f t="shared" si="98"/>
        <v>83.366949038590832</v>
      </c>
      <c r="AJ215" s="67">
        <f t="shared" si="98"/>
        <v>634.101138469685</v>
      </c>
      <c r="AK215" s="67">
        <f t="shared" si="98"/>
        <v>658.04488398630667</v>
      </c>
      <c r="AL215" s="67">
        <f t="shared" si="98"/>
        <v>470.03814445674914</v>
      </c>
      <c r="AM215" s="67">
        <f t="shared" si="98"/>
        <v>757.9549517340007</v>
      </c>
      <c r="AN215" s="67">
        <f t="shared" si="98"/>
        <v>640.22268615170492</v>
      </c>
      <c r="AO215" s="67">
        <f t="shared" si="98"/>
        <v>0</v>
      </c>
      <c r="AP215" s="67">
        <f t="shared" si="98"/>
        <v>0</v>
      </c>
      <c r="AQ215" s="67">
        <f t="shared" si="98"/>
        <v>0</v>
      </c>
      <c r="AR215" s="67">
        <f t="shared" si="98"/>
        <v>0</v>
      </c>
      <c r="AS215" s="67">
        <f t="shared" si="98"/>
        <v>0</v>
      </c>
      <c r="AT215" s="67">
        <f t="shared" si="98"/>
        <v>0</v>
      </c>
      <c r="AU215" s="67">
        <f t="shared" si="98"/>
        <v>0</v>
      </c>
      <c r="AV215" s="67">
        <f t="shared" si="98"/>
        <v>0</v>
      </c>
      <c r="AW215" s="67">
        <f t="shared" si="98"/>
        <v>0</v>
      </c>
      <c r="AX215" s="67">
        <f t="shared" si="98"/>
        <v>0</v>
      </c>
      <c r="AY215" s="67">
        <f t="shared" si="98"/>
        <v>0</v>
      </c>
      <c r="AZ215" s="67">
        <f t="shared" si="98"/>
        <v>0</v>
      </c>
      <c r="BA215" s="67">
        <f t="shared" si="98"/>
        <v>0</v>
      </c>
      <c r="BB215" s="67">
        <f t="shared" si="98"/>
        <v>0</v>
      </c>
      <c r="BC215" s="67">
        <f t="shared" si="98"/>
        <v>0</v>
      </c>
      <c r="BD215" s="67">
        <f t="shared" si="98"/>
        <v>0</v>
      </c>
      <c r="BE215" s="67">
        <f t="shared" si="98"/>
        <v>0</v>
      </c>
      <c r="BF215" s="67">
        <f t="shared" si="98"/>
        <v>0</v>
      </c>
      <c r="BG215" s="67">
        <f t="shared" si="98"/>
        <v>0</v>
      </c>
      <c r="BH215" s="67">
        <f t="shared" si="98"/>
        <v>0</v>
      </c>
    </row>
    <row r="216" spans="1:60" s="67" customFormat="1" x14ac:dyDescent="0.25">
      <c r="A216" s="67" t="str">
        <f t="shared" ref="A216:E216" si="102">A41</f>
        <v>DOE</v>
      </c>
      <c r="B216" s="67" t="str">
        <f t="shared" si="102"/>
        <v>Energy Conservation</v>
      </c>
      <c r="C216" s="67" t="str">
        <f t="shared" si="102"/>
        <v>Energy Conservation</v>
      </c>
      <c r="D216" s="67" t="str">
        <f t="shared" si="102"/>
        <v>Steady</v>
      </c>
      <c r="E216" s="67" t="str">
        <f t="shared" si="102"/>
        <v>Program</v>
      </c>
      <c r="F216" s="67" t="s">
        <v>90</v>
      </c>
      <c r="I216" s="67">
        <f t="shared" si="57"/>
        <v>0</v>
      </c>
      <c r="J216" s="67">
        <f t="shared" si="98"/>
        <v>0</v>
      </c>
      <c r="K216" s="67">
        <f t="shared" si="98"/>
        <v>0</v>
      </c>
      <c r="L216" s="67">
        <f t="shared" si="98"/>
        <v>0</v>
      </c>
      <c r="M216" s="67">
        <f t="shared" si="98"/>
        <v>0</v>
      </c>
      <c r="N216" s="67">
        <f t="shared" si="98"/>
        <v>0</v>
      </c>
      <c r="O216" s="67">
        <f t="shared" si="98"/>
        <v>0</v>
      </c>
      <c r="P216" s="67">
        <f t="shared" si="98"/>
        <v>0</v>
      </c>
      <c r="Q216" s="67">
        <f t="shared" si="98"/>
        <v>0</v>
      </c>
      <c r="R216" s="67">
        <f t="shared" si="98"/>
        <v>0</v>
      </c>
      <c r="S216" s="67">
        <f t="shared" si="98"/>
        <v>339.97239203312955</v>
      </c>
      <c r="T216" s="67">
        <f t="shared" si="98"/>
        <v>294.50337512054</v>
      </c>
      <c r="U216" s="67">
        <f t="shared" si="98"/>
        <v>277.68345595170717</v>
      </c>
      <c r="V216" s="67">
        <f t="shared" si="98"/>
        <v>302.75899872099393</v>
      </c>
      <c r="W216" s="67">
        <f t="shared" si="98"/>
        <v>252.19529329118367</v>
      </c>
      <c r="X216" s="67">
        <f t="shared" si="98"/>
        <v>305.15079634022368</v>
      </c>
      <c r="Y216" s="67">
        <f t="shared" si="98"/>
        <v>321.77327008015703</v>
      </c>
      <c r="Z216" s="67">
        <f t="shared" si="98"/>
        <v>367.06032556654958</v>
      </c>
      <c r="AA216" s="67">
        <f t="shared" si="98"/>
        <v>443.00639326368321</v>
      </c>
      <c r="AB216" s="67">
        <f t="shared" si="98"/>
        <v>525.86601556538994</v>
      </c>
      <c r="AC216" s="67">
        <f t="shared" si="98"/>
        <v>533.77166766288099</v>
      </c>
      <c r="AD216" s="67">
        <f t="shared" si="98"/>
        <v>450.42534467585807</v>
      </c>
      <c r="AE216" s="67">
        <f t="shared" si="98"/>
        <v>459.86453379449495</v>
      </c>
      <c r="AF216" s="67">
        <f t="shared" si="98"/>
        <v>483.91688015940792</v>
      </c>
      <c r="AG216" s="67">
        <f t="shared" si="98"/>
        <v>535.63897089835507</v>
      </c>
      <c r="AH216" s="67">
        <f t="shared" si="98"/>
        <v>647.29376118991877</v>
      </c>
      <c r="AI216" s="67">
        <f t="shared" si="98"/>
        <v>583.56864327013579</v>
      </c>
      <c r="AJ216" s="67">
        <f t="shared" si="98"/>
        <v>557.32062483452478</v>
      </c>
      <c r="AK216" s="67">
        <f t="shared" si="98"/>
        <v>531.25396221630535</v>
      </c>
      <c r="AL216" s="67">
        <f t="shared" si="98"/>
        <v>466.34674541651287</v>
      </c>
      <c r="AM216" s="67">
        <f t="shared" si="98"/>
        <v>100.10725777618877</v>
      </c>
      <c r="AN216" s="67">
        <f t="shared" si="98"/>
        <v>150.77708188355371</v>
      </c>
      <c r="AO216" s="67">
        <f t="shared" si="98"/>
        <v>0</v>
      </c>
      <c r="AP216" s="67">
        <f t="shared" si="98"/>
        <v>0</v>
      </c>
      <c r="AQ216" s="67">
        <f t="shared" si="98"/>
        <v>0</v>
      </c>
      <c r="AR216" s="67">
        <f t="shared" si="98"/>
        <v>0</v>
      </c>
      <c r="AS216" s="67">
        <f t="shared" si="98"/>
        <v>0</v>
      </c>
      <c r="AT216" s="67">
        <f t="shared" si="98"/>
        <v>0</v>
      </c>
      <c r="AU216" s="67">
        <f t="shared" si="98"/>
        <v>0</v>
      </c>
      <c r="AV216" s="67">
        <f t="shared" si="98"/>
        <v>0</v>
      </c>
      <c r="AW216" s="67">
        <f t="shared" si="98"/>
        <v>0</v>
      </c>
      <c r="AX216" s="67">
        <f t="shared" si="98"/>
        <v>0</v>
      </c>
      <c r="AY216" s="67">
        <f t="shared" si="98"/>
        <v>0</v>
      </c>
      <c r="AZ216" s="67">
        <f t="shared" si="98"/>
        <v>0</v>
      </c>
      <c r="BA216" s="67">
        <f t="shared" si="98"/>
        <v>0</v>
      </c>
      <c r="BB216" s="67">
        <f t="shared" si="98"/>
        <v>0</v>
      </c>
      <c r="BC216" s="67">
        <f t="shared" si="98"/>
        <v>0</v>
      </c>
      <c r="BD216" s="67">
        <f t="shared" si="98"/>
        <v>0</v>
      </c>
      <c r="BE216" s="67">
        <f t="shared" si="98"/>
        <v>0</v>
      </c>
      <c r="BF216" s="67">
        <f t="shared" si="98"/>
        <v>0</v>
      </c>
      <c r="BG216" s="67">
        <f t="shared" si="98"/>
        <v>0</v>
      </c>
      <c r="BH216" s="67">
        <f t="shared" si="98"/>
        <v>0</v>
      </c>
    </row>
    <row r="217" spans="1:60" s="67" customFormat="1" x14ac:dyDescent="0.25">
      <c r="A217" s="67" t="str">
        <f t="shared" ref="A217:E217" si="103">A42</f>
        <v>DOE</v>
      </c>
      <c r="B217" s="67" t="str">
        <f t="shared" si="103"/>
        <v>ARPA-E</v>
      </c>
      <c r="C217" s="67" t="str">
        <f t="shared" si="103"/>
        <v>ARPA-E</v>
      </c>
      <c r="D217" s="67" t="str">
        <f t="shared" si="103"/>
        <v>Steady</v>
      </c>
      <c r="E217" s="67" t="str">
        <f t="shared" si="103"/>
        <v>Program</v>
      </c>
      <c r="F217" s="67" t="s">
        <v>90</v>
      </c>
      <c r="H217" s="67" t="str">
        <f t="shared" si="56"/>
        <v>Advanced Research Projects Agency - Energy</v>
      </c>
      <c r="I217" s="67">
        <f t="shared" si="57"/>
        <v>0</v>
      </c>
      <c r="J217" s="67">
        <f t="shared" si="98"/>
        <v>0</v>
      </c>
      <c r="K217" s="67">
        <f t="shared" si="98"/>
        <v>0</v>
      </c>
      <c r="L217" s="67">
        <f t="shared" si="98"/>
        <v>0</v>
      </c>
      <c r="M217" s="67">
        <f t="shared" si="98"/>
        <v>0</v>
      </c>
      <c r="N217" s="67">
        <f t="shared" si="98"/>
        <v>0</v>
      </c>
      <c r="O217" s="67">
        <f t="shared" si="98"/>
        <v>0</v>
      </c>
      <c r="P217" s="67">
        <f t="shared" si="98"/>
        <v>0</v>
      </c>
      <c r="Q217" s="67">
        <f t="shared" si="98"/>
        <v>0</v>
      </c>
      <c r="R217" s="67">
        <f t="shared" si="98"/>
        <v>0</v>
      </c>
      <c r="S217" s="67">
        <f t="shared" si="98"/>
        <v>0</v>
      </c>
      <c r="T217" s="67">
        <f t="shared" si="98"/>
        <v>0</v>
      </c>
      <c r="U217" s="67">
        <f t="shared" si="98"/>
        <v>0</v>
      </c>
      <c r="V217" s="67">
        <f t="shared" si="98"/>
        <v>0</v>
      </c>
      <c r="W217" s="67">
        <f t="shared" si="98"/>
        <v>0</v>
      </c>
      <c r="X217" s="67">
        <f t="shared" si="98"/>
        <v>0</v>
      </c>
      <c r="Y217" s="67">
        <f t="shared" ref="J217:BH222" si="104">Y42/Y$175</f>
        <v>0</v>
      </c>
      <c r="Z217" s="67">
        <f t="shared" si="104"/>
        <v>0</v>
      </c>
      <c r="AA217" s="67">
        <f t="shared" si="104"/>
        <v>0</v>
      </c>
      <c r="AB217" s="67">
        <f t="shared" si="104"/>
        <v>0</v>
      </c>
      <c r="AC217" s="67">
        <f t="shared" si="104"/>
        <v>0</v>
      </c>
      <c r="AD217" s="67">
        <f t="shared" si="104"/>
        <v>0</v>
      </c>
      <c r="AE217" s="67">
        <f t="shared" si="104"/>
        <v>0</v>
      </c>
      <c r="AF217" s="67">
        <f t="shared" si="104"/>
        <v>0</v>
      </c>
      <c r="AG217" s="67">
        <f t="shared" si="104"/>
        <v>0</v>
      </c>
      <c r="AH217" s="67">
        <f t="shared" si="104"/>
        <v>0</v>
      </c>
      <c r="AI217" s="67">
        <f t="shared" si="104"/>
        <v>0</v>
      </c>
      <c r="AJ217" s="67">
        <f t="shared" si="104"/>
        <v>0</v>
      </c>
      <c r="AK217" s="67">
        <f t="shared" si="104"/>
        <v>0</v>
      </c>
      <c r="AL217" s="67">
        <f t="shared" si="104"/>
        <v>0</v>
      </c>
      <c r="AM217" s="67">
        <f t="shared" si="104"/>
        <v>0</v>
      </c>
      <c r="AN217" s="67">
        <f t="shared" si="104"/>
        <v>0</v>
      </c>
      <c r="AO217" s="67">
        <f t="shared" si="104"/>
        <v>0</v>
      </c>
      <c r="AP217" s="67">
        <f t="shared" si="104"/>
        <v>0</v>
      </c>
      <c r="AQ217" s="67">
        <f t="shared" si="104"/>
        <v>0</v>
      </c>
      <c r="AR217" s="67">
        <f t="shared" si="104"/>
        <v>0</v>
      </c>
      <c r="AS217" s="67">
        <f t="shared" si="104"/>
        <v>192.87094696156322</v>
      </c>
      <c r="AT217" s="67">
        <f t="shared" si="104"/>
        <v>264.30032690076979</v>
      </c>
      <c r="AU217" s="67">
        <f t="shared" si="104"/>
        <v>259.56503728251863</v>
      </c>
      <c r="AV217" s="67">
        <f t="shared" si="104"/>
        <v>287.00287002870027</v>
      </c>
      <c r="AW217" s="67">
        <f t="shared" si="104"/>
        <v>284.70815537929633</v>
      </c>
      <c r="AX217" s="67">
        <f t="shared" si="104"/>
        <v>291</v>
      </c>
      <c r="AY217" s="67">
        <f t="shared" si="104"/>
        <v>295.68088436705148</v>
      </c>
      <c r="AZ217" s="67">
        <f t="shared" si="104"/>
        <v>339.36605513399292</v>
      </c>
      <c r="BA217" s="67">
        <f t="shared" si="104"/>
        <v>347.01810941499951</v>
      </c>
      <c r="BB217" s="67">
        <f t="shared" si="104"/>
        <v>389.55087076076995</v>
      </c>
      <c r="BC217" s="67">
        <f t="shared" si="104"/>
        <v>365.80142208515377</v>
      </c>
      <c r="BD217" s="67">
        <f t="shared" si="104"/>
        <v>340.7880724174654</v>
      </c>
      <c r="BE217" s="67">
        <f t="shared" si="104"/>
        <v>375.00997366951248</v>
      </c>
      <c r="BF217" s="67">
        <f t="shared" si="104"/>
        <v>359.15053091817617</v>
      </c>
      <c r="BG217" s="67">
        <f t="shared" si="104"/>
        <v>152.97537096527461</v>
      </c>
      <c r="BH217" s="67">
        <f t="shared" si="104"/>
        <v>267.70689918923057</v>
      </c>
    </row>
    <row r="218" spans="1:60" s="67" customFormat="1" x14ac:dyDescent="0.25">
      <c r="A218" s="67" t="str">
        <f t="shared" ref="A218:E218" si="105">A43</f>
        <v>DOE</v>
      </c>
      <c r="B218" s="67" t="str">
        <f t="shared" si="105"/>
        <v>NNSA</v>
      </c>
      <c r="C218" s="67" t="str">
        <f t="shared" si="105"/>
        <v>NNSA</v>
      </c>
      <c r="D218" s="67" t="str">
        <f t="shared" si="105"/>
        <v>Steady</v>
      </c>
      <c r="E218" s="67" t="str">
        <f t="shared" si="105"/>
        <v>Program</v>
      </c>
      <c r="F218" s="67" t="s">
        <v>90</v>
      </c>
      <c r="H218" s="67" t="str">
        <f t="shared" si="56"/>
        <v>National Nuclear Security Agency</v>
      </c>
      <c r="I218" s="67">
        <f t="shared" si="57"/>
        <v>0</v>
      </c>
      <c r="J218" s="67">
        <f t="shared" si="104"/>
        <v>0</v>
      </c>
      <c r="K218" s="67">
        <f t="shared" si="104"/>
        <v>0</v>
      </c>
      <c r="L218" s="67">
        <f t="shared" si="104"/>
        <v>0</v>
      </c>
      <c r="M218" s="67">
        <f t="shared" si="104"/>
        <v>0</v>
      </c>
      <c r="N218" s="67">
        <f t="shared" si="104"/>
        <v>0</v>
      </c>
      <c r="O218" s="67">
        <f t="shared" si="104"/>
        <v>0</v>
      </c>
      <c r="P218" s="67">
        <f t="shared" si="104"/>
        <v>0</v>
      </c>
      <c r="Q218" s="67">
        <f t="shared" si="104"/>
        <v>0</v>
      </c>
      <c r="R218" s="67">
        <f t="shared" si="104"/>
        <v>0</v>
      </c>
      <c r="S218" s="67">
        <f t="shared" si="104"/>
        <v>0</v>
      </c>
      <c r="T218" s="67">
        <f t="shared" si="104"/>
        <v>0</v>
      </c>
      <c r="U218" s="67">
        <f t="shared" si="104"/>
        <v>0</v>
      </c>
      <c r="V218" s="67">
        <f t="shared" si="104"/>
        <v>0</v>
      </c>
      <c r="W218" s="67">
        <f t="shared" si="104"/>
        <v>0</v>
      </c>
      <c r="X218" s="67">
        <f t="shared" si="104"/>
        <v>0</v>
      </c>
      <c r="Y218" s="67">
        <f t="shared" si="104"/>
        <v>0</v>
      </c>
      <c r="Z218" s="67">
        <f t="shared" si="104"/>
        <v>0</v>
      </c>
      <c r="AA218" s="67">
        <f t="shared" si="104"/>
        <v>0</v>
      </c>
      <c r="AB218" s="67">
        <f t="shared" si="104"/>
        <v>0</v>
      </c>
      <c r="AC218" s="67">
        <f t="shared" si="104"/>
        <v>0</v>
      </c>
      <c r="AD218" s="67">
        <f t="shared" si="104"/>
        <v>0</v>
      </c>
      <c r="AE218" s="67">
        <f t="shared" si="104"/>
        <v>0</v>
      </c>
      <c r="AF218" s="67">
        <f t="shared" si="104"/>
        <v>0</v>
      </c>
      <c r="AG218" s="67">
        <f t="shared" si="104"/>
        <v>0</v>
      </c>
      <c r="AH218" s="67">
        <f t="shared" si="104"/>
        <v>0</v>
      </c>
      <c r="AI218" s="67">
        <f t="shared" si="104"/>
        <v>0</v>
      </c>
      <c r="AJ218" s="67">
        <f t="shared" si="104"/>
        <v>10086.04712734975</v>
      </c>
      <c r="AK218" s="67">
        <f t="shared" si="104"/>
        <v>10059.5917332319</v>
      </c>
      <c r="AL218" s="67">
        <f t="shared" si="104"/>
        <v>10987.681801402732</v>
      </c>
      <c r="AM218" s="67">
        <f t="shared" si="104"/>
        <v>10921.154808723633</v>
      </c>
      <c r="AN218" s="67">
        <f t="shared" si="104"/>
        <v>10566.346555323591</v>
      </c>
      <c r="AO218" s="67">
        <f t="shared" si="104"/>
        <v>10584.946028860357</v>
      </c>
      <c r="AP218" s="67">
        <f t="shared" si="104"/>
        <v>9913.5204139016987</v>
      </c>
      <c r="AQ218" s="67">
        <f t="shared" si="104"/>
        <v>10180.189562890275</v>
      </c>
      <c r="AR218" s="67">
        <f t="shared" si="104"/>
        <v>10793.222562308702</v>
      </c>
      <c r="AS218" s="67">
        <f t="shared" si="104"/>
        <v>11301.229332188104</v>
      </c>
      <c r="AT218" s="67">
        <f t="shared" si="104"/>
        <v>11605.804070441842</v>
      </c>
      <c r="AU218" s="67">
        <f t="shared" si="104"/>
        <v>10952.556959403481</v>
      </c>
      <c r="AV218" s="67">
        <f t="shared" si="104"/>
        <v>11484.39934399344</v>
      </c>
      <c r="AW218" s="67">
        <f t="shared" si="104"/>
        <v>11589.065487085621</v>
      </c>
      <c r="AX218" s="67">
        <f t="shared" si="104"/>
        <v>12526.511999999999</v>
      </c>
      <c r="AY218" s="67">
        <f t="shared" si="104"/>
        <v>12646.874388573664</v>
      </c>
      <c r="AZ218" s="67">
        <f t="shared" si="104"/>
        <v>14089.858803188936</v>
      </c>
      <c r="BA218" s="67">
        <f t="shared" si="104"/>
        <v>14438.814828861288</v>
      </c>
      <c r="BB218" s="67">
        <f t="shared" si="104"/>
        <v>15311.266727772687</v>
      </c>
      <c r="BC218" s="67">
        <f t="shared" si="104"/>
        <v>16524.458151289298</v>
      </c>
      <c r="BD218" s="67">
        <f t="shared" si="104"/>
        <v>17390.022118456625</v>
      </c>
      <c r="BE218" s="67">
        <f t="shared" si="104"/>
        <v>18093.832282773477</v>
      </c>
      <c r="BF218" s="67">
        <f t="shared" si="104"/>
        <v>18857.745159275455</v>
      </c>
      <c r="BG218" s="67">
        <f t="shared" si="104"/>
        <v>18044.974759063793</v>
      </c>
      <c r="BH218" s="67">
        <f t="shared" si="104"/>
        <v>22978.430472693897</v>
      </c>
    </row>
    <row r="219" spans="1:60" s="67" customFormat="1" x14ac:dyDescent="0.25">
      <c r="A219" s="67" t="str">
        <f t="shared" ref="A219:E219" si="106">A44</f>
        <v>DOE</v>
      </c>
      <c r="B219" s="67" t="str">
        <f t="shared" si="106"/>
        <v>CESER</v>
      </c>
      <c r="C219" s="67" t="str">
        <f t="shared" si="106"/>
        <v>CESER</v>
      </c>
      <c r="D219" s="67" t="str">
        <f t="shared" si="106"/>
        <v>Steady</v>
      </c>
      <c r="E219" s="67" t="str">
        <f t="shared" si="106"/>
        <v>Program</v>
      </c>
      <c r="F219" s="67" t="s">
        <v>90</v>
      </c>
      <c r="H219" s="67" t="str">
        <f t="shared" si="56"/>
        <v>Office of Cybersecurity, Energy Security, and Emergency Response</v>
      </c>
      <c r="I219" s="67">
        <f t="shared" si="57"/>
        <v>0</v>
      </c>
      <c r="J219" s="67">
        <f t="shared" si="104"/>
        <v>0</v>
      </c>
      <c r="K219" s="67">
        <f t="shared" si="104"/>
        <v>0</v>
      </c>
      <c r="L219" s="67">
        <f t="shared" si="104"/>
        <v>0</v>
      </c>
      <c r="M219" s="67">
        <f t="shared" si="104"/>
        <v>0</v>
      </c>
      <c r="N219" s="67">
        <f t="shared" si="104"/>
        <v>0</v>
      </c>
      <c r="O219" s="67">
        <f t="shared" si="104"/>
        <v>0</v>
      </c>
      <c r="P219" s="67">
        <f t="shared" si="104"/>
        <v>0</v>
      </c>
      <c r="Q219" s="67">
        <f t="shared" si="104"/>
        <v>0</v>
      </c>
      <c r="R219" s="67">
        <f t="shared" si="104"/>
        <v>0</v>
      </c>
      <c r="S219" s="67">
        <f t="shared" si="104"/>
        <v>0</v>
      </c>
      <c r="T219" s="67">
        <f t="shared" si="104"/>
        <v>0</v>
      </c>
      <c r="U219" s="67">
        <f t="shared" si="104"/>
        <v>0</v>
      </c>
      <c r="V219" s="67">
        <f t="shared" si="104"/>
        <v>0</v>
      </c>
      <c r="W219" s="67">
        <f t="shared" si="104"/>
        <v>0</v>
      </c>
      <c r="X219" s="67">
        <f t="shared" si="104"/>
        <v>0</v>
      </c>
      <c r="Y219" s="67">
        <f t="shared" si="104"/>
        <v>0</v>
      </c>
      <c r="Z219" s="67">
        <f t="shared" si="104"/>
        <v>0</v>
      </c>
      <c r="AA219" s="67">
        <f t="shared" si="104"/>
        <v>0</v>
      </c>
      <c r="AB219" s="67">
        <f t="shared" si="104"/>
        <v>0</v>
      </c>
      <c r="AC219" s="67">
        <f t="shared" si="104"/>
        <v>0</v>
      </c>
      <c r="AD219" s="67">
        <f t="shared" si="104"/>
        <v>0</v>
      </c>
      <c r="AE219" s="67">
        <f t="shared" si="104"/>
        <v>0</v>
      </c>
      <c r="AF219" s="67">
        <f t="shared" si="104"/>
        <v>0</v>
      </c>
      <c r="AG219" s="67">
        <f t="shared" si="104"/>
        <v>0</v>
      </c>
      <c r="AH219" s="67">
        <f t="shared" si="104"/>
        <v>0</v>
      </c>
      <c r="AI219" s="67">
        <f t="shared" si="104"/>
        <v>0</v>
      </c>
      <c r="AJ219" s="67">
        <f t="shared" si="104"/>
        <v>0</v>
      </c>
      <c r="AK219" s="67">
        <f t="shared" si="104"/>
        <v>0</v>
      </c>
      <c r="AL219" s="67">
        <f t="shared" si="104"/>
        <v>0</v>
      </c>
      <c r="AM219" s="67">
        <f t="shared" si="104"/>
        <v>0</v>
      </c>
      <c r="AN219" s="67">
        <f t="shared" si="104"/>
        <v>0</v>
      </c>
      <c r="AO219" s="67">
        <f t="shared" si="104"/>
        <v>0</v>
      </c>
      <c r="AP219" s="67">
        <f t="shared" si="104"/>
        <v>0</v>
      </c>
      <c r="AQ219" s="67">
        <f t="shared" si="104"/>
        <v>0</v>
      </c>
      <c r="AR219" s="67">
        <f t="shared" si="104"/>
        <v>0</v>
      </c>
      <c r="AS219" s="67">
        <f t="shared" si="104"/>
        <v>0</v>
      </c>
      <c r="AT219" s="67">
        <f t="shared" si="104"/>
        <v>0</v>
      </c>
      <c r="AU219" s="67">
        <f t="shared" si="104"/>
        <v>0</v>
      </c>
      <c r="AV219" s="67">
        <f t="shared" si="104"/>
        <v>0</v>
      </c>
      <c r="AW219" s="67">
        <f t="shared" si="104"/>
        <v>0</v>
      </c>
      <c r="AX219" s="67">
        <f t="shared" si="104"/>
        <v>0</v>
      </c>
      <c r="AY219" s="67">
        <f t="shared" si="104"/>
        <v>77.479945216200349</v>
      </c>
      <c r="AZ219" s="67">
        <f t="shared" si="104"/>
        <v>98.193257131879747</v>
      </c>
      <c r="BA219" s="67">
        <f t="shared" si="104"/>
        <v>113.77642931639329</v>
      </c>
      <c r="BB219" s="67">
        <f t="shared" si="104"/>
        <v>142.98808432630614</v>
      </c>
      <c r="BC219" s="67">
        <f t="shared" si="104"/>
        <v>133.64173734258546</v>
      </c>
      <c r="BD219" s="67">
        <f t="shared" si="104"/>
        <v>125.33792086507742</v>
      </c>
      <c r="BE219" s="67">
        <f t="shared" si="104"/>
        <v>211.44179366472511</v>
      </c>
      <c r="BF219" s="67">
        <f t="shared" si="104"/>
        <v>156.1524047470331</v>
      </c>
      <c r="BG219" s="67">
        <f t="shared" si="104"/>
        <v>152.97537096527461</v>
      </c>
      <c r="BH219" s="67">
        <f t="shared" si="104"/>
        <v>114.73152822395595</v>
      </c>
    </row>
    <row r="220" spans="1:60" s="67" customFormat="1" x14ac:dyDescent="0.25">
      <c r="A220" s="67" t="str">
        <f t="shared" ref="A220:E220" si="107">A45</f>
        <v>DOE</v>
      </c>
      <c r="B220" s="67" t="str">
        <f t="shared" si="107"/>
        <v>Electricity</v>
      </c>
      <c r="C220" s="67" t="str">
        <f t="shared" si="107"/>
        <v>Electricity</v>
      </c>
      <c r="D220" s="67" t="str">
        <f t="shared" si="107"/>
        <v>Steady</v>
      </c>
      <c r="E220" s="67" t="str">
        <f t="shared" si="107"/>
        <v>Subprograms</v>
      </c>
      <c r="F220" s="67" t="s">
        <v>90</v>
      </c>
      <c r="I220" s="67">
        <f t="shared" si="57"/>
        <v>0</v>
      </c>
      <c r="J220" s="67">
        <f t="shared" si="104"/>
        <v>0</v>
      </c>
      <c r="K220" s="67">
        <f t="shared" si="104"/>
        <v>0</v>
      </c>
      <c r="L220" s="67">
        <f t="shared" si="104"/>
        <v>0</v>
      </c>
      <c r="M220" s="67">
        <f t="shared" si="104"/>
        <v>0</v>
      </c>
      <c r="N220" s="67">
        <f t="shared" si="104"/>
        <v>0</v>
      </c>
      <c r="O220" s="67">
        <f t="shared" si="104"/>
        <v>0</v>
      </c>
      <c r="P220" s="67">
        <f t="shared" si="104"/>
        <v>0</v>
      </c>
      <c r="Q220" s="67">
        <f t="shared" si="104"/>
        <v>0</v>
      </c>
      <c r="R220" s="67">
        <f t="shared" si="104"/>
        <v>0</v>
      </c>
      <c r="S220" s="67">
        <f t="shared" si="104"/>
        <v>0</v>
      </c>
      <c r="T220" s="67">
        <f t="shared" si="104"/>
        <v>0</v>
      </c>
      <c r="U220" s="67">
        <f t="shared" si="104"/>
        <v>0</v>
      </c>
      <c r="V220" s="67">
        <f t="shared" si="104"/>
        <v>0</v>
      </c>
      <c r="W220" s="67">
        <f t="shared" si="104"/>
        <v>0</v>
      </c>
      <c r="X220" s="67">
        <f t="shared" si="104"/>
        <v>0</v>
      </c>
      <c r="Y220" s="67">
        <f t="shared" si="104"/>
        <v>0</v>
      </c>
      <c r="Z220" s="67">
        <f t="shared" si="104"/>
        <v>0</v>
      </c>
      <c r="AA220" s="67">
        <f t="shared" si="104"/>
        <v>0</v>
      </c>
      <c r="AB220" s="67">
        <f t="shared" si="104"/>
        <v>0</v>
      </c>
      <c r="AC220" s="67">
        <f t="shared" si="104"/>
        <v>0</v>
      </c>
      <c r="AD220" s="67">
        <f t="shared" si="104"/>
        <v>0</v>
      </c>
      <c r="AE220" s="67">
        <f t="shared" si="104"/>
        <v>0</v>
      </c>
      <c r="AF220" s="67">
        <f t="shared" si="104"/>
        <v>0</v>
      </c>
      <c r="AG220" s="67">
        <f t="shared" si="104"/>
        <v>0</v>
      </c>
      <c r="AH220" s="67">
        <f t="shared" si="104"/>
        <v>0</v>
      </c>
      <c r="AI220" s="67">
        <f t="shared" si="104"/>
        <v>0</v>
      </c>
      <c r="AJ220" s="67">
        <f t="shared" si="104"/>
        <v>0</v>
      </c>
      <c r="AK220" s="67">
        <f t="shared" si="104"/>
        <v>0</v>
      </c>
      <c r="AL220" s="67">
        <f t="shared" si="104"/>
        <v>0</v>
      </c>
      <c r="AM220" s="67">
        <f t="shared" si="104"/>
        <v>0</v>
      </c>
      <c r="AN220" s="67">
        <f t="shared" si="104"/>
        <v>0</v>
      </c>
      <c r="AO220" s="67">
        <f t="shared" si="104"/>
        <v>0</v>
      </c>
      <c r="AP220" s="67">
        <f t="shared" si="104"/>
        <v>109.09908896637049</v>
      </c>
      <c r="AQ220" s="67">
        <f t="shared" si="104"/>
        <v>83.63068688670829</v>
      </c>
      <c r="AR220" s="67">
        <f t="shared" si="104"/>
        <v>184.17577612592919</v>
      </c>
      <c r="AS220" s="67">
        <f t="shared" si="104"/>
        <v>147.27292248228471</v>
      </c>
      <c r="AT220" s="67">
        <f t="shared" si="104"/>
        <v>136.23958662870399</v>
      </c>
      <c r="AU220" s="67">
        <f t="shared" si="104"/>
        <v>133.79867439933719</v>
      </c>
      <c r="AV220" s="67">
        <f t="shared" si="104"/>
        <v>147.81160311603116</v>
      </c>
      <c r="AW220" s="67">
        <f t="shared" si="104"/>
        <v>146.33007931665651</v>
      </c>
      <c r="AX220" s="67">
        <f t="shared" si="104"/>
        <v>206</v>
      </c>
      <c r="AY220" s="67">
        <f t="shared" si="104"/>
        <v>147.11895910780669</v>
      </c>
      <c r="AZ220" s="67">
        <f t="shared" si="104"/>
        <v>152.81913360868313</v>
      </c>
      <c r="BA220" s="67">
        <f t="shared" si="104"/>
        <v>147.90935811131126</v>
      </c>
      <c r="BB220" s="67">
        <f t="shared" si="104"/>
        <v>174.15215398716774</v>
      </c>
      <c r="BC220" s="67">
        <f t="shared" si="104"/>
        <v>172.80904651760471</v>
      </c>
      <c r="BD220" s="67">
        <f t="shared" si="104"/>
        <v>206.43892848365692</v>
      </c>
      <c r="BE220" s="67">
        <f t="shared" si="104"/>
        <v>635.92116811617325</v>
      </c>
      <c r="BF220" s="67">
        <f t="shared" si="104"/>
        <v>218.61336664584636</v>
      </c>
      <c r="BG220" s="67">
        <f t="shared" si="104"/>
        <v>214.16551935138443</v>
      </c>
      <c r="BH220" s="67">
        <f t="shared" si="104"/>
        <v>147.62123298148998</v>
      </c>
    </row>
    <row r="221" spans="1:60" s="67" customFormat="1" x14ac:dyDescent="0.25">
      <c r="A221" s="67" t="str">
        <f t="shared" ref="A221:E221" si="108">A46</f>
        <v>DOE</v>
      </c>
      <c r="B221" s="67" t="str">
        <f t="shared" si="108"/>
        <v>Nuclear</v>
      </c>
      <c r="C221" s="67" t="str">
        <f t="shared" si="108"/>
        <v>Nuclear</v>
      </c>
      <c r="D221" s="67" t="str">
        <f t="shared" si="108"/>
        <v>Steady</v>
      </c>
      <c r="E221" s="67" t="str">
        <f t="shared" si="108"/>
        <v>Subprograms</v>
      </c>
      <c r="F221" s="67" t="s">
        <v>90</v>
      </c>
      <c r="H221" s="67" t="str">
        <f t="shared" si="56"/>
        <v>Nuclear Energy</v>
      </c>
      <c r="I221" s="67">
        <f t="shared" si="57"/>
        <v>0</v>
      </c>
      <c r="J221" s="67">
        <f t="shared" si="104"/>
        <v>0</v>
      </c>
      <c r="K221" s="67">
        <f t="shared" si="104"/>
        <v>0</v>
      </c>
      <c r="L221" s="67">
        <f t="shared" si="104"/>
        <v>0</v>
      </c>
      <c r="M221" s="67">
        <f t="shared" si="104"/>
        <v>0</v>
      </c>
      <c r="N221" s="67">
        <f t="shared" si="104"/>
        <v>0</v>
      </c>
      <c r="O221" s="67">
        <f t="shared" si="104"/>
        <v>0</v>
      </c>
      <c r="P221" s="67">
        <f t="shared" si="104"/>
        <v>0</v>
      </c>
      <c r="Q221" s="67">
        <f t="shared" si="104"/>
        <v>0</v>
      </c>
      <c r="R221" s="67">
        <f t="shared" si="104"/>
        <v>0</v>
      </c>
      <c r="S221" s="67">
        <f t="shared" si="104"/>
        <v>0</v>
      </c>
      <c r="T221" s="67">
        <f t="shared" si="104"/>
        <v>0</v>
      </c>
      <c r="U221" s="67">
        <f t="shared" si="104"/>
        <v>0</v>
      </c>
      <c r="V221" s="67">
        <f t="shared" si="104"/>
        <v>0</v>
      </c>
      <c r="W221" s="67">
        <f t="shared" si="104"/>
        <v>0</v>
      </c>
      <c r="X221" s="67">
        <f t="shared" si="104"/>
        <v>0</v>
      </c>
      <c r="Y221" s="67">
        <f t="shared" si="104"/>
        <v>0</v>
      </c>
      <c r="Z221" s="67">
        <f t="shared" si="104"/>
        <v>0</v>
      </c>
      <c r="AA221" s="67">
        <f t="shared" si="104"/>
        <v>0</v>
      </c>
      <c r="AB221" s="67">
        <f t="shared" si="104"/>
        <v>0</v>
      </c>
      <c r="AC221" s="67">
        <f t="shared" si="104"/>
        <v>0</v>
      </c>
      <c r="AD221" s="67">
        <f t="shared" si="104"/>
        <v>0</v>
      </c>
      <c r="AE221" s="67">
        <f t="shared" si="104"/>
        <v>0</v>
      </c>
      <c r="AF221" s="67">
        <f t="shared" si="104"/>
        <v>0</v>
      </c>
      <c r="AG221" s="67">
        <f t="shared" si="104"/>
        <v>0</v>
      </c>
      <c r="AH221" s="67">
        <f t="shared" si="104"/>
        <v>0</v>
      </c>
      <c r="AI221" s="67">
        <f t="shared" si="104"/>
        <v>0</v>
      </c>
      <c r="AJ221" s="67">
        <f t="shared" si="104"/>
        <v>0</v>
      </c>
      <c r="AK221" s="67">
        <f t="shared" si="104"/>
        <v>0</v>
      </c>
      <c r="AL221" s="67">
        <f t="shared" si="104"/>
        <v>0</v>
      </c>
      <c r="AM221" s="67">
        <f t="shared" si="104"/>
        <v>0</v>
      </c>
      <c r="AN221" s="67">
        <f t="shared" si="104"/>
        <v>0</v>
      </c>
      <c r="AO221" s="67">
        <f t="shared" si="104"/>
        <v>0</v>
      </c>
      <c r="AP221" s="67">
        <f t="shared" si="104"/>
        <v>337.41986278258912</v>
      </c>
      <c r="AQ221" s="67">
        <f t="shared" si="104"/>
        <v>702.49776984834966</v>
      </c>
      <c r="AR221" s="67">
        <f t="shared" si="104"/>
        <v>937.83996501967647</v>
      </c>
      <c r="AS221" s="67">
        <f t="shared" si="104"/>
        <v>865.3596736096199</v>
      </c>
      <c r="AT221" s="67">
        <f t="shared" si="104"/>
        <v>900.36486343983972</v>
      </c>
      <c r="AU221" s="67">
        <f t="shared" si="104"/>
        <v>826.72120961060489</v>
      </c>
      <c r="AV221" s="67">
        <f t="shared" si="104"/>
        <v>899.56949569495691</v>
      </c>
      <c r="AW221" s="67">
        <f t="shared" si="104"/>
        <v>835.75655887736423</v>
      </c>
      <c r="AX221" s="67">
        <f t="shared" si="104"/>
        <v>986.16099999999994</v>
      </c>
      <c r="AY221" s="67">
        <f t="shared" si="104"/>
        <v>993.75953825083161</v>
      </c>
      <c r="AZ221" s="67">
        <f t="shared" si="104"/>
        <v>1157.4834309864568</v>
      </c>
      <c r="BA221" s="67">
        <f t="shared" si="104"/>
        <v>1257.314876268133</v>
      </c>
      <c r="BB221" s="67">
        <f t="shared" si="104"/>
        <v>1368.8432630614116</v>
      </c>
      <c r="BC221" s="67">
        <f t="shared" si="104"/>
        <v>1291.5274565236014</v>
      </c>
      <c r="BD221" s="67">
        <f t="shared" si="104"/>
        <v>1377.0787253215369</v>
      </c>
      <c r="BE221" s="67">
        <f t="shared" si="104"/>
        <v>1858.294103566584</v>
      </c>
      <c r="BF221" s="67">
        <f t="shared" si="104"/>
        <v>1315.5840099937541</v>
      </c>
      <c r="BG221" s="67">
        <f t="shared" si="104"/>
        <v>1288.8175003824385</v>
      </c>
      <c r="BH221" s="67">
        <f t="shared" si="104"/>
        <v>1047.8812911121311</v>
      </c>
    </row>
    <row r="222" spans="1:60" s="67" customFormat="1" x14ac:dyDescent="0.25">
      <c r="A222" s="67" t="str">
        <f t="shared" ref="A222:E222" si="109">A47</f>
        <v>DOE</v>
      </c>
      <c r="B222" s="67" t="str">
        <f t="shared" si="109"/>
        <v>Fossil Energy R&amp;D</v>
      </c>
      <c r="C222" s="67" t="str">
        <f t="shared" si="109"/>
        <v>Fossil Energy R&amp;D</v>
      </c>
      <c r="D222" s="67" t="str">
        <f t="shared" si="109"/>
        <v>Steady</v>
      </c>
      <c r="E222" s="67" t="str">
        <f t="shared" si="109"/>
        <v>Subprograms</v>
      </c>
      <c r="F222" s="67" t="s">
        <v>90</v>
      </c>
      <c r="I222" s="67">
        <f t="shared" si="57"/>
        <v>0</v>
      </c>
      <c r="J222" s="67">
        <f t="shared" si="104"/>
        <v>0</v>
      </c>
      <c r="K222" s="67">
        <f t="shared" si="104"/>
        <v>0</v>
      </c>
      <c r="L222" s="67">
        <f t="shared" si="104"/>
        <v>0</v>
      </c>
      <c r="M222" s="67">
        <f t="shared" si="104"/>
        <v>0</v>
      </c>
      <c r="N222" s="67">
        <f t="shared" si="104"/>
        <v>0</v>
      </c>
      <c r="O222" s="67">
        <f t="shared" si="104"/>
        <v>0</v>
      </c>
      <c r="P222" s="67">
        <f t="shared" si="104"/>
        <v>0</v>
      </c>
      <c r="Q222" s="67">
        <f t="shared" si="104"/>
        <v>0</v>
      </c>
      <c r="R222" s="67">
        <f t="shared" si="104"/>
        <v>0</v>
      </c>
      <c r="S222" s="67">
        <f t="shared" si="104"/>
        <v>594.95168605797676</v>
      </c>
      <c r="T222" s="67">
        <f t="shared" si="104"/>
        <v>558.91996142719393</v>
      </c>
      <c r="U222" s="67">
        <f t="shared" si="104"/>
        <v>444.06715714016224</v>
      </c>
      <c r="V222" s="67">
        <f t="shared" si="104"/>
        <v>697.24100127900601</v>
      </c>
      <c r="W222" s="67">
        <f t="shared" si="104"/>
        <v>549.17456972251489</v>
      </c>
      <c r="X222" s="67">
        <f t="shared" si="104"/>
        <v>583.70044052863443</v>
      </c>
      <c r="Y222" s="67">
        <f t="shared" ref="J222:BH227" si="110">Y47/Y$175</f>
        <v>630.78684770161954</v>
      </c>
      <c r="Z222" s="67">
        <f t="shared" si="110"/>
        <v>567.34759016916689</v>
      </c>
      <c r="AA222" s="67">
        <f t="shared" si="110"/>
        <v>512.24076095431155</v>
      </c>
      <c r="AB222" s="67">
        <f t="shared" si="110"/>
        <v>513.20006104074469</v>
      </c>
      <c r="AC222" s="67">
        <f t="shared" si="110"/>
        <v>488.64315600717271</v>
      </c>
      <c r="AD222" s="67">
        <f t="shared" si="110"/>
        <v>427.8380756820182</v>
      </c>
      <c r="AE222" s="67">
        <f t="shared" si="110"/>
        <v>413.02781380602397</v>
      </c>
      <c r="AF222" s="67">
        <f t="shared" si="110"/>
        <v>392.82664389410758</v>
      </c>
      <c r="AG222" s="67">
        <f t="shared" si="110"/>
        <v>414.73358639111484</v>
      </c>
      <c r="AH222" s="67">
        <f t="shared" si="110"/>
        <v>484.78171050819446</v>
      </c>
      <c r="AI222" s="67">
        <f t="shared" si="110"/>
        <v>599.70418179373405</v>
      </c>
      <c r="AJ222" s="67">
        <f t="shared" si="110"/>
        <v>590.41567381519724</v>
      </c>
      <c r="AK222" s="67">
        <f t="shared" si="110"/>
        <v>527.4502345632053</v>
      </c>
      <c r="AL222" s="67">
        <f t="shared" si="110"/>
        <v>572.16685123661864</v>
      </c>
      <c r="AM222" s="67">
        <f t="shared" si="110"/>
        <v>651.8889286139912</v>
      </c>
      <c r="AN222" s="67">
        <f t="shared" si="110"/>
        <v>519.60102064486205</v>
      </c>
      <c r="AO222" s="67">
        <f t="shared" si="110"/>
        <v>491.989546642427</v>
      </c>
      <c r="AP222" s="67">
        <f t="shared" si="110"/>
        <v>540.99651332808457</v>
      </c>
      <c r="AQ222" s="67">
        <f t="shared" si="110"/>
        <v>602.14094558429974</v>
      </c>
      <c r="AR222" s="67">
        <f t="shared" si="110"/>
        <v>721.21775251421082</v>
      </c>
      <c r="AS222" s="67">
        <f t="shared" si="110"/>
        <v>628.14258106076875</v>
      </c>
      <c r="AT222" s="67">
        <f t="shared" si="110"/>
        <v>552.64578719814403</v>
      </c>
      <c r="AU222" s="67">
        <f t="shared" si="110"/>
        <v>516.48198011599004</v>
      </c>
      <c r="AV222" s="67">
        <f t="shared" si="110"/>
        <v>564.40139401394015</v>
      </c>
      <c r="AW222" s="67">
        <f t="shared" si="110"/>
        <v>558.15029489526125</v>
      </c>
      <c r="AX222" s="67">
        <f t="shared" si="110"/>
        <v>632</v>
      </c>
      <c r="AY222" s="67">
        <f t="shared" si="110"/>
        <v>667.18841713950303</v>
      </c>
      <c r="AZ222" s="67">
        <f t="shared" si="110"/>
        <v>698.12409951013353</v>
      </c>
      <c r="BA222" s="67">
        <f t="shared" si="110"/>
        <v>701.62131411775863</v>
      </c>
      <c r="BB222" s="67">
        <f t="shared" si="110"/>
        <v>687.44271310724105</v>
      </c>
      <c r="BC222" s="67">
        <f t="shared" si="110"/>
        <v>642.50835260858389</v>
      </c>
      <c r="BD222" s="67">
        <f t="shared" si="110"/>
        <v>489.06365200294914</v>
      </c>
      <c r="BE222" s="67">
        <f t="shared" si="110"/>
        <v>999.76063193170023</v>
      </c>
      <c r="BF222" s="67">
        <f t="shared" si="110"/>
        <v>675.35915053091821</v>
      </c>
      <c r="BG222" s="67">
        <f t="shared" si="110"/>
        <v>661.61847942481268</v>
      </c>
      <c r="BH222" s="67">
        <f t="shared" si="110"/>
        <v>455.10172862169196</v>
      </c>
    </row>
    <row r="223" spans="1:60" s="67" customFormat="1" x14ac:dyDescent="0.25">
      <c r="A223" s="67" t="str">
        <f t="shared" ref="A223:E223" si="111">A48</f>
        <v>DOE</v>
      </c>
      <c r="B223" s="67" t="str">
        <f t="shared" si="111"/>
        <v>Energy Supply</v>
      </c>
      <c r="C223" s="67" t="str">
        <f t="shared" si="111"/>
        <v>Energy Supply</v>
      </c>
      <c r="D223" s="67" t="str">
        <f t="shared" si="111"/>
        <v>Steady</v>
      </c>
      <c r="E223" s="67" t="str">
        <f t="shared" si="111"/>
        <v>Subprograms</v>
      </c>
      <c r="F223" s="67" t="s">
        <v>90</v>
      </c>
      <c r="I223" s="67">
        <f t="shared" si="57"/>
        <v>0</v>
      </c>
      <c r="J223" s="67">
        <f t="shared" si="110"/>
        <v>0</v>
      </c>
      <c r="K223" s="67">
        <f t="shared" si="110"/>
        <v>0</v>
      </c>
      <c r="L223" s="67">
        <f t="shared" si="110"/>
        <v>0</v>
      </c>
      <c r="M223" s="67">
        <f t="shared" si="110"/>
        <v>0</v>
      </c>
      <c r="N223" s="67">
        <f t="shared" si="110"/>
        <v>0</v>
      </c>
      <c r="O223" s="67">
        <f t="shared" si="110"/>
        <v>0</v>
      </c>
      <c r="P223" s="67">
        <f t="shared" si="110"/>
        <v>0</v>
      </c>
      <c r="Q223" s="67">
        <f t="shared" si="110"/>
        <v>0</v>
      </c>
      <c r="R223" s="67">
        <f t="shared" si="110"/>
        <v>0</v>
      </c>
      <c r="S223" s="67">
        <f t="shared" si="110"/>
        <v>3361.4671662394003</v>
      </c>
      <c r="T223" s="67">
        <f t="shared" si="110"/>
        <v>3025.4580520732889</v>
      </c>
      <c r="U223" s="67">
        <f t="shared" si="110"/>
        <v>2765.8932276928881</v>
      </c>
      <c r="V223" s="67">
        <f t="shared" si="110"/>
        <v>2814.7268408551067</v>
      </c>
      <c r="W223" s="67">
        <f t="shared" si="110"/>
        <v>2784.5100105374077</v>
      </c>
      <c r="X223" s="67">
        <f t="shared" si="110"/>
        <v>2829.3798712300918</v>
      </c>
      <c r="Y223" s="67">
        <f t="shared" si="110"/>
        <v>3156.8787829216426</v>
      </c>
      <c r="Z223" s="67">
        <f t="shared" si="110"/>
        <v>3363.0705394190873</v>
      </c>
      <c r="AA223" s="67">
        <f t="shared" si="110"/>
        <v>3290.1917979104942</v>
      </c>
      <c r="AB223" s="67">
        <f t="shared" si="110"/>
        <v>3236.8380894246907</v>
      </c>
      <c r="AC223" s="67">
        <f t="shared" si="110"/>
        <v>3354.9013747758518</v>
      </c>
      <c r="AD223" s="67">
        <f t="shared" si="110"/>
        <v>2756.3801701378702</v>
      </c>
      <c r="AE223" s="67">
        <f t="shared" si="110"/>
        <v>697.21861939760777</v>
      </c>
      <c r="AF223" s="67">
        <f t="shared" si="110"/>
        <v>421.29234272701393</v>
      </c>
      <c r="AG223" s="67">
        <f t="shared" si="110"/>
        <v>504.70968648952618</v>
      </c>
      <c r="AH223" s="67">
        <f t="shared" si="110"/>
        <v>512.32612587797826</v>
      </c>
      <c r="AI223" s="67">
        <f t="shared" si="110"/>
        <v>83.366949038590832</v>
      </c>
      <c r="AJ223" s="67">
        <f t="shared" si="110"/>
        <v>82.075721472067784</v>
      </c>
      <c r="AK223" s="67">
        <f t="shared" si="110"/>
        <v>0</v>
      </c>
      <c r="AL223" s="67">
        <f t="shared" si="110"/>
        <v>0</v>
      </c>
      <c r="AM223" s="67">
        <f t="shared" si="110"/>
        <v>0</v>
      </c>
      <c r="AN223" s="67">
        <f t="shared" si="110"/>
        <v>0</v>
      </c>
      <c r="AO223" s="67">
        <f t="shared" si="110"/>
        <v>0</v>
      </c>
      <c r="AP223" s="67">
        <f t="shared" si="110"/>
        <v>0</v>
      </c>
      <c r="AQ223" s="67">
        <f t="shared" si="110"/>
        <v>0</v>
      </c>
      <c r="AR223" s="67">
        <f t="shared" si="110"/>
        <v>0</v>
      </c>
      <c r="AS223" s="67">
        <f t="shared" si="110"/>
        <v>0</v>
      </c>
      <c r="AT223" s="67">
        <f t="shared" si="110"/>
        <v>0</v>
      </c>
      <c r="AU223" s="67">
        <f t="shared" si="110"/>
        <v>0</v>
      </c>
      <c r="AV223" s="67">
        <f t="shared" si="110"/>
        <v>0</v>
      </c>
      <c r="AW223" s="67">
        <f t="shared" si="110"/>
        <v>0</v>
      </c>
      <c r="AX223" s="67">
        <f t="shared" si="110"/>
        <v>0</v>
      </c>
      <c r="AY223" s="67">
        <f t="shared" si="110"/>
        <v>0</v>
      </c>
      <c r="AZ223" s="67">
        <f t="shared" si="110"/>
        <v>0</v>
      </c>
      <c r="BA223" s="67">
        <f t="shared" si="110"/>
        <v>0</v>
      </c>
      <c r="BB223" s="67">
        <f t="shared" si="110"/>
        <v>0</v>
      </c>
      <c r="BC223" s="67">
        <f t="shared" si="110"/>
        <v>0</v>
      </c>
      <c r="BD223" s="67">
        <f t="shared" si="110"/>
        <v>0</v>
      </c>
      <c r="BE223" s="67">
        <f t="shared" si="110"/>
        <v>0</v>
      </c>
      <c r="BF223" s="67">
        <f t="shared" si="110"/>
        <v>0</v>
      </c>
      <c r="BG223" s="67">
        <f t="shared" si="110"/>
        <v>0</v>
      </c>
      <c r="BH223" s="67">
        <f t="shared" si="110"/>
        <v>0</v>
      </c>
    </row>
    <row r="224" spans="1:60" s="67" customFormat="1" x14ac:dyDescent="0.25">
      <c r="A224" s="67" t="str">
        <f t="shared" ref="A224:E224" si="112">A49</f>
        <v>DOE</v>
      </c>
      <c r="B224" s="67" t="str">
        <f t="shared" si="112"/>
        <v>Energy conservation</v>
      </c>
      <c r="C224" s="67" t="str">
        <f t="shared" si="112"/>
        <v>Energy conservation</v>
      </c>
      <c r="D224" s="67" t="str">
        <f t="shared" si="112"/>
        <v>Steady</v>
      </c>
      <c r="E224" s="67" t="str">
        <f t="shared" si="112"/>
        <v>Subprograms</v>
      </c>
      <c r="F224" s="67" t="s">
        <v>90</v>
      </c>
      <c r="I224" s="67">
        <f t="shared" si="57"/>
        <v>0</v>
      </c>
      <c r="J224" s="67">
        <f t="shared" si="110"/>
        <v>0</v>
      </c>
      <c r="K224" s="67">
        <f t="shared" si="110"/>
        <v>0</v>
      </c>
      <c r="L224" s="67">
        <f t="shared" si="110"/>
        <v>0</v>
      </c>
      <c r="M224" s="67">
        <f t="shared" si="110"/>
        <v>0</v>
      </c>
      <c r="N224" s="67">
        <f t="shared" si="110"/>
        <v>0</v>
      </c>
      <c r="O224" s="67">
        <f t="shared" si="110"/>
        <v>0</v>
      </c>
      <c r="P224" s="67">
        <f t="shared" si="110"/>
        <v>0</v>
      </c>
      <c r="Q224" s="67">
        <f t="shared" si="110"/>
        <v>0</v>
      </c>
      <c r="R224" s="67">
        <f t="shared" si="110"/>
        <v>0</v>
      </c>
      <c r="S224" s="67">
        <f t="shared" si="110"/>
        <v>339.97239203312955</v>
      </c>
      <c r="T224" s="67">
        <f t="shared" si="110"/>
        <v>294.50337512054</v>
      </c>
      <c r="U224" s="67">
        <f t="shared" si="110"/>
        <v>277.68345595170717</v>
      </c>
      <c r="V224" s="67">
        <f t="shared" si="110"/>
        <v>302.75899872099393</v>
      </c>
      <c r="W224" s="67">
        <f t="shared" si="110"/>
        <v>252.19529329118367</v>
      </c>
      <c r="X224" s="67">
        <f t="shared" si="110"/>
        <v>305.15079634022368</v>
      </c>
      <c r="Y224" s="67">
        <f t="shared" si="110"/>
        <v>321.77327008015703</v>
      </c>
      <c r="Z224" s="67">
        <f t="shared" si="110"/>
        <v>367.06032556654958</v>
      </c>
      <c r="AA224" s="67">
        <f t="shared" si="110"/>
        <v>443.00639326368321</v>
      </c>
      <c r="AB224" s="67">
        <f t="shared" si="110"/>
        <v>525.86601556538994</v>
      </c>
      <c r="AC224" s="67">
        <f t="shared" si="110"/>
        <v>533.77166766288099</v>
      </c>
      <c r="AD224" s="67">
        <f t="shared" si="110"/>
        <v>450.42534467585807</v>
      </c>
      <c r="AE224" s="67">
        <f t="shared" si="110"/>
        <v>459.86453379449495</v>
      </c>
      <c r="AF224" s="67">
        <f t="shared" si="110"/>
        <v>483.91688015940792</v>
      </c>
      <c r="AG224" s="67">
        <f t="shared" si="110"/>
        <v>535.63897089835507</v>
      </c>
      <c r="AH224" s="67">
        <f t="shared" si="110"/>
        <v>647.29376118991877</v>
      </c>
      <c r="AI224" s="67">
        <f t="shared" si="110"/>
        <v>583.56864327013579</v>
      </c>
      <c r="AJ224" s="67">
        <f t="shared" si="110"/>
        <v>574.53005030447446</v>
      </c>
      <c r="AK224" s="67">
        <f t="shared" si="110"/>
        <v>0</v>
      </c>
      <c r="AL224" s="67">
        <f t="shared" si="110"/>
        <v>0</v>
      </c>
      <c r="AM224" s="67">
        <f t="shared" si="110"/>
        <v>0</v>
      </c>
      <c r="AN224" s="67">
        <f t="shared" si="110"/>
        <v>0</v>
      </c>
      <c r="AO224" s="67">
        <f t="shared" si="110"/>
        <v>0</v>
      </c>
      <c r="AP224" s="67">
        <f t="shared" si="110"/>
        <v>0</v>
      </c>
      <c r="AQ224" s="67">
        <f t="shared" si="110"/>
        <v>0</v>
      </c>
      <c r="AR224" s="67">
        <f t="shared" si="110"/>
        <v>0</v>
      </c>
      <c r="AS224" s="67">
        <f t="shared" si="110"/>
        <v>0</v>
      </c>
      <c r="AT224" s="67">
        <f t="shared" si="110"/>
        <v>0</v>
      </c>
      <c r="AU224" s="67">
        <f t="shared" si="110"/>
        <v>0</v>
      </c>
      <c r="AV224" s="67">
        <f t="shared" si="110"/>
        <v>0</v>
      </c>
      <c r="AW224" s="67">
        <f t="shared" si="110"/>
        <v>0</v>
      </c>
      <c r="AX224" s="67">
        <f t="shared" si="110"/>
        <v>0</v>
      </c>
      <c r="AY224" s="67">
        <f t="shared" si="110"/>
        <v>0</v>
      </c>
      <c r="AZ224" s="67">
        <f t="shared" si="110"/>
        <v>0</v>
      </c>
      <c r="BA224" s="67">
        <f t="shared" si="110"/>
        <v>0</v>
      </c>
      <c r="BB224" s="67">
        <f t="shared" si="110"/>
        <v>0</v>
      </c>
      <c r="BC224" s="67">
        <f t="shared" si="110"/>
        <v>0</v>
      </c>
      <c r="BD224" s="67">
        <f t="shared" si="110"/>
        <v>0</v>
      </c>
      <c r="BE224" s="67">
        <f t="shared" si="110"/>
        <v>0</v>
      </c>
      <c r="BF224" s="67">
        <f t="shared" si="110"/>
        <v>0</v>
      </c>
      <c r="BG224" s="67">
        <f t="shared" si="110"/>
        <v>0</v>
      </c>
      <c r="BH224" s="67">
        <f t="shared" si="110"/>
        <v>0</v>
      </c>
    </row>
    <row r="225" spans="1:60" s="67" customFormat="1" x14ac:dyDescent="0.25">
      <c r="A225" s="67" t="str">
        <f t="shared" ref="A225:E225" si="113">A50</f>
        <v>DOE</v>
      </c>
      <c r="B225" s="67" t="str">
        <f t="shared" si="113"/>
        <v>ARPA-E</v>
      </c>
      <c r="C225" s="67" t="str">
        <f t="shared" si="113"/>
        <v>ARPA-E</v>
      </c>
      <c r="D225" s="67" t="str">
        <f t="shared" si="113"/>
        <v>Steady</v>
      </c>
      <c r="E225" s="67" t="str">
        <f t="shared" si="113"/>
        <v>Subprograms</v>
      </c>
      <c r="F225" s="67" t="s">
        <v>90</v>
      </c>
      <c r="H225" s="67" t="str">
        <f t="shared" si="56"/>
        <v>Advanced Research Projects Agency - Energy</v>
      </c>
      <c r="I225" s="67">
        <f t="shared" si="57"/>
        <v>0</v>
      </c>
      <c r="J225" s="67">
        <f t="shared" si="110"/>
        <v>0</v>
      </c>
      <c r="K225" s="67">
        <f t="shared" si="110"/>
        <v>0</v>
      </c>
      <c r="L225" s="67">
        <f t="shared" si="110"/>
        <v>0</v>
      </c>
      <c r="M225" s="67">
        <f t="shared" si="110"/>
        <v>0</v>
      </c>
      <c r="N225" s="67">
        <f t="shared" si="110"/>
        <v>0</v>
      </c>
      <c r="O225" s="67">
        <f t="shared" si="110"/>
        <v>0</v>
      </c>
      <c r="P225" s="67">
        <f t="shared" si="110"/>
        <v>0</v>
      </c>
      <c r="Q225" s="67">
        <f t="shared" si="110"/>
        <v>0</v>
      </c>
      <c r="R225" s="67">
        <f t="shared" si="110"/>
        <v>0</v>
      </c>
      <c r="S225" s="67">
        <f t="shared" si="110"/>
        <v>0</v>
      </c>
      <c r="T225" s="67">
        <f t="shared" si="110"/>
        <v>0</v>
      </c>
      <c r="U225" s="67">
        <f t="shared" si="110"/>
        <v>0</v>
      </c>
      <c r="V225" s="67">
        <f t="shared" si="110"/>
        <v>0</v>
      </c>
      <c r="W225" s="67">
        <f t="shared" si="110"/>
        <v>0</v>
      </c>
      <c r="X225" s="67">
        <f t="shared" si="110"/>
        <v>0</v>
      </c>
      <c r="Y225" s="67">
        <f t="shared" si="110"/>
        <v>0</v>
      </c>
      <c r="Z225" s="67">
        <f t="shared" si="110"/>
        <v>0</v>
      </c>
      <c r="AA225" s="67">
        <f t="shared" si="110"/>
        <v>0</v>
      </c>
      <c r="AB225" s="67">
        <f t="shared" si="110"/>
        <v>0</v>
      </c>
      <c r="AC225" s="67">
        <f t="shared" si="110"/>
        <v>0</v>
      </c>
      <c r="AD225" s="67">
        <f t="shared" si="110"/>
        <v>0</v>
      </c>
      <c r="AE225" s="67">
        <f t="shared" si="110"/>
        <v>0</v>
      </c>
      <c r="AF225" s="67">
        <f t="shared" si="110"/>
        <v>0</v>
      </c>
      <c r="AG225" s="67">
        <f t="shared" si="110"/>
        <v>0</v>
      </c>
      <c r="AH225" s="67">
        <f t="shared" si="110"/>
        <v>0</v>
      </c>
      <c r="AI225" s="67">
        <f t="shared" si="110"/>
        <v>0</v>
      </c>
      <c r="AJ225" s="67">
        <f t="shared" si="110"/>
        <v>0</v>
      </c>
      <c r="AK225" s="67">
        <f t="shared" si="110"/>
        <v>0</v>
      </c>
      <c r="AL225" s="67">
        <f t="shared" si="110"/>
        <v>0</v>
      </c>
      <c r="AM225" s="67">
        <f t="shared" si="110"/>
        <v>0</v>
      </c>
      <c r="AN225" s="67">
        <f t="shared" si="110"/>
        <v>0</v>
      </c>
      <c r="AO225" s="67">
        <f t="shared" si="110"/>
        <v>0</v>
      </c>
      <c r="AP225" s="67">
        <f t="shared" si="110"/>
        <v>0</v>
      </c>
      <c r="AQ225" s="67">
        <f t="shared" si="110"/>
        <v>0</v>
      </c>
      <c r="AR225" s="67">
        <f t="shared" si="110"/>
        <v>0</v>
      </c>
      <c r="AS225" s="67">
        <f t="shared" si="110"/>
        <v>192.87094696156322</v>
      </c>
      <c r="AT225" s="67">
        <f t="shared" si="110"/>
        <v>264.30032690076979</v>
      </c>
      <c r="AU225" s="67">
        <f t="shared" si="110"/>
        <v>259.56503728251863</v>
      </c>
      <c r="AV225" s="67">
        <f t="shared" si="110"/>
        <v>287.00287002870027</v>
      </c>
      <c r="AW225" s="67">
        <f t="shared" si="110"/>
        <v>284.70815537929633</v>
      </c>
      <c r="AX225" s="67">
        <f t="shared" si="110"/>
        <v>291</v>
      </c>
      <c r="AY225" s="67">
        <f t="shared" si="110"/>
        <v>295.68088436705148</v>
      </c>
      <c r="AZ225" s="67">
        <f t="shared" si="110"/>
        <v>339.36605513399292</v>
      </c>
      <c r="BA225" s="67">
        <f t="shared" si="110"/>
        <v>347.01810941499951</v>
      </c>
      <c r="BB225" s="67">
        <f t="shared" si="110"/>
        <v>389.55087076076995</v>
      </c>
      <c r="BC225" s="67">
        <f t="shared" si="110"/>
        <v>365.80142208515377</v>
      </c>
      <c r="BD225" s="67">
        <f t="shared" si="110"/>
        <v>340.7880724174654</v>
      </c>
      <c r="BE225" s="67">
        <f t="shared" si="110"/>
        <v>375.00997366951248</v>
      </c>
      <c r="BF225" s="67">
        <f t="shared" si="110"/>
        <v>359.15053091817617</v>
      </c>
      <c r="BG225" s="67">
        <f t="shared" si="110"/>
        <v>152.97537096527461</v>
      </c>
      <c r="BH225" s="67">
        <f t="shared" si="110"/>
        <v>267.70689918923057</v>
      </c>
    </row>
    <row r="226" spans="1:60" s="67" customFormat="1" x14ac:dyDescent="0.25">
      <c r="A226" s="67" t="str">
        <f t="shared" ref="A226:E226" si="114">A51</f>
        <v>DOE</v>
      </c>
      <c r="B226" s="67" t="str">
        <f t="shared" si="114"/>
        <v>NNSA</v>
      </c>
      <c r="C226" s="67" t="str">
        <f t="shared" si="114"/>
        <v>NNSA</v>
      </c>
      <c r="D226" s="67" t="str">
        <f t="shared" si="114"/>
        <v>Steady</v>
      </c>
      <c r="E226" s="67" t="str">
        <f t="shared" si="114"/>
        <v>Subprograms</v>
      </c>
      <c r="F226" s="67" t="s">
        <v>90</v>
      </c>
      <c r="H226" s="67" t="str">
        <f t="shared" si="56"/>
        <v>National Nuclear Security Agency</v>
      </c>
      <c r="I226" s="67">
        <f t="shared" si="57"/>
        <v>0</v>
      </c>
      <c r="J226" s="67">
        <f t="shared" si="110"/>
        <v>0</v>
      </c>
      <c r="K226" s="67">
        <f t="shared" si="110"/>
        <v>0</v>
      </c>
      <c r="L226" s="67">
        <f t="shared" si="110"/>
        <v>0</v>
      </c>
      <c r="M226" s="67">
        <f t="shared" si="110"/>
        <v>0</v>
      </c>
      <c r="N226" s="67">
        <f t="shared" si="110"/>
        <v>0</v>
      </c>
      <c r="O226" s="67">
        <f t="shared" si="110"/>
        <v>0</v>
      </c>
      <c r="P226" s="67">
        <f t="shared" si="110"/>
        <v>0</v>
      </c>
      <c r="Q226" s="67">
        <f t="shared" si="110"/>
        <v>0</v>
      </c>
      <c r="R226" s="67">
        <f t="shared" si="110"/>
        <v>0</v>
      </c>
      <c r="S226" s="67">
        <f t="shared" si="110"/>
        <v>0</v>
      </c>
      <c r="T226" s="67">
        <f t="shared" si="110"/>
        <v>0</v>
      </c>
      <c r="U226" s="67">
        <f t="shared" si="110"/>
        <v>0</v>
      </c>
      <c r="V226" s="67">
        <f t="shared" si="110"/>
        <v>0</v>
      </c>
      <c r="W226" s="67">
        <f t="shared" si="110"/>
        <v>0</v>
      </c>
      <c r="X226" s="67">
        <f t="shared" si="110"/>
        <v>0</v>
      </c>
      <c r="Y226" s="67">
        <f t="shared" si="110"/>
        <v>0</v>
      </c>
      <c r="Z226" s="67">
        <f t="shared" si="110"/>
        <v>0</v>
      </c>
      <c r="AA226" s="67">
        <f t="shared" si="110"/>
        <v>0</v>
      </c>
      <c r="AB226" s="67">
        <f t="shared" si="110"/>
        <v>0</v>
      </c>
      <c r="AC226" s="67">
        <f t="shared" si="110"/>
        <v>0</v>
      </c>
      <c r="AD226" s="67">
        <f t="shared" si="110"/>
        <v>0</v>
      </c>
      <c r="AE226" s="67">
        <f t="shared" si="110"/>
        <v>0</v>
      </c>
      <c r="AF226" s="67">
        <f t="shared" si="110"/>
        <v>0</v>
      </c>
      <c r="AG226" s="67">
        <f t="shared" si="110"/>
        <v>0</v>
      </c>
      <c r="AH226" s="67">
        <f t="shared" si="110"/>
        <v>0</v>
      </c>
      <c r="AI226" s="67">
        <f t="shared" si="110"/>
        <v>0</v>
      </c>
      <c r="AJ226" s="67">
        <f t="shared" si="110"/>
        <v>10086.04712734975</v>
      </c>
      <c r="AK226" s="67">
        <f t="shared" si="110"/>
        <v>10059.5917332319</v>
      </c>
      <c r="AL226" s="67">
        <f t="shared" si="110"/>
        <v>10987.681801402732</v>
      </c>
      <c r="AM226" s="67">
        <f t="shared" si="110"/>
        <v>10921.154808723633</v>
      </c>
      <c r="AN226" s="67">
        <f t="shared" si="110"/>
        <v>10566.346555323591</v>
      </c>
      <c r="AO226" s="67">
        <f t="shared" si="110"/>
        <v>10584.946028860357</v>
      </c>
      <c r="AP226" s="67">
        <f t="shared" si="110"/>
        <v>9913.5204139016987</v>
      </c>
      <c r="AQ226" s="67">
        <f t="shared" si="110"/>
        <v>10180.189562890275</v>
      </c>
      <c r="AR226" s="67">
        <f t="shared" si="110"/>
        <v>10793.222562308702</v>
      </c>
      <c r="AS226" s="67">
        <f t="shared" si="110"/>
        <v>11301.229332188104</v>
      </c>
      <c r="AT226" s="67">
        <f t="shared" si="110"/>
        <v>11605.804070441842</v>
      </c>
      <c r="AU226" s="67">
        <f t="shared" si="110"/>
        <v>10952.556959403481</v>
      </c>
      <c r="AV226" s="67">
        <f t="shared" si="110"/>
        <v>11484.39934399344</v>
      </c>
      <c r="AW226" s="67">
        <f t="shared" si="110"/>
        <v>11589.065487085621</v>
      </c>
      <c r="AX226" s="67">
        <f t="shared" si="110"/>
        <v>12526.511999999999</v>
      </c>
      <c r="AY226" s="67">
        <f t="shared" si="110"/>
        <v>12646.874388573664</v>
      </c>
      <c r="AZ226" s="67">
        <f t="shared" si="110"/>
        <v>14089.858803188936</v>
      </c>
      <c r="BA226" s="67">
        <f t="shared" si="110"/>
        <v>14438.814828861288</v>
      </c>
      <c r="BB226" s="67">
        <f t="shared" si="110"/>
        <v>15311.266727772687</v>
      </c>
      <c r="BC226" s="67">
        <f t="shared" si="110"/>
        <v>16524.458151289298</v>
      </c>
      <c r="BD226" s="67">
        <f t="shared" si="110"/>
        <v>17390.022118456625</v>
      </c>
      <c r="BE226" s="67">
        <f t="shared" si="110"/>
        <v>18093.832282773477</v>
      </c>
      <c r="BF226" s="67">
        <f t="shared" si="110"/>
        <v>18857.745159275455</v>
      </c>
      <c r="BG226" s="67">
        <f t="shared" si="110"/>
        <v>18044.974759063793</v>
      </c>
      <c r="BH226" s="67">
        <f t="shared" si="110"/>
        <v>22978.430472693897</v>
      </c>
    </row>
    <row r="227" spans="1:60" s="67" customFormat="1" x14ac:dyDescent="0.25">
      <c r="A227" s="67" t="str">
        <f t="shared" ref="A227:E227" si="115">A52</f>
        <v>DOE</v>
      </c>
      <c r="B227" s="67" t="str">
        <f t="shared" si="115"/>
        <v>CESER</v>
      </c>
      <c r="C227" s="67" t="str">
        <f t="shared" si="115"/>
        <v>CESER</v>
      </c>
      <c r="D227" s="67" t="str">
        <f t="shared" si="115"/>
        <v>Steady</v>
      </c>
      <c r="E227" s="67" t="str">
        <f t="shared" si="115"/>
        <v>Subprograms</v>
      </c>
      <c r="F227" s="67" t="s">
        <v>90</v>
      </c>
      <c r="H227" s="67" t="str">
        <f t="shared" si="56"/>
        <v>Office of Cybersecurity, Energy Security, and Emergency Response</v>
      </c>
      <c r="I227" s="67">
        <f t="shared" si="57"/>
        <v>0</v>
      </c>
      <c r="J227" s="67">
        <f t="shared" si="110"/>
        <v>0</v>
      </c>
      <c r="K227" s="67">
        <f t="shared" si="110"/>
        <v>0</v>
      </c>
      <c r="L227" s="67">
        <f t="shared" si="110"/>
        <v>0</v>
      </c>
      <c r="M227" s="67">
        <f t="shared" si="110"/>
        <v>0</v>
      </c>
      <c r="N227" s="67">
        <f t="shared" si="110"/>
        <v>0</v>
      </c>
      <c r="O227" s="67">
        <f t="shared" si="110"/>
        <v>0</v>
      </c>
      <c r="P227" s="67">
        <f t="shared" si="110"/>
        <v>0</v>
      </c>
      <c r="Q227" s="67">
        <f t="shared" si="110"/>
        <v>0</v>
      </c>
      <c r="R227" s="67">
        <f t="shared" si="110"/>
        <v>0</v>
      </c>
      <c r="S227" s="67">
        <f t="shared" si="110"/>
        <v>0</v>
      </c>
      <c r="T227" s="67">
        <f t="shared" si="110"/>
        <v>0</v>
      </c>
      <c r="U227" s="67">
        <f t="shared" si="110"/>
        <v>0</v>
      </c>
      <c r="V227" s="67">
        <f t="shared" si="110"/>
        <v>0</v>
      </c>
      <c r="W227" s="67">
        <f t="shared" si="110"/>
        <v>0</v>
      </c>
      <c r="X227" s="67">
        <f t="shared" si="110"/>
        <v>0</v>
      </c>
      <c r="Y227" s="67">
        <f t="shared" ref="J227:BH232" si="116">Y52/Y$175</f>
        <v>0</v>
      </c>
      <c r="Z227" s="67">
        <f t="shared" si="116"/>
        <v>0</v>
      </c>
      <c r="AA227" s="67">
        <f t="shared" si="116"/>
        <v>0</v>
      </c>
      <c r="AB227" s="67">
        <f t="shared" si="116"/>
        <v>0</v>
      </c>
      <c r="AC227" s="67">
        <f t="shared" si="116"/>
        <v>0</v>
      </c>
      <c r="AD227" s="67">
        <f t="shared" si="116"/>
        <v>0</v>
      </c>
      <c r="AE227" s="67">
        <f t="shared" si="116"/>
        <v>0</v>
      </c>
      <c r="AF227" s="67">
        <f t="shared" si="116"/>
        <v>0</v>
      </c>
      <c r="AG227" s="67">
        <f t="shared" si="116"/>
        <v>0</v>
      </c>
      <c r="AH227" s="67">
        <f t="shared" si="116"/>
        <v>0</v>
      </c>
      <c r="AI227" s="67">
        <f t="shared" si="116"/>
        <v>0</v>
      </c>
      <c r="AJ227" s="67">
        <f t="shared" si="116"/>
        <v>0</v>
      </c>
      <c r="AK227" s="67">
        <f t="shared" si="116"/>
        <v>0</v>
      </c>
      <c r="AL227" s="67">
        <f t="shared" si="116"/>
        <v>0</v>
      </c>
      <c r="AM227" s="67">
        <f t="shared" si="116"/>
        <v>0</v>
      </c>
      <c r="AN227" s="67">
        <f t="shared" si="116"/>
        <v>0</v>
      </c>
      <c r="AO227" s="67">
        <f t="shared" si="116"/>
        <v>0</v>
      </c>
      <c r="AP227" s="67">
        <f t="shared" si="116"/>
        <v>0</v>
      </c>
      <c r="AQ227" s="67">
        <f t="shared" si="116"/>
        <v>0</v>
      </c>
      <c r="AR227" s="67">
        <f t="shared" si="116"/>
        <v>0</v>
      </c>
      <c r="AS227" s="67">
        <f t="shared" si="116"/>
        <v>0</v>
      </c>
      <c r="AT227" s="67">
        <f t="shared" si="116"/>
        <v>0</v>
      </c>
      <c r="AU227" s="67">
        <f t="shared" si="116"/>
        <v>0</v>
      </c>
      <c r="AV227" s="67">
        <f t="shared" si="116"/>
        <v>0</v>
      </c>
      <c r="AW227" s="67">
        <f t="shared" si="116"/>
        <v>0</v>
      </c>
      <c r="AX227" s="67">
        <f t="shared" si="116"/>
        <v>0</v>
      </c>
      <c r="AY227" s="67">
        <f t="shared" si="116"/>
        <v>77.479945216200349</v>
      </c>
      <c r="AZ227" s="67">
        <f t="shared" si="116"/>
        <v>98.193257131879747</v>
      </c>
      <c r="BA227" s="67">
        <f t="shared" si="116"/>
        <v>113.77642931639329</v>
      </c>
      <c r="BB227" s="67">
        <f t="shared" si="116"/>
        <v>142.98808432630614</v>
      </c>
      <c r="BC227" s="67">
        <f t="shared" si="116"/>
        <v>133.64173734258546</v>
      </c>
      <c r="BD227" s="67">
        <f t="shared" si="116"/>
        <v>125.33792086507742</v>
      </c>
      <c r="BE227" s="67">
        <f t="shared" si="116"/>
        <v>211.44179366472511</v>
      </c>
      <c r="BF227" s="67">
        <f t="shared" si="116"/>
        <v>156.1524047470331</v>
      </c>
      <c r="BG227" s="67">
        <f t="shared" si="116"/>
        <v>152.97537096527461</v>
      </c>
      <c r="BH227" s="67">
        <f t="shared" si="116"/>
        <v>114.73152822395595</v>
      </c>
    </row>
    <row r="228" spans="1:60" s="67" customFormat="1" x14ac:dyDescent="0.25">
      <c r="A228" s="67" t="str">
        <f t="shared" ref="A228:E228" si="117">A53</f>
        <v>DOE</v>
      </c>
      <c r="B228" s="67" t="str">
        <f t="shared" si="117"/>
        <v>EERE</v>
      </c>
      <c r="C228" s="67" t="str">
        <f t="shared" si="117"/>
        <v>Hydrogen</v>
      </c>
      <c r="D228" s="67" t="str">
        <f t="shared" si="117"/>
        <v>Steady</v>
      </c>
      <c r="E228" s="67" t="str">
        <f t="shared" si="117"/>
        <v>Subprograms</v>
      </c>
      <c r="F228" s="67" t="s">
        <v>90</v>
      </c>
      <c r="H228" s="67" t="str">
        <f t="shared" si="56"/>
        <v>Hydrogen and Fuel Cell Technologies</v>
      </c>
      <c r="I228" s="67">
        <f t="shared" si="57"/>
        <v>0</v>
      </c>
      <c r="J228" s="67">
        <f t="shared" si="116"/>
        <v>0</v>
      </c>
      <c r="K228" s="67">
        <f t="shared" si="116"/>
        <v>0</v>
      </c>
      <c r="L228" s="67">
        <f t="shared" si="116"/>
        <v>0</v>
      </c>
      <c r="M228" s="67">
        <f t="shared" si="116"/>
        <v>0</v>
      </c>
      <c r="N228" s="67">
        <f t="shared" si="116"/>
        <v>0</v>
      </c>
      <c r="O228" s="67">
        <f t="shared" si="116"/>
        <v>0</v>
      </c>
      <c r="P228" s="67">
        <f t="shared" si="116"/>
        <v>0</v>
      </c>
      <c r="Q228" s="67">
        <f t="shared" si="116"/>
        <v>0</v>
      </c>
      <c r="R228" s="67">
        <f t="shared" si="116"/>
        <v>0</v>
      </c>
      <c r="S228" s="67">
        <f t="shared" si="116"/>
        <v>0</v>
      </c>
      <c r="T228" s="67">
        <f t="shared" si="116"/>
        <v>0</v>
      </c>
      <c r="U228" s="67">
        <f t="shared" si="116"/>
        <v>0</v>
      </c>
      <c r="V228" s="67">
        <f t="shared" si="116"/>
        <v>0</v>
      </c>
      <c r="W228" s="67">
        <f t="shared" si="116"/>
        <v>0</v>
      </c>
      <c r="X228" s="67">
        <f t="shared" si="116"/>
        <v>0</v>
      </c>
      <c r="Y228" s="67">
        <f t="shared" si="116"/>
        <v>0</v>
      </c>
      <c r="Z228" s="67">
        <f t="shared" si="116"/>
        <v>0</v>
      </c>
      <c r="AA228" s="67">
        <f t="shared" si="116"/>
        <v>0</v>
      </c>
      <c r="AB228" s="67">
        <f t="shared" si="116"/>
        <v>0</v>
      </c>
      <c r="AC228" s="67">
        <f t="shared" si="116"/>
        <v>0</v>
      </c>
      <c r="AD228" s="67">
        <f t="shared" si="116"/>
        <v>0</v>
      </c>
      <c r="AE228" s="67">
        <f t="shared" si="116"/>
        <v>0</v>
      </c>
      <c r="AF228" s="67">
        <f t="shared" si="116"/>
        <v>0</v>
      </c>
      <c r="AG228" s="67">
        <f t="shared" si="116"/>
        <v>0</v>
      </c>
      <c r="AH228" s="67">
        <f t="shared" si="116"/>
        <v>0</v>
      </c>
      <c r="AI228" s="67">
        <f t="shared" si="116"/>
        <v>0</v>
      </c>
      <c r="AJ228" s="67">
        <f t="shared" si="116"/>
        <v>0</v>
      </c>
      <c r="AK228" s="67">
        <f t="shared" si="116"/>
        <v>116.67173830353748</v>
      </c>
      <c r="AL228" s="67">
        <f t="shared" si="116"/>
        <v>177.42586440260862</v>
      </c>
      <c r="AM228" s="67">
        <f t="shared" si="116"/>
        <v>198.75104278393516</v>
      </c>
      <c r="AN228" s="67">
        <f t="shared" si="116"/>
        <v>177.45302713987473</v>
      </c>
      <c r="AO228" s="67">
        <f t="shared" si="116"/>
        <v>215.88455857288943</v>
      </c>
      <c r="AP228" s="67">
        <f t="shared" si="116"/>
        <v>231.69497244404454</v>
      </c>
      <c r="AQ228" s="67">
        <f t="shared" si="116"/>
        <v>183.98751115075825</v>
      </c>
      <c r="AR228" s="67">
        <f t="shared" si="116"/>
        <v>185.83296895496284</v>
      </c>
      <c r="AS228" s="67">
        <f t="shared" si="116"/>
        <v>103.07064633884475</v>
      </c>
      <c r="AT228" s="67">
        <f t="shared" si="116"/>
        <v>106.50637983760413</v>
      </c>
      <c r="AU228" s="67">
        <f t="shared" si="116"/>
        <v>99.258492129246051</v>
      </c>
      <c r="AV228" s="67">
        <f t="shared" si="116"/>
        <v>91.756867568675688</v>
      </c>
      <c r="AW228" s="67">
        <f t="shared" si="116"/>
        <v>96.430750457596091</v>
      </c>
      <c r="AX228" s="67">
        <f t="shared" si="116"/>
        <v>100.95</v>
      </c>
      <c r="AY228" s="67">
        <f t="shared" si="116"/>
        <v>98.806495793386816</v>
      </c>
      <c r="AZ228" s="67">
        <f t="shared" si="116"/>
        <v>110.46009028911729</v>
      </c>
      <c r="BA228" s="67">
        <f t="shared" si="116"/>
        <v>113.77642931639329</v>
      </c>
      <c r="BB228" s="67">
        <f t="shared" si="116"/>
        <v>137.4885426214482</v>
      </c>
      <c r="BC228" s="67">
        <f t="shared" si="116"/>
        <v>128.50167052171679</v>
      </c>
      <c r="BD228" s="67">
        <f t="shared" si="116"/>
        <v>107.31547472761531</v>
      </c>
      <c r="BE228" s="67">
        <f t="shared" si="116"/>
        <v>135.64190536982366</v>
      </c>
      <c r="BF228" s="67">
        <f t="shared" si="116"/>
        <v>132.72954403497815</v>
      </c>
      <c r="BG228" s="67">
        <f t="shared" si="116"/>
        <v>130.02906532048343</v>
      </c>
      <c r="BH228" s="67">
        <f t="shared" si="116"/>
        <v>0</v>
      </c>
    </row>
    <row r="229" spans="1:60" s="67" customFormat="1" x14ac:dyDescent="0.25">
      <c r="A229" s="67" t="str">
        <f t="shared" ref="A229:E229" si="118">A54</f>
        <v>DOE</v>
      </c>
      <c r="B229" s="67" t="str">
        <f t="shared" si="118"/>
        <v>EERE</v>
      </c>
      <c r="C229" s="67" t="str">
        <f t="shared" si="118"/>
        <v>Solar</v>
      </c>
      <c r="D229" s="67" t="str">
        <f t="shared" si="118"/>
        <v>Steady</v>
      </c>
      <c r="E229" s="67" t="str">
        <f t="shared" si="118"/>
        <v>Subprograms</v>
      </c>
      <c r="F229" s="67" t="s">
        <v>90</v>
      </c>
      <c r="H229" s="67" t="str">
        <f t="shared" si="56"/>
        <v>Solar Energy</v>
      </c>
      <c r="I229" s="67">
        <f t="shared" si="57"/>
        <v>0</v>
      </c>
      <c r="J229" s="67">
        <f t="shared" si="116"/>
        <v>0</v>
      </c>
      <c r="K229" s="67">
        <f t="shared" si="116"/>
        <v>0</v>
      </c>
      <c r="L229" s="67">
        <f t="shared" si="116"/>
        <v>0</v>
      </c>
      <c r="M229" s="67">
        <f t="shared" si="116"/>
        <v>0</v>
      </c>
      <c r="N229" s="67">
        <f t="shared" si="116"/>
        <v>0</v>
      </c>
      <c r="O229" s="67">
        <f t="shared" si="116"/>
        <v>0</v>
      </c>
      <c r="P229" s="67">
        <f t="shared" si="116"/>
        <v>0</v>
      </c>
      <c r="Q229" s="67">
        <f t="shared" si="116"/>
        <v>0</v>
      </c>
      <c r="R229" s="67">
        <f t="shared" si="116"/>
        <v>0</v>
      </c>
      <c r="S229" s="67">
        <f t="shared" si="116"/>
        <v>0</v>
      </c>
      <c r="T229" s="67">
        <f t="shared" si="116"/>
        <v>0</v>
      </c>
      <c r="U229" s="67">
        <f t="shared" si="116"/>
        <v>0</v>
      </c>
      <c r="V229" s="67">
        <f t="shared" si="116"/>
        <v>0</v>
      </c>
      <c r="W229" s="67">
        <f t="shared" si="116"/>
        <v>0</v>
      </c>
      <c r="X229" s="67">
        <f t="shared" si="116"/>
        <v>0</v>
      </c>
      <c r="Y229" s="67">
        <f t="shared" si="116"/>
        <v>0</v>
      </c>
      <c r="Z229" s="67">
        <f t="shared" si="116"/>
        <v>0</v>
      </c>
      <c r="AA229" s="67">
        <f t="shared" si="116"/>
        <v>0</v>
      </c>
      <c r="AB229" s="67">
        <f t="shared" si="116"/>
        <v>0</v>
      </c>
      <c r="AC229" s="67">
        <f t="shared" si="116"/>
        <v>0</v>
      </c>
      <c r="AD229" s="67">
        <f t="shared" si="116"/>
        <v>0</v>
      </c>
      <c r="AE229" s="67">
        <f t="shared" si="116"/>
        <v>0</v>
      </c>
      <c r="AF229" s="67">
        <f t="shared" si="116"/>
        <v>0</v>
      </c>
      <c r="AG229" s="67">
        <f t="shared" si="116"/>
        <v>0</v>
      </c>
      <c r="AH229" s="67">
        <f t="shared" si="116"/>
        <v>0</v>
      </c>
      <c r="AI229" s="67">
        <f t="shared" si="116"/>
        <v>0</v>
      </c>
      <c r="AJ229" s="67">
        <f t="shared" si="116"/>
        <v>0</v>
      </c>
      <c r="AK229" s="67">
        <f t="shared" si="116"/>
        <v>104.38696589324205</v>
      </c>
      <c r="AL229" s="67">
        <f t="shared" si="116"/>
        <v>99.33677863910421</v>
      </c>
      <c r="AM229" s="67">
        <f t="shared" si="116"/>
        <v>100.41115480872364</v>
      </c>
      <c r="AN229" s="67">
        <f t="shared" si="116"/>
        <v>95.105543957318488</v>
      </c>
      <c r="AO229" s="67">
        <f t="shared" si="116"/>
        <v>178.38881945233496</v>
      </c>
      <c r="AP229" s="67">
        <f t="shared" si="116"/>
        <v>186.70565740636599</v>
      </c>
      <c r="AQ229" s="67">
        <f t="shared" si="116"/>
        <v>191.793041926851</v>
      </c>
      <c r="AR229" s="67">
        <f t="shared" si="116"/>
        <v>265.63183209444691</v>
      </c>
      <c r="AS229" s="67">
        <f t="shared" si="116"/>
        <v>279.14966716770454</v>
      </c>
      <c r="AT229" s="67">
        <f t="shared" si="116"/>
        <v>300.53780449224928</v>
      </c>
      <c r="AU229" s="67">
        <f t="shared" si="116"/>
        <v>278.63504556752281</v>
      </c>
      <c r="AV229" s="67">
        <f t="shared" si="116"/>
        <v>260.66523165231655</v>
      </c>
      <c r="AW229" s="67">
        <f t="shared" si="116"/>
        <v>234.69595281675819</v>
      </c>
      <c r="AX229" s="67">
        <f t="shared" si="116"/>
        <v>241.6</v>
      </c>
      <c r="AY229" s="67">
        <f t="shared" si="116"/>
        <v>203.09137155155545</v>
      </c>
      <c r="AZ229" s="67">
        <f t="shared" si="116"/>
        <v>232.06224185957163</v>
      </c>
      <c r="BA229" s="67">
        <f t="shared" si="116"/>
        <v>233.71574855409122</v>
      </c>
      <c r="BB229" s="67">
        <f t="shared" si="116"/>
        <v>256.64527956003667</v>
      </c>
      <c r="BC229" s="67">
        <f t="shared" si="116"/>
        <v>239.86978497387133</v>
      </c>
      <c r="BD229" s="67">
        <f t="shared" si="116"/>
        <v>212.99254526091588</v>
      </c>
      <c r="BE229" s="67">
        <f t="shared" si="116"/>
        <v>253.73015239767014</v>
      </c>
      <c r="BF229" s="67">
        <f t="shared" si="116"/>
        <v>248.28232354778265</v>
      </c>
      <c r="BG229" s="67">
        <f t="shared" si="116"/>
        <v>243.23083983478662</v>
      </c>
      <c r="BH229" s="67">
        <f t="shared" si="116"/>
        <v>0</v>
      </c>
    </row>
    <row r="230" spans="1:60" s="67" customFormat="1" x14ac:dyDescent="0.25">
      <c r="A230" s="67" t="str">
        <f t="shared" ref="A230:E230" si="119">A55</f>
        <v>DOE</v>
      </c>
      <c r="B230" s="67" t="str">
        <f t="shared" si="119"/>
        <v>EERE</v>
      </c>
      <c r="C230" s="67" t="str">
        <f t="shared" si="119"/>
        <v>Wind</v>
      </c>
      <c r="D230" s="67" t="str">
        <f t="shared" si="119"/>
        <v>Steady</v>
      </c>
      <c r="E230" s="67" t="str">
        <f t="shared" si="119"/>
        <v>Subprograms</v>
      </c>
      <c r="F230" s="67" t="s">
        <v>90</v>
      </c>
      <c r="H230" s="67" t="str">
        <f t="shared" si="56"/>
        <v>Wind Energy</v>
      </c>
      <c r="I230" s="67">
        <f t="shared" si="57"/>
        <v>0</v>
      </c>
      <c r="J230" s="67">
        <f t="shared" si="116"/>
        <v>0</v>
      </c>
      <c r="K230" s="67">
        <f t="shared" si="116"/>
        <v>0</v>
      </c>
      <c r="L230" s="67">
        <f t="shared" si="116"/>
        <v>0</v>
      </c>
      <c r="M230" s="67">
        <f t="shared" si="116"/>
        <v>0</v>
      </c>
      <c r="N230" s="67">
        <f t="shared" si="116"/>
        <v>0</v>
      </c>
      <c r="O230" s="67">
        <f t="shared" si="116"/>
        <v>0</v>
      </c>
      <c r="P230" s="67">
        <f t="shared" si="116"/>
        <v>0</v>
      </c>
      <c r="Q230" s="67">
        <f t="shared" si="116"/>
        <v>0</v>
      </c>
      <c r="R230" s="67">
        <f t="shared" si="116"/>
        <v>0</v>
      </c>
      <c r="S230" s="67">
        <f t="shared" si="116"/>
        <v>0</v>
      </c>
      <c r="T230" s="67">
        <f t="shared" si="116"/>
        <v>0</v>
      </c>
      <c r="U230" s="67">
        <f t="shared" si="116"/>
        <v>0</v>
      </c>
      <c r="V230" s="67">
        <f t="shared" si="116"/>
        <v>0</v>
      </c>
      <c r="W230" s="67">
        <f t="shared" si="116"/>
        <v>0</v>
      </c>
      <c r="X230" s="67">
        <f t="shared" si="116"/>
        <v>0</v>
      </c>
      <c r="Y230" s="67">
        <f t="shared" si="116"/>
        <v>0</v>
      </c>
      <c r="Z230" s="67">
        <f t="shared" si="116"/>
        <v>0</v>
      </c>
      <c r="AA230" s="67">
        <f t="shared" si="116"/>
        <v>0</v>
      </c>
      <c r="AB230" s="67">
        <f t="shared" si="116"/>
        <v>0</v>
      </c>
      <c r="AC230" s="67">
        <f t="shared" si="116"/>
        <v>0</v>
      </c>
      <c r="AD230" s="67">
        <f t="shared" si="116"/>
        <v>0</v>
      </c>
      <c r="AE230" s="67">
        <f t="shared" si="116"/>
        <v>0</v>
      </c>
      <c r="AF230" s="67">
        <f t="shared" si="116"/>
        <v>0</v>
      </c>
      <c r="AG230" s="67">
        <f t="shared" si="116"/>
        <v>0</v>
      </c>
      <c r="AH230" s="67">
        <f t="shared" si="116"/>
        <v>0</v>
      </c>
      <c r="AI230" s="67">
        <f t="shared" si="116"/>
        <v>0</v>
      </c>
      <c r="AJ230" s="67">
        <f t="shared" si="116"/>
        <v>0</v>
      </c>
      <c r="AK230" s="67">
        <f t="shared" si="116"/>
        <v>52.795739825028534</v>
      </c>
      <c r="AL230" s="67">
        <f t="shared" si="116"/>
        <v>48.976251999507809</v>
      </c>
      <c r="AM230" s="67">
        <f t="shared" si="116"/>
        <v>48.422118936956267</v>
      </c>
      <c r="AN230" s="67">
        <f t="shared" si="116"/>
        <v>44.073300858269548</v>
      </c>
      <c r="AO230" s="67">
        <f t="shared" si="116"/>
        <v>55.675491421429385</v>
      </c>
      <c r="AP230" s="67">
        <f t="shared" si="116"/>
        <v>55.111910921156223</v>
      </c>
      <c r="AQ230" s="67">
        <f t="shared" si="116"/>
        <v>60.21409455842997</v>
      </c>
      <c r="AR230" s="67">
        <f t="shared" si="116"/>
        <v>86.35767380848273</v>
      </c>
      <c r="AS230" s="67">
        <f t="shared" si="116"/>
        <v>84.818552716340989</v>
      </c>
      <c r="AT230" s="67">
        <f t="shared" si="116"/>
        <v>97.015712327322575</v>
      </c>
      <c r="AU230" s="67">
        <f t="shared" si="116"/>
        <v>89.197390223695109</v>
      </c>
      <c r="AV230" s="67">
        <f t="shared" si="116"/>
        <v>89.211767117671172</v>
      </c>
      <c r="AW230" s="67">
        <f t="shared" si="116"/>
        <v>107.72422208663819</v>
      </c>
      <c r="AX230" s="67">
        <f t="shared" si="116"/>
        <v>95.45</v>
      </c>
      <c r="AY230" s="67">
        <f t="shared" si="116"/>
        <v>88.045392291136764</v>
      </c>
      <c r="AZ230" s="67">
        <f t="shared" si="116"/>
        <v>88.368072231293837</v>
      </c>
      <c r="BA230" s="67">
        <f t="shared" si="116"/>
        <v>87.228595809234861</v>
      </c>
      <c r="BB230" s="67">
        <f t="shared" si="116"/>
        <v>95.325389550870767</v>
      </c>
      <c r="BC230" s="67">
        <f t="shared" si="116"/>
        <v>94.234558382592311</v>
      </c>
      <c r="BD230" s="67">
        <f t="shared" si="116"/>
        <v>92.569836978782675</v>
      </c>
      <c r="BE230" s="67">
        <f t="shared" si="116"/>
        <v>105.32195005186307</v>
      </c>
      <c r="BF230" s="67">
        <f t="shared" si="116"/>
        <v>106.96439725171768</v>
      </c>
      <c r="BG230" s="67">
        <f t="shared" si="116"/>
        <v>104.78812911121311</v>
      </c>
      <c r="BH230" s="67">
        <f t="shared" si="116"/>
        <v>0</v>
      </c>
    </row>
    <row r="231" spans="1:60" s="67" customFormat="1" x14ac:dyDescent="0.25">
      <c r="A231" s="67" t="str">
        <f t="shared" ref="A231:E231" si="120">A56</f>
        <v>DOE</v>
      </c>
      <c r="B231" s="67" t="str">
        <f t="shared" si="120"/>
        <v>EERE</v>
      </c>
      <c r="C231" s="67" t="str">
        <f t="shared" si="120"/>
        <v>Water</v>
      </c>
      <c r="D231" s="67" t="str">
        <f t="shared" si="120"/>
        <v>Steady</v>
      </c>
      <c r="E231" s="67" t="str">
        <f t="shared" si="120"/>
        <v>Subprograms</v>
      </c>
      <c r="F231" s="67" t="s">
        <v>90</v>
      </c>
      <c r="H231" s="67" t="str">
        <f t="shared" si="56"/>
        <v>Water Power</v>
      </c>
      <c r="I231" s="67">
        <f t="shared" si="57"/>
        <v>0</v>
      </c>
      <c r="J231" s="67">
        <f t="shared" si="116"/>
        <v>0</v>
      </c>
      <c r="K231" s="67">
        <f t="shared" si="116"/>
        <v>0</v>
      </c>
      <c r="L231" s="67">
        <f t="shared" si="116"/>
        <v>0</v>
      </c>
      <c r="M231" s="67">
        <f t="shared" si="116"/>
        <v>0</v>
      </c>
      <c r="N231" s="67">
        <f t="shared" si="116"/>
        <v>0</v>
      </c>
      <c r="O231" s="67">
        <f t="shared" si="116"/>
        <v>0</v>
      </c>
      <c r="P231" s="67">
        <f t="shared" si="116"/>
        <v>0</v>
      </c>
      <c r="Q231" s="67">
        <f t="shared" si="116"/>
        <v>0</v>
      </c>
      <c r="R231" s="67">
        <f t="shared" si="116"/>
        <v>0</v>
      </c>
      <c r="S231" s="67">
        <f t="shared" si="116"/>
        <v>0</v>
      </c>
      <c r="T231" s="67">
        <f t="shared" si="116"/>
        <v>0</v>
      </c>
      <c r="U231" s="67">
        <f t="shared" si="116"/>
        <v>0</v>
      </c>
      <c r="V231" s="67">
        <f t="shared" si="116"/>
        <v>0</v>
      </c>
      <c r="W231" s="67">
        <f t="shared" si="116"/>
        <v>0</v>
      </c>
      <c r="X231" s="67">
        <f t="shared" si="116"/>
        <v>0</v>
      </c>
      <c r="Y231" s="67">
        <f t="shared" si="116"/>
        <v>0</v>
      </c>
      <c r="Z231" s="67">
        <f t="shared" si="116"/>
        <v>0</v>
      </c>
      <c r="AA231" s="67">
        <f t="shared" si="116"/>
        <v>0</v>
      </c>
      <c r="AB231" s="67">
        <f t="shared" si="116"/>
        <v>0</v>
      </c>
      <c r="AC231" s="67">
        <f t="shared" si="116"/>
        <v>0</v>
      </c>
      <c r="AD231" s="67">
        <f t="shared" si="116"/>
        <v>0</v>
      </c>
      <c r="AE231" s="67">
        <f t="shared" si="116"/>
        <v>0</v>
      </c>
      <c r="AF231" s="67">
        <f t="shared" si="116"/>
        <v>0</v>
      </c>
      <c r="AG231" s="67">
        <f t="shared" si="116"/>
        <v>0</v>
      </c>
      <c r="AH231" s="67">
        <f t="shared" si="116"/>
        <v>0</v>
      </c>
      <c r="AI231" s="67">
        <f t="shared" si="116"/>
        <v>0</v>
      </c>
      <c r="AJ231" s="67">
        <f t="shared" si="116"/>
        <v>0</v>
      </c>
      <c r="AK231" s="67">
        <f t="shared" si="116"/>
        <v>6.3598326359832642</v>
      </c>
      <c r="AL231" s="67">
        <f t="shared" si="116"/>
        <v>5.7499692383413317</v>
      </c>
      <c r="AM231" s="67">
        <f t="shared" si="116"/>
        <v>5.8157549755690621</v>
      </c>
      <c r="AN231" s="67">
        <f t="shared" si="116"/>
        <v>0</v>
      </c>
      <c r="AO231" s="67">
        <f t="shared" si="116"/>
        <v>0</v>
      </c>
      <c r="AP231" s="67">
        <f t="shared" si="116"/>
        <v>11.247328759419638</v>
      </c>
      <c r="AQ231" s="67">
        <f t="shared" si="116"/>
        <v>43.487957181088312</v>
      </c>
      <c r="AR231" s="67">
        <f t="shared" si="116"/>
        <v>53.563620463489293</v>
      </c>
      <c r="AS231" s="67">
        <f t="shared" si="116"/>
        <v>31.13592441485935</v>
      </c>
      <c r="AT231" s="67">
        <f t="shared" si="116"/>
        <v>61.162079510703364</v>
      </c>
      <c r="AU231" s="67">
        <f t="shared" si="116"/>
        <v>56.635252692626345</v>
      </c>
      <c r="AV231" s="67">
        <f t="shared" si="116"/>
        <v>59.280442804428048</v>
      </c>
      <c r="AW231" s="67">
        <f t="shared" si="116"/>
        <v>61.011795810453528</v>
      </c>
      <c r="AX231" s="67">
        <f t="shared" si="116"/>
        <v>70</v>
      </c>
      <c r="AY231" s="67">
        <f t="shared" si="116"/>
        <v>82.17569947172764</v>
      </c>
      <c r="AZ231" s="67">
        <f t="shared" si="116"/>
        <v>100.85486504658535</v>
      </c>
      <c r="BA231" s="67">
        <f t="shared" si="116"/>
        <v>99.554375651844126</v>
      </c>
      <c r="BB231" s="67">
        <f t="shared" si="116"/>
        <v>135.65536205316224</v>
      </c>
      <c r="BC231" s="67">
        <f t="shared" si="116"/>
        <v>128.50167052171679</v>
      </c>
      <c r="BD231" s="67">
        <f t="shared" si="116"/>
        <v>104.85786843614321</v>
      </c>
      <c r="BE231" s="67">
        <f t="shared" si="116"/>
        <v>142.82294741881432</v>
      </c>
      <c r="BF231" s="67">
        <f t="shared" si="116"/>
        <v>156.1524047470331</v>
      </c>
      <c r="BG231" s="67">
        <f t="shared" si="116"/>
        <v>152.97537096527461</v>
      </c>
      <c r="BH231" s="67">
        <f t="shared" si="116"/>
        <v>68.838916934373572</v>
      </c>
    </row>
    <row r="232" spans="1:60" s="67" customFormat="1" x14ac:dyDescent="0.25">
      <c r="A232" s="67" t="str">
        <f t="shared" ref="A232:E232" si="121">A57</f>
        <v>DOE</v>
      </c>
      <c r="B232" s="67" t="str">
        <f t="shared" si="121"/>
        <v>EERE</v>
      </c>
      <c r="C232" s="67" t="str">
        <f t="shared" si="121"/>
        <v>Geothermal</v>
      </c>
      <c r="D232" s="67" t="str">
        <f t="shared" si="121"/>
        <v>Steady</v>
      </c>
      <c r="E232" s="67" t="str">
        <f t="shared" si="121"/>
        <v>Subprograms</v>
      </c>
      <c r="F232" s="67" t="s">
        <v>90</v>
      </c>
      <c r="H232" s="67" t="str">
        <f t="shared" si="56"/>
        <v>Geothermal Technologies</v>
      </c>
      <c r="I232" s="67">
        <f t="shared" si="57"/>
        <v>0</v>
      </c>
      <c r="J232" s="67">
        <f t="shared" si="116"/>
        <v>0</v>
      </c>
      <c r="K232" s="67">
        <f t="shared" si="116"/>
        <v>0</v>
      </c>
      <c r="L232" s="67">
        <f t="shared" si="116"/>
        <v>0</v>
      </c>
      <c r="M232" s="67">
        <f t="shared" si="116"/>
        <v>0</v>
      </c>
      <c r="N232" s="67">
        <f t="shared" si="116"/>
        <v>0</v>
      </c>
      <c r="O232" s="67">
        <f t="shared" si="116"/>
        <v>0</v>
      </c>
      <c r="P232" s="67">
        <f t="shared" si="116"/>
        <v>0</v>
      </c>
      <c r="Q232" s="67">
        <f t="shared" si="116"/>
        <v>0</v>
      </c>
      <c r="R232" s="67">
        <f t="shared" si="116"/>
        <v>0</v>
      </c>
      <c r="S232" s="67">
        <f t="shared" si="116"/>
        <v>0</v>
      </c>
      <c r="T232" s="67">
        <f t="shared" si="116"/>
        <v>0</v>
      </c>
      <c r="U232" s="67">
        <f t="shared" si="116"/>
        <v>0</v>
      </c>
      <c r="V232" s="67">
        <f t="shared" si="116"/>
        <v>0</v>
      </c>
      <c r="W232" s="67">
        <f t="shared" si="116"/>
        <v>0</v>
      </c>
      <c r="X232" s="67">
        <f t="shared" si="116"/>
        <v>0</v>
      </c>
      <c r="Y232" s="67">
        <f t="shared" ref="J232:BH237" si="122">Y57/Y$175</f>
        <v>0</v>
      </c>
      <c r="Z232" s="67">
        <f t="shared" si="122"/>
        <v>0</v>
      </c>
      <c r="AA232" s="67">
        <f t="shared" si="122"/>
        <v>0</v>
      </c>
      <c r="AB232" s="67">
        <f t="shared" si="122"/>
        <v>0</v>
      </c>
      <c r="AC232" s="67">
        <f t="shared" si="122"/>
        <v>0</v>
      </c>
      <c r="AD232" s="67">
        <f t="shared" si="122"/>
        <v>0</v>
      </c>
      <c r="AE232" s="67">
        <f t="shared" si="122"/>
        <v>0</v>
      </c>
      <c r="AF232" s="67">
        <f t="shared" si="122"/>
        <v>0</v>
      </c>
      <c r="AG232" s="67">
        <f t="shared" si="122"/>
        <v>0</v>
      </c>
      <c r="AH232" s="67">
        <f t="shared" si="122"/>
        <v>0</v>
      </c>
      <c r="AI232" s="67">
        <f t="shared" si="122"/>
        <v>0</v>
      </c>
      <c r="AJ232" s="67">
        <f t="shared" si="122"/>
        <v>0</v>
      </c>
      <c r="AK232" s="67">
        <f t="shared" si="122"/>
        <v>35.995942690503362</v>
      </c>
      <c r="AL232" s="67">
        <f t="shared" si="122"/>
        <v>30.300233788605883</v>
      </c>
      <c r="AM232" s="67">
        <f t="shared" si="122"/>
        <v>30.098915504707428</v>
      </c>
      <c r="AN232" s="67">
        <f t="shared" si="122"/>
        <v>26.67594525632104</v>
      </c>
      <c r="AO232" s="67">
        <f t="shared" si="122"/>
        <v>5.6811725940234066</v>
      </c>
      <c r="AP232" s="67">
        <f t="shared" si="122"/>
        <v>21.369924642897313</v>
      </c>
      <c r="AQ232" s="67">
        <f t="shared" si="122"/>
        <v>47.948260481712751</v>
      </c>
      <c r="AR232" s="67">
        <f t="shared" si="122"/>
        <v>47.004809794490605</v>
      </c>
      <c r="AS232" s="67">
        <f t="shared" si="122"/>
        <v>39.725144943096417</v>
      </c>
      <c r="AT232" s="67">
        <f t="shared" si="122"/>
        <v>39.017188653379733</v>
      </c>
      <c r="AU232" s="67">
        <f t="shared" si="122"/>
        <v>36.272783761391878</v>
      </c>
      <c r="AV232" s="67">
        <f t="shared" si="122"/>
        <v>45.922509225092249</v>
      </c>
      <c r="AW232" s="67">
        <f t="shared" si="122"/>
        <v>55.204392922513719</v>
      </c>
      <c r="AX232" s="67">
        <f t="shared" si="122"/>
        <v>71</v>
      </c>
      <c r="AY232" s="67">
        <f t="shared" si="122"/>
        <v>67.990608491488942</v>
      </c>
      <c r="AZ232" s="67">
        <f t="shared" si="122"/>
        <v>77.712035347228905</v>
      </c>
      <c r="BA232" s="67">
        <f t="shared" si="122"/>
        <v>79.643500521475303</v>
      </c>
      <c r="BB232" s="67">
        <f t="shared" si="122"/>
        <v>100.82493125572869</v>
      </c>
      <c r="BC232" s="67">
        <f t="shared" si="122"/>
        <v>90.807847168679857</v>
      </c>
      <c r="BD232" s="67">
        <f t="shared" si="122"/>
        <v>71.270582452691087</v>
      </c>
      <c r="BE232" s="67">
        <f t="shared" si="122"/>
        <v>94.151440197877591</v>
      </c>
      <c r="BF232" s="67">
        <f t="shared" si="122"/>
        <v>92.129918800749536</v>
      </c>
      <c r="BG232" s="67">
        <f t="shared" si="122"/>
        <v>90.255468869512015</v>
      </c>
      <c r="BH232" s="67">
        <f t="shared" si="122"/>
        <v>114.73152822395595</v>
      </c>
    </row>
    <row r="233" spans="1:60" s="67" customFormat="1" x14ac:dyDescent="0.25">
      <c r="A233" s="67" t="str">
        <f t="shared" ref="A233:E233" si="123">A58</f>
        <v>DOE</v>
      </c>
      <c r="B233" s="67" t="str">
        <f t="shared" si="123"/>
        <v>EERE</v>
      </c>
      <c r="C233" s="67" t="str">
        <f t="shared" si="123"/>
        <v>BioE</v>
      </c>
      <c r="D233" s="67" t="str">
        <f t="shared" si="123"/>
        <v>Steady</v>
      </c>
      <c r="E233" s="67" t="str">
        <f t="shared" si="123"/>
        <v>Subprograms</v>
      </c>
      <c r="F233" s="67" t="s">
        <v>90</v>
      </c>
      <c r="H233" s="67" t="str">
        <f t="shared" si="56"/>
        <v>Bioenergy Technologies</v>
      </c>
      <c r="I233" s="67">
        <f t="shared" si="57"/>
        <v>0</v>
      </c>
      <c r="J233" s="67">
        <f t="shared" si="122"/>
        <v>0</v>
      </c>
      <c r="K233" s="67">
        <f t="shared" si="122"/>
        <v>0</v>
      </c>
      <c r="L233" s="67">
        <f t="shared" si="122"/>
        <v>0</v>
      </c>
      <c r="M233" s="67">
        <f t="shared" si="122"/>
        <v>0</v>
      </c>
      <c r="N233" s="67">
        <f t="shared" si="122"/>
        <v>0</v>
      </c>
      <c r="O233" s="67">
        <f t="shared" si="122"/>
        <v>0</v>
      </c>
      <c r="P233" s="67">
        <f t="shared" si="122"/>
        <v>0</v>
      </c>
      <c r="Q233" s="67">
        <f t="shared" si="122"/>
        <v>0</v>
      </c>
      <c r="R233" s="67">
        <f t="shared" si="122"/>
        <v>0</v>
      </c>
      <c r="S233" s="67">
        <f t="shared" si="122"/>
        <v>0</v>
      </c>
      <c r="T233" s="67">
        <f t="shared" si="122"/>
        <v>0</v>
      </c>
      <c r="U233" s="67">
        <f t="shared" si="122"/>
        <v>0</v>
      </c>
      <c r="V233" s="67">
        <f t="shared" si="122"/>
        <v>0</v>
      </c>
      <c r="W233" s="67">
        <f t="shared" si="122"/>
        <v>0</v>
      </c>
      <c r="X233" s="67">
        <f t="shared" si="122"/>
        <v>0</v>
      </c>
      <c r="Y233" s="67">
        <f t="shared" si="122"/>
        <v>0</v>
      </c>
      <c r="Z233" s="67">
        <f t="shared" si="122"/>
        <v>0</v>
      </c>
      <c r="AA233" s="67">
        <f t="shared" si="122"/>
        <v>0</v>
      </c>
      <c r="AB233" s="67">
        <f t="shared" si="122"/>
        <v>0</v>
      </c>
      <c r="AC233" s="67">
        <f t="shared" si="122"/>
        <v>0</v>
      </c>
      <c r="AD233" s="67">
        <f t="shared" si="122"/>
        <v>0</v>
      </c>
      <c r="AE233" s="67">
        <f t="shared" si="122"/>
        <v>0</v>
      </c>
      <c r="AF233" s="67">
        <f t="shared" si="122"/>
        <v>0</v>
      </c>
      <c r="AG233" s="67">
        <f t="shared" si="122"/>
        <v>0</v>
      </c>
      <c r="AH233" s="67">
        <f t="shared" si="122"/>
        <v>0</v>
      </c>
      <c r="AI233" s="67">
        <f t="shared" si="122"/>
        <v>0</v>
      </c>
      <c r="AJ233" s="67">
        <f t="shared" si="122"/>
        <v>0</v>
      </c>
      <c r="AK233" s="67">
        <f t="shared" si="122"/>
        <v>138.6243184987955</v>
      </c>
      <c r="AL233" s="67">
        <f t="shared" si="122"/>
        <v>112.67872523686478</v>
      </c>
      <c r="AM233" s="67">
        <f t="shared" si="122"/>
        <v>104.24383267786915</v>
      </c>
      <c r="AN233" s="67">
        <f t="shared" si="122"/>
        <v>104.12433310136859</v>
      </c>
      <c r="AO233" s="67">
        <f t="shared" si="122"/>
        <v>222.70196568571754</v>
      </c>
      <c r="AP233" s="67">
        <f t="shared" si="122"/>
        <v>220.44764368462489</v>
      </c>
      <c r="AQ233" s="67">
        <f t="shared" si="122"/>
        <v>238.62622658340766</v>
      </c>
      <c r="AR233" s="67">
        <f t="shared" si="122"/>
        <v>236.11718408395279</v>
      </c>
      <c r="AS233" s="67">
        <f t="shared" si="122"/>
        <v>193.2574618853339</v>
      </c>
      <c r="AT233" s="67">
        <f t="shared" si="122"/>
        <v>205.63112938943371</v>
      </c>
      <c r="AU233" s="67">
        <f t="shared" si="122"/>
        <v>191.78748964374481</v>
      </c>
      <c r="AV233" s="67">
        <f t="shared" si="122"/>
        <v>186.8870438704387</v>
      </c>
      <c r="AW233" s="67">
        <f t="shared" si="122"/>
        <v>178.88448240797231</v>
      </c>
      <c r="AX233" s="67">
        <f t="shared" si="122"/>
        <v>225</v>
      </c>
      <c r="AY233" s="67">
        <f t="shared" si="122"/>
        <v>200.54783799647819</v>
      </c>
      <c r="AZ233" s="67">
        <f t="shared" si="122"/>
        <v>212.7989626356738</v>
      </c>
      <c r="BA233" s="67">
        <f t="shared" si="122"/>
        <v>214.27894187920737</v>
      </c>
      <c r="BB233" s="67">
        <f t="shared" si="122"/>
        <v>237.85517873510543</v>
      </c>
      <c r="BC233" s="67">
        <f t="shared" si="122"/>
        <v>218.45283988691853</v>
      </c>
      <c r="BD233" s="67">
        <f t="shared" si="122"/>
        <v>162.20201523715903</v>
      </c>
      <c r="BE233" s="67">
        <f t="shared" si="122"/>
        <v>223.41019707970955</v>
      </c>
      <c r="BF233" s="67">
        <f t="shared" si="122"/>
        <v>214.70955652717052</v>
      </c>
      <c r="BG233" s="67">
        <f t="shared" si="122"/>
        <v>210.34113507725257</v>
      </c>
      <c r="BH233" s="67">
        <f t="shared" si="122"/>
        <v>53.541379837846108</v>
      </c>
    </row>
    <row r="234" spans="1:60" s="67" customFormat="1" x14ac:dyDescent="0.25">
      <c r="A234" s="67" t="str">
        <f t="shared" ref="A234:E234" si="124">A59</f>
        <v>DOE</v>
      </c>
      <c r="B234" s="67" t="str">
        <f t="shared" si="124"/>
        <v>EERE</v>
      </c>
      <c r="C234" s="67" t="str">
        <f t="shared" si="124"/>
        <v>Vehicles</v>
      </c>
      <c r="D234" s="67" t="str">
        <f t="shared" si="124"/>
        <v>Steady</v>
      </c>
      <c r="E234" s="67" t="str">
        <f t="shared" si="124"/>
        <v>Subprograms</v>
      </c>
      <c r="F234" s="67" t="s">
        <v>90</v>
      </c>
      <c r="H234" s="67" t="str">
        <f t="shared" si="56"/>
        <v>Vehicle Technologies</v>
      </c>
      <c r="I234" s="67">
        <f t="shared" si="57"/>
        <v>0</v>
      </c>
      <c r="J234" s="67">
        <f t="shared" si="122"/>
        <v>0</v>
      </c>
      <c r="K234" s="67">
        <f t="shared" si="122"/>
        <v>0</v>
      </c>
      <c r="L234" s="67">
        <f t="shared" si="122"/>
        <v>0</v>
      </c>
      <c r="M234" s="67">
        <f t="shared" si="122"/>
        <v>0</v>
      </c>
      <c r="N234" s="67">
        <f t="shared" si="122"/>
        <v>0</v>
      </c>
      <c r="O234" s="67">
        <f t="shared" si="122"/>
        <v>0</v>
      </c>
      <c r="P234" s="67">
        <f t="shared" si="122"/>
        <v>0</v>
      </c>
      <c r="Q234" s="67">
        <f t="shared" si="122"/>
        <v>0</v>
      </c>
      <c r="R234" s="67">
        <f t="shared" si="122"/>
        <v>0</v>
      </c>
      <c r="S234" s="67">
        <f t="shared" si="122"/>
        <v>0</v>
      </c>
      <c r="T234" s="67">
        <f t="shared" si="122"/>
        <v>0</v>
      </c>
      <c r="U234" s="67">
        <f t="shared" si="122"/>
        <v>0</v>
      </c>
      <c r="V234" s="67">
        <f t="shared" si="122"/>
        <v>0</v>
      </c>
      <c r="W234" s="67">
        <f t="shared" si="122"/>
        <v>0</v>
      </c>
      <c r="X234" s="67">
        <f t="shared" si="122"/>
        <v>0</v>
      </c>
      <c r="Y234" s="67">
        <f t="shared" si="122"/>
        <v>0</v>
      </c>
      <c r="Z234" s="67">
        <f t="shared" si="122"/>
        <v>0</v>
      </c>
      <c r="AA234" s="67">
        <f t="shared" si="122"/>
        <v>0</v>
      </c>
      <c r="AB234" s="67">
        <f t="shared" si="122"/>
        <v>0</v>
      </c>
      <c r="AC234" s="67">
        <f t="shared" si="122"/>
        <v>0</v>
      </c>
      <c r="AD234" s="67">
        <f t="shared" si="122"/>
        <v>0</v>
      </c>
      <c r="AE234" s="67">
        <f t="shared" si="122"/>
        <v>0</v>
      </c>
      <c r="AF234" s="67">
        <f t="shared" si="122"/>
        <v>0</v>
      </c>
      <c r="AG234" s="67">
        <f t="shared" si="122"/>
        <v>0</v>
      </c>
      <c r="AH234" s="67">
        <f t="shared" si="122"/>
        <v>0</v>
      </c>
      <c r="AI234" s="67">
        <f t="shared" si="122"/>
        <v>0</v>
      </c>
      <c r="AJ234" s="67">
        <f t="shared" si="122"/>
        <v>0</v>
      </c>
      <c r="AK234" s="67">
        <f t="shared" si="122"/>
        <v>220.83301635602891</v>
      </c>
      <c r="AL234" s="67">
        <f t="shared" si="122"/>
        <v>212.12624584717611</v>
      </c>
      <c r="AM234" s="67">
        <f t="shared" si="122"/>
        <v>192.2607555714456</v>
      </c>
      <c r="AN234" s="67">
        <f t="shared" si="122"/>
        <v>206.44861980978891</v>
      </c>
      <c r="AO234" s="67">
        <f t="shared" si="122"/>
        <v>209.06715146006135</v>
      </c>
      <c r="AP234" s="67">
        <f t="shared" si="122"/>
        <v>235.06917107187044</v>
      </c>
      <c r="AQ234" s="67">
        <f t="shared" si="122"/>
        <v>297.72524531668154</v>
      </c>
      <c r="AR234" s="67">
        <f t="shared" si="122"/>
        <v>332.31307389593354</v>
      </c>
      <c r="AS234" s="67">
        <f t="shared" si="122"/>
        <v>314.58020184668243</v>
      </c>
      <c r="AT234" s="67">
        <f t="shared" si="122"/>
        <v>338.5004745333755</v>
      </c>
      <c r="AU234" s="67">
        <f t="shared" si="122"/>
        <v>313.96541010770505</v>
      </c>
      <c r="AV234" s="67">
        <f t="shared" si="122"/>
        <v>289.25891758917589</v>
      </c>
      <c r="AW234" s="67">
        <f t="shared" si="122"/>
        <v>277.12629652226968</v>
      </c>
      <c r="AX234" s="67">
        <f t="shared" si="122"/>
        <v>310</v>
      </c>
      <c r="AY234" s="67">
        <f t="shared" si="122"/>
        <v>300.29250635883392</v>
      </c>
      <c r="AZ234" s="67">
        <f t="shared" si="122"/>
        <v>324.17635193545289</v>
      </c>
      <c r="BA234" s="67">
        <f t="shared" si="122"/>
        <v>326.15909737366076</v>
      </c>
      <c r="BB234" s="67">
        <f t="shared" si="122"/>
        <v>362.96975252062327</v>
      </c>
      <c r="BC234" s="67">
        <f t="shared" si="122"/>
        <v>342.67112139124475</v>
      </c>
      <c r="BD234" s="67">
        <f t="shared" si="122"/>
        <v>326.04243466863278</v>
      </c>
      <c r="BE234" s="67">
        <f t="shared" si="122"/>
        <v>363.04157025452804</v>
      </c>
      <c r="BF234" s="67">
        <f t="shared" si="122"/>
        <v>351.3429106808245</v>
      </c>
      <c r="BG234" s="67">
        <f t="shared" si="122"/>
        <v>344.19458467186786</v>
      </c>
      <c r="BH234" s="67">
        <f t="shared" si="122"/>
        <v>19.121921370659326</v>
      </c>
    </row>
    <row r="235" spans="1:60" s="67" customFormat="1" x14ac:dyDescent="0.25">
      <c r="A235" s="67" t="str">
        <f t="shared" ref="A235:E235" si="125">A60</f>
        <v>DOE</v>
      </c>
      <c r="B235" s="67" t="str">
        <f t="shared" si="125"/>
        <v>EERE</v>
      </c>
      <c r="C235" s="67" t="str">
        <f t="shared" si="125"/>
        <v>Buildings</v>
      </c>
      <c r="D235" s="67" t="str">
        <f t="shared" si="125"/>
        <v>Steady</v>
      </c>
      <c r="E235" s="67" t="str">
        <f t="shared" si="125"/>
        <v>Subprograms</v>
      </c>
      <c r="F235" s="67" t="s">
        <v>90</v>
      </c>
      <c r="H235" s="67" t="str">
        <f t="shared" si="56"/>
        <v>Building Technologies</v>
      </c>
      <c r="I235" s="67">
        <f t="shared" si="57"/>
        <v>0</v>
      </c>
      <c r="J235" s="67">
        <f t="shared" si="122"/>
        <v>0</v>
      </c>
      <c r="K235" s="67">
        <f t="shared" si="122"/>
        <v>0</v>
      </c>
      <c r="L235" s="67">
        <f t="shared" si="122"/>
        <v>0</v>
      </c>
      <c r="M235" s="67">
        <f t="shared" si="122"/>
        <v>0</v>
      </c>
      <c r="N235" s="67">
        <f t="shared" si="122"/>
        <v>0</v>
      </c>
      <c r="O235" s="67">
        <f t="shared" si="122"/>
        <v>0</v>
      </c>
      <c r="P235" s="67">
        <f t="shared" si="122"/>
        <v>0</v>
      </c>
      <c r="Q235" s="67">
        <f t="shared" si="122"/>
        <v>0</v>
      </c>
      <c r="R235" s="67">
        <f t="shared" si="122"/>
        <v>0</v>
      </c>
      <c r="S235" s="67">
        <f t="shared" si="122"/>
        <v>0</v>
      </c>
      <c r="T235" s="67">
        <f t="shared" si="122"/>
        <v>0</v>
      </c>
      <c r="U235" s="67">
        <f t="shared" si="122"/>
        <v>0</v>
      </c>
      <c r="V235" s="67">
        <f t="shared" si="122"/>
        <v>0</v>
      </c>
      <c r="W235" s="67">
        <f t="shared" si="122"/>
        <v>0</v>
      </c>
      <c r="X235" s="67">
        <f t="shared" si="122"/>
        <v>0</v>
      </c>
      <c r="Y235" s="67">
        <f t="shared" si="122"/>
        <v>0</v>
      </c>
      <c r="Z235" s="67">
        <f t="shared" si="122"/>
        <v>0</v>
      </c>
      <c r="AA235" s="67">
        <f t="shared" si="122"/>
        <v>0</v>
      </c>
      <c r="AB235" s="67">
        <f t="shared" si="122"/>
        <v>0</v>
      </c>
      <c r="AC235" s="67">
        <f t="shared" si="122"/>
        <v>0</v>
      </c>
      <c r="AD235" s="67">
        <f t="shared" si="122"/>
        <v>0</v>
      </c>
      <c r="AE235" s="67">
        <f t="shared" si="122"/>
        <v>0</v>
      </c>
      <c r="AF235" s="67">
        <f t="shared" si="122"/>
        <v>0</v>
      </c>
      <c r="AG235" s="67">
        <f t="shared" si="122"/>
        <v>0</v>
      </c>
      <c r="AH235" s="67">
        <f t="shared" si="122"/>
        <v>0</v>
      </c>
      <c r="AI235" s="67">
        <f t="shared" si="122"/>
        <v>0</v>
      </c>
      <c r="AJ235" s="67">
        <f t="shared" si="122"/>
        <v>0</v>
      </c>
      <c r="AK235" s="67">
        <f t="shared" si="122"/>
        <v>73.953340940788635</v>
      </c>
      <c r="AL235" s="67">
        <f t="shared" si="122"/>
        <v>71.119724375538325</v>
      </c>
      <c r="AM235" s="67">
        <f t="shared" si="122"/>
        <v>77.648671195328333</v>
      </c>
      <c r="AN235" s="67">
        <f t="shared" si="122"/>
        <v>78.868012062166557</v>
      </c>
      <c r="AO235" s="67">
        <f t="shared" si="122"/>
        <v>117.03215543688218</v>
      </c>
      <c r="AP235" s="67">
        <f t="shared" si="122"/>
        <v>120.34641772579012</v>
      </c>
      <c r="AQ235" s="67">
        <f t="shared" si="122"/>
        <v>153.88046387154327</v>
      </c>
      <c r="AR235" s="67">
        <f t="shared" si="122"/>
        <v>239.39658941845212</v>
      </c>
      <c r="AS235" s="67">
        <f t="shared" si="122"/>
        <v>222.246081168134</v>
      </c>
      <c r="AT235" s="67">
        <f t="shared" si="122"/>
        <v>226.72150163450385</v>
      </c>
      <c r="AU235" s="67">
        <f t="shared" si="122"/>
        <v>211.89001657000827</v>
      </c>
      <c r="AV235" s="67">
        <f t="shared" si="122"/>
        <v>177.97355473554734</v>
      </c>
      <c r="AW235" s="67">
        <f t="shared" si="122"/>
        <v>170.99145820622329</v>
      </c>
      <c r="AX235" s="67">
        <f t="shared" si="122"/>
        <v>200.5</v>
      </c>
      <c r="AY235" s="67">
        <f t="shared" si="122"/>
        <v>194.81608295832518</v>
      </c>
      <c r="AZ235" s="67">
        <f t="shared" si="122"/>
        <v>212.01325521083473</v>
      </c>
      <c r="BA235" s="67">
        <f t="shared" si="122"/>
        <v>214.27894187920737</v>
      </c>
      <c r="BB235" s="67">
        <f t="shared" si="122"/>
        <v>261.22823098075162</v>
      </c>
      <c r="BC235" s="67">
        <f t="shared" si="122"/>
        <v>248.43656300865246</v>
      </c>
      <c r="BD235" s="67">
        <f t="shared" si="122"/>
        <v>287.53993610223642</v>
      </c>
      <c r="BE235" s="67">
        <f t="shared" si="122"/>
        <v>264.9006622516556</v>
      </c>
      <c r="BF235" s="67">
        <f t="shared" si="122"/>
        <v>259.21299188007498</v>
      </c>
      <c r="BG235" s="67">
        <f t="shared" si="122"/>
        <v>253.93911580235584</v>
      </c>
      <c r="BH235" s="67">
        <f t="shared" si="122"/>
        <v>15.29753709652746</v>
      </c>
    </row>
    <row r="236" spans="1:60" s="67" customFormat="1" x14ac:dyDescent="0.25">
      <c r="A236" s="67" t="str">
        <f t="shared" ref="A236:E236" si="126">A61</f>
        <v>DOE</v>
      </c>
      <c r="B236" s="67" t="str">
        <f t="shared" si="126"/>
        <v>EERE</v>
      </c>
      <c r="C236" s="67" t="str">
        <f t="shared" si="126"/>
        <v>Industrial</v>
      </c>
      <c r="D236" s="67" t="str">
        <f t="shared" si="126"/>
        <v>Steady</v>
      </c>
      <c r="E236" s="67" t="str">
        <f t="shared" si="126"/>
        <v>Subprograms</v>
      </c>
      <c r="F236" s="67" t="s">
        <v>90</v>
      </c>
      <c r="H236" s="67" t="str">
        <f t="shared" si="56"/>
        <v>Industrial Efficiency &amp; Decarbonization Office</v>
      </c>
      <c r="I236" s="67">
        <f t="shared" si="57"/>
        <v>0</v>
      </c>
      <c r="J236" s="67">
        <f t="shared" si="122"/>
        <v>0</v>
      </c>
      <c r="K236" s="67">
        <f t="shared" si="122"/>
        <v>0</v>
      </c>
      <c r="L236" s="67">
        <f t="shared" si="122"/>
        <v>0</v>
      </c>
      <c r="M236" s="67">
        <f t="shared" si="122"/>
        <v>0</v>
      </c>
      <c r="N236" s="67">
        <f t="shared" si="122"/>
        <v>0</v>
      </c>
      <c r="O236" s="67">
        <f t="shared" si="122"/>
        <v>0</v>
      </c>
      <c r="P236" s="67">
        <f t="shared" si="122"/>
        <v>0</v>
      </c>
      <c r="Q236" s="67">
        <f t="shared" si="122"/>
        <v>0</v>
      </c>
      <c r="R236" s="67">
        <f t="shared" si="122"/>
        <v>0</v>
      </c>
      <c r="S236" s="67">
        <f t="shared" si="122"/>
        <v>0</v>
      </c>
      <c r="T236" s="67">
        <f t="shared" si="122"/>
        <v>0</v>
      </c>
      <c r="U236" s="67">
        <f t="shared" si="122"/>
        <v>0</v>
      </c>
      <c r="V236" s="67">
        <f t="shared" si="122"/>
        <v>0</v>
      </c>
      <c r="W236" s="67">
        <f t="shared" si="122"/>
        <v>0</v>
      </c>
      <c r="X236" s="67">
        <f t="shared" si="122"/>
        <v>0</v>
      </c>
      <c r="Y236" s="67">
        <f t="shared" si="122"/>
        <v>0</v>
      </c>
      <c r="Z236" s="67">
        <f t="shared" si="122"/>
        <v>0</v>
      </c>
      <c r="AA236" s="67">
        <f t="shared" si="122"/>
        <v>0</v>
      </c>
      <c r="AB236" s="67">
        <f t="shared" si="122"/>
        <v>0</v>
      </c>
      <c r="AC236" s="67">
        <f t="shared" si="122"/>
        <v>0</v>
      </c>
      <c r="AD236" s="67">
        <f t="shared" si="122"/>
        <v>0</v>
      </c>
      <c r="AE236" s="67">
        <f t="shared" si="122"/>
        <v>0</v>
      </c>
      <c r="AF236" s="67">
        <f t="shared" si="122"/>
        <v>0</v>
      </c>
      <c r="AG236" s="67">
        <f t="shared" si="122"/>
        <v>0</v>
      </c>
      <c r="AH236" s="67">
        <f t="shared" si="122"/>
        <v>0</v>
      </c>
      <c r="AI236" s="67">
        <f t="shared" si="122"/>
        <v>0</v>
      </c>
      <c r="AJ236" s="67">
        <f t="shared" si="122"/>
        <v>0</v>
      </c>
      <c r="AK236" s="67">
        <f t="shared" si="122"/>
        <v>122.76404209458603</v>
      </c>
      <c r="AL236" s="67">
        <f t="shared" si="122"/>
        <v>111.29568106312293</v>
      </c>
      <c r="AM236" s="67">
        <f t="shared" si="122"/>
        <v>87.440114408294605</v>
      </c>
      <c r="AN236" s="67">
        <f t="shared" si="122"/>
        <v>64.950127580607756</v>
      </c>
      <c r="AO236" s="67">
        <f t="shared" si="122"/>
        <v>63.629133053062155</v>
      </c>
      <c r="AP236" s="67">
        <f t="shared" si="122"/>
        <v>70.858171184343718</v>
      </c>
      <c r="AQ236" s="67">
        <f t="shared" si="122"/>
        <v>98.126672613737725</v>
      </c>
      <c r="AR236" s="67">
        <f t="shared" si="122"/>
        <v>102.75470048097945</v>
      </c>
      <c r="AS236" s="67">
        <f t="shared" si="122"/>
        <v>113.80717199914108</v>
      </c>
      <c r="AT236" s="67">
        <f t="shared" si="122"/>
        <v>119.16060318464621</v>
      </c>
      <c r="AU236" s="67">
        <f t="shared" si="122"/>
        <v>118.32435791217895</v>
      </c>
      <c r="AV236" s="67">
        <f t="shared" si="122"/>
        <v>179.78679786797869</v>
      </c>
      <c r="AW236" s="67">
        <f t="shared" si="122"/>
        <v>197.45271507016474</v>
      </c>
      <c r="AX236" s="67">
        <f t="shared" si="122"/>
        <v>228.5</v>
      </c>
      <c r="AY236" s="67">
        <f t="shared" si="122"/>
        <v>251.90765016630797</v>
      </c>
      <c r="AZ236" s="67">
        <f t="shared" si="122"/>
        <v>292.95936989722412</v>
      </c>
      <c r="BA236" s="67">
        <f t="shared" si="122"/>
        <v>303.40381151038213</v>
      </c>
      <c r="BB236" s="67">
        <f t="shared" si="122"/>
        <v>362.05316223648032</v>
      </c>
      <c r="BC236" s="67">
        <f t="shared" si="122"/>
        <v>339.24441017733233</v>
      </c>
      <c r="BD236" s="67">
        <f t="shared" si="122"/>
        <v>330.13844515441963</v>
      </c>
      <c r="BE236" s="67">
        <f t="shared" si="122"/>
        <v>359.05210244953321</v>
      </c>
      <c r="BF236" s="67">
        <f t="shared" si="122"/>
        <v>167.86383510306061</v>
      </c>
      <c r="BG236" s="67">
        <f t="shared" si="122"/>
        <v>164.44852378767021</v>
      </c>
      <c r="BH236" s="67">
        <f t="shared" si="122"/>
        <v>53.541379837846108</v>
      </c>
    </row>
    <row r="237" spans="1:60" s="67" customFormat="1" x14ac:dyDescent="0.25">
      <c r="A237" s="67" t="str">
        <f t="shared" ref="A237:E237" si="127">A62</f>
        <v>NASA</v>
      </c>
      <c r="B237" s="67" t="str">
        <f t="shared" si="127"/>
        <v>Science, Aeornautics and Technology</v>
      </c>
      <c r="C237" s="67" t="str">
        <f t="shared" si="127"/>
        <v>Science, Aeornautics and Technology</v>
      </c>
      <c r="D237" s="67" t="str">
        <f t="shared" si="127"/>
        <v>Steady</v>
      </c>
      <c r="E237" s="67" t="str">
        <f t="shared" si="127"/>
        <v>Program</v>
      </c>
      <c r="F237" s="67" t="s">
        <v>90</v>
      </c>
      <c r="I237" s="67">
        <f t="shared" si="57"/>
        <v>0</v>
      </c>
      <c r="J237" s="67">
        <f t="shared" si="122"/>
        <v>0</v>
      </c>
      <c r="K237" s="67">
        <f t="shared" si="122"/>
        <v>0</v>
      </c>
      <c r="L237" s="67">
        <f t="shared" si="122"/>
        <v>0</v>
      </c>
      <c r="M237" s="67">
        <f t="shared" si="122"/>
        <v>0</v>
      </c>
      <c r="N237" s="67">
        <f t="shared" si="122"/>
        <v>0</v>
      </c>
      <c r="O237" s="67">
        <f t="shared" si="122"/>
        <v>0</v>
      </c>
      <c r="P237" s="67">
        <f t="shared" si="122"/>
        <v>0</v>
      </c>
      <c r="Q237" s="67">
        <f t="shared" si="122"/>
        <v>0</v>
      </c>
      <c r="R237" s="67">
        <f t="shared" si="122"/>
        <v>0</v>
      </c>
      <c r="S237" s="67">
        <f t="shared" si="122"/>
        <v>0</v>
      </c>
      <c r="T237" s="67">
        <f t="shared" si="122"/>
        <v>0</v>
      </c>
      <c r="U237" s="67">
        <f t="shared" si="122"/>
        <v>0</v>
      </c>
      <c r="V237" s="67">
        <f t="shared" si="122"/>
        <v>0</v>
      </c>
      <c r="W237" s="67">
        <f t="shared" si="122"/>
        <v>0</v>
      </c>
      <c r="X237" s="67">
        <f t="shared" si="122"/>
        <v>0</v>
      </c>
      <c r="Y237" s="67">
        <f t="shared" ref="J237:BH242" si="128">Y62/Y$175</f>
        <v>0</v>
      </c>
      <c r="Z237" s="67">
        <f t="shared" si="128"/>
        <v>0</v>
      </c>
      <c r="AA237" s="67">
        <f t="shared" si="128"/>
        <v>7654.2959613285511</v>
      </c>
      <c r="AB237" s="67">
        <f t="shared" si="128"/>
        <v>8839.4628414466661</v>
      </c>
      <c r="AC237" s="67">
        <f t="shared" si="128"/>
        <v>8881.6497310221166</v>
      </c>
      <c r="AD237" s="67">
        <f t="shared" si="128"/>
        <v>8316.8084482252852</v>
      </c>
      <c r="AE237" s="67">
        <f t="shared" si="128"/>
        <v>7858.6251621271085</v>
      </c>
      <c r="AF237" s="67">
        <f t="shared" si="128"/>
        <v>7902.077996014802</v>
      </c>
      <c r="AG237" s="67">
        <f t="shared" si="128"/>
        <v>7948.6855054126236</v>
      </c>
      <c r="AH237" s="67">
        <f t="shared" si="128"/>
        <v>8990.359454620575</v>
      </c>
      <c r="AI237" s="67">
        <f t="shared" si="128"/>
        <v>9502.3530993680233</v>
      </c>
      <c r="AJ237" s="67">
        <f t="shared" si="128"/>
        <v>10653.693407466244</v>
      </c>
      <c r="AK237" s="67">
        <f t="shared" si="128"/>
        <v>0</v>
      </c>
      <c r="AL237" s="67">
        <f t="shared" si="128"/>
        <v>0</v>
      </c>
      <c r="AM237" s="67">
        <f t="shared" si="128"/>
        <v>0</v>
      </c>
      <c r="AN237" s="67">
        <f t="shared" si="128"/>
        <v>0</v>
      </c>
      <c r="AO237" s="67">
        <f t="shared" si="128"/>
        <v>0</v>
      </c>
      <c r="AP237" s="67">
        <f t="shared" si="128"/>
        <v>0</v>
      </c>
      <c r="AQ237" s="67">
        <f t="shared" si="128"/>
        <v>0</v>
      </c>
      <c r="AR237" s="67">
        <f t="shared" si="128"/>
        <v>0</v>
      </c>
      <c r="AS237" s="67">
        <f t="shared" si="128"/>
        <v>0</v>
      </c>
      <c r="AT237" s="67">
        <f t="shared" si="128"/>
        <v>0</v>
      </c>
      <c r="AU237" s="67">
        <f t="shared" si="128"/>
        <v>0</v>
      </c>
      <c r="AV237" s="67">
        <f t="shared" si="128"/>
        <v>0</v>
      </c>
      <c r="AW237" s="67">
        <f t="shared" si="128"/>
        <v>0</v>
      </c>
      <c r="AX237" s="67">
        <f t="shared" si="128"/>
        <v>0</v>
      </c>
      <c r="AY237" s="67">
        <f t="shared" si="128"/>
        <v>0</v>
      </c>
      <c r="AZ237" s="67">
        <f t="shared" si="128"/>
        <v>0</v>
      </c>
      <c r="BA237" s="67">
        <f t="shared" si="128"/>
        <v>0</v>
      </c>
      <c r="BB237" s="67">
        <f t="shared" si="128"/>
        <v>0</v>
      </c>
      <c r="BC237" s="67">
        <f t="shared" si="128"/>
        <v>0</v>
      </c>
      <c r="BD237" s="67">
        <f t="shared" si="128"/>
        <v>0</v>
      </c>
      <c r="BE237" s="67">
        <f t="shared" si="128"/>
        <v>0</v>
      </c>
      <c r="BF237" s="67">
        <f t="shared" si="128"/>
        <v>0</v>
      </c>
      <c r="BG237" s="67">
        <f t="shared" si="128"/>
        <v>0</v>
      </c>
      <c r="BH237" s="67">
        <f t="shared" si="128"/>
        <v>0</v>
      </c>
    </row>
    <row r="238" spans="1:60" s="67" customFormat="1" x14ac:dyDescent="0.25">
      <c r="A238" s="67" t="str">
        <f t="shared" ref="A238:E238" si="129">A63</f>
        <v>NASA</v>
      </c>
      <c r="B238" s="67" t="str">
        <f t="shared" si="129"/>
        <v>Human Space Flight</v>
      </c>
      <c r="C238" s="67" t="str">
        <f t="shared" si="129"/>
        <v>Human Space Flight</v>
      </c>
      <c r="D238" s="67" t="str">
        <f t="shared" si="129"/>
        <v>Steady</v>
      </c>
      <c r="E238" s="67" t="str">
        <f t="shared" si="129"/>
        <v>Program</v>
      </c>
      <c r="F238" s="67" t="s">
        <v>90</v>
      </c>
      <c r="I238" s="67">
        <f t="shared" si="57"/>
        <v>0</v>
      </c>
      <c r="J238" s="67">
        <f t="shared" si="128"/>
        <v>0</v>
      </c>
      <c r="K238" s="67">
        <f t="shared" si="128"/>
        <v>0</v>
      </c>
      <c r="L238" s="67">
        <f t="shared" si="128"/>
        <v>0</v>
      </c>
      <c r="M238" s="67">
        <f t="shared" si="128"/>
        <v>0</v>
      </c>
      <c r="N238" s="67">
        <f t="shared" si="128"/>
        <v>0</v>
      </c>
      <c r="O238" s="67">
        <f t="shared" si="128"/>
        <v>0</v>
      </c>
      <c r="P238" s="67">
        <f t="shared" si="128"/>
        <v>0</v>
      </c>
      <c r="Q238" s="67">
        <f t="shared" si="128"/>
        <v>0</v>
      </c>
      <c r="R238" s="67">
        <f t="shared" si="128"/>
        <v>0</v>
      </c>
      <c r="S238" s="67">
        <f t="shared" si="128"/>
        <v>0</v>
      </c>
      <c r="T238" s="67">
        <f t="shared" si="128"/>
        <v>0</v>
      </c>
      <c r="U238" s="67">
        <f t="shared" si="128"/>
        <v>0</v>
      </c>
      <c r="V238" s="67">
        <f t="shared" si="128"/>
        <v>0</v>
      </c>
      <c r="W238" s="67">
        <f t="shared" si="128"/>
        <v>0</v>
      </c>
      <c r="X238" s="67">
        <f t="shared" si="128"/>
        <v>0</v>
      </c>
      <c r="Y238" s="67">
        <f t="shared" si="128"/>
        <v>0</v>
      </c>
      <c r="Z238" s="67">
        <f t="shared" si="128"/>
        <v>0</v>
      </c>
      <c r="AA238" s="67">
        <f t="shared" si="128"/>
        <v>3505.0678309683458</v>
      </c>
      <c r="AB238" s="67">
        <f t="shared" si="128"/>
        <v>2970.2426369601712</v>
      </c>
      <c r="AC238" s="67">
        <f t="shared" si="128"/>
        <v>2841.9007770472203</v>
      </c>
      <c r="AD238" s="67">
        <f t="shared" si="128"/>
        <v>3175.1246699912003</v>
      </c>
      <c r="AE238" s="67">
        <f t="shared" si="128"/>
        <v>3141.3748378728928</v>
      </c>
      <c r="AF238" s="67">
        <f t="shared" si="128"/>
        <v>3384.571591232565</v>
      </c>
      <c r="AG238" s="67">
        <f t="shared" si="128"/>
        <v>3264.445381695487</v>
      </c>
      <c r="AH238" s="67">
        <f t="shared" si="128"/>
        <v>4150.9433962264156</v>
      </c>
      <c r="AI238" s="67">
        <f t="shared" si="128"/>
        <v>3848.3259378781763</v>
      </c>
      <c r="AJ238" s="67">
        <f t="shared" si="128"/>
        <v>10975.642043950225</v>
      </c>
      <c r="AK238" s="67">
        <f t="shared" si="128"/>
        <v>0</v>
      </c>
      <c r="AL238" s="67">
        <f t="shared" si="128"/>
        <v>0</v>
      </c>
      <c r="AM238" s="67">
        <f t="shared" si="128"/>
        <v>0</v>
      </c>
      <c r="AN238" s="67">
        <f t="shared" si="128"/>
        <v>0</v>
      </c>
      <c r="AO238" s="67">
        <f t="shared" si="128"/>
        <v>0</v>
      </c>
      <c r="AP238" s="67">
        <f t="shared" si="128"/>
        <v>0</v>
      </c>
      <c r="AQ238" s="67">
        <f t="shared" si="128"/>
        <v>0</v>
      </c>
      <c r="AR238" s="67">
        <f t="shared" si="128"/>
        <v>0</v>
      </c>
      <c r="AS238" s="67">
        <f t="shared" si="128"/>
        <v>0</v>
      </c>
      <c r="AT238" s="67">
        <f t="shared" si="128"/>
        <v>0</v>
      </c>
      <c r="AU238" s="67">
        <f t="shared" si="128"/>
        <v>0</v>
      </c>
      <c r="AV238" s="67">
        <f t="shared" si="128"/>
        <v>0</v>
      </c>
      <c r="AW238" s="67">
        <f t="shared" si="128"/>
        <v>0</v>
      </c>
      <c r="AX238" s="67">
        <f t="shared" si="128"/>
        <v>0</v>
      </c>
      <c r="AY238" s="67">
        <f t="shared" si="128"/>
        <v>0</v>
      </c>
      <c r="AZ238" s="67">
        <f t="shared" si="128"/>
        <v>0</v>
      </c>
      <c r="BA238" s="67">
        <f t="shared" si="128"/>
        <v>0</v>
      </c>
      <c r="BB238" s="67">
        <f t="shared" si="128"/>
        <v>0</v>
      </c>
      <c r="BC238" s="67">
        <f t="shared" si="128"/>
        <v>0</v>
      </c>
      <c r="BD238" s="67">
        <f t="shared" si="128"/>
        <v>0</v>
      </c>
      <c r="BE238" s="67">
        <f t="shared" si="128"/>
        <v>0</v>
      </c>
      <c r="BF238" s="67">
        <f t="shared" si="128"/>
        <v>0</v>
      </c>
      <c r="BG238" s="67">
        <f t="shared" si="128"/>
        <v>0</v>
      </c>
      <c r="BH238" s="67">
        <f t="shared" si="128"/>
        <v>0</v>
      </c>
    </row>
    <row r="239" spans="1:60" s="67" customFormat="1" x14ac:dyDescent="0.25">
      <c r="A239" s="67" t="str">
        <f t="shared" ref="A239:E239" si="130">A64</f>
        <v>NASA</v>
      </c>
      <c r="B239" s="67" t="str">
        <f t="shared" si="130"/>
        <v>Misson Support</v>
      </c>
      <c r="C239" s="67" t="str">
        <f t="shared" si="130"/>
        <v>Misson Support</v>
      </c>
      <c r="D239" s="67" t="str">
        <f t="shared" si="130"/>
        <v>Steady</v>
      </c>
      <c r="E239" s="67" t="str">
        <f t="shared" si="130"/>
        <v>Program</v>
      </c>
      <c r="F239" s="67" t="s">
        <v>90</v>
      </c>
      <c r="I239" s="67">
        <f t="shared" si="57"/>
        <v>0</v>
      </c>
      <c r="J239" s="67">
        <f t="shared" si="128"/>
        <v>0</v>
      </c>
      <c r="K239" s="67">
        <f t="shared" si="128"/>
        <v>0</v>
      </c>
      <c r="L239" s="67">
        <f t="shared" si="128"/>
        <v>0</v>
      </c>
      <c r="M239" s="67">
        <f t="shared" si="128"/>
        <v>0</v>
      </c>
      <c r="N239" s="67">
        <f t="shared" si="128"/>
        <v>0</v>
      </c>
      <c r="O239" s="67">
        <f t="shared" si="128"/>
        <v>0</v>
      </c>
      <c r="P239" s="67">
        <f t="shared" si="128"/>
        <v>0</v>
      </c>
      <c r="Q239" s="67">
        <f t="shared" si="128"/>
        <v>0</v>
      </c>
      <c r="R239" s="67">
        <f t="shared" si="128"/>
        <v>0</v>
      </c>
      <c r="S239" s="67">
        <f t="shared" si="128"/>
        <v>0</v>
      </c>
      <c r="T239" s="67">
        <f t="shared" si="128"/>
        <v>0</v>
      </c>
      <c r="U239" s="67">
        <f t="shared" si="128"/>
        <v>0</v>
      </c>
      <c r="V239" s="67">
        <f t="shared" si="128"/>
        <v>0</v>
      </c>
      <c r="W239" s="67">
        <f t="shared" si="128"/>
        <v>0</v>
      </c>
      <c r="X239" s="67">
        <f t="shared" si="128"/>
        <v>0</v>
      </c>
      <c r="Y239" s="67">
        <f t="shared" si="128"/>
        <v>0</v>
      </c>
      <c r="Z239" s="67">
        <f t="shared" si="128"/>
        <v>0</v>
      </c>
      <c r="AA239" s="67">
        <f t="shared" si="128"/>
        <v>2585.8412599407452</v>
      </c>
      <c r="AB239" s="67">
        <f t="shared" si="128"/>
        <v>2573.7830001526017</v>
      </c>
      <c r="AC239" s="67">
        <f t="shared" si="128"/>
        <v>2450.9862522414824</v>
      </c>
      <c r="AD239" s="67">
        <f t="shared" si="128"/>
        <v>2374.1566441771784</v>
      </c>
      <c r="AE239" s="67">
        <f t="shared" si="128"/>
        <v>2477.3022049286642</v>
      </c>
      <c r="AF239" s="67">
        <f t="shared" si="128"/>
        <v>2331.3407344150301</v>
      </c>
      <c r="AG239" s="67">
        <f t="shared" si="128"/>
        <v>2447.6310979895966</v>
      </c>
      <c r="AH239" s="67">
        <f t="shared" si="128"/>
        <v>0</v>
      </c>
      <c r="AI239" s="67">
        <f t="shared" si="128"/>
        <v>0</v>
      </c>
      <c r="AJ239" s="67">
        <f t="shared" si="128"/>
        <v>0</v>
      </c>
      <c r="AK239" s="67">
        <f t="shared" si="128"/>
        <v>0</v>
      </c>
      <c r="AL239" s="67">
        <f t="shared" si="128"/>
        <v>0</v>
      </c>
      <c r="AM239" s="67">
        <f t="shared" si="128"/>
        <v>0</v>
      </c>
      <c r="AN239" s="67">
        <f t="shared" si="128"/>
        <v>0</v>
      </c>
      <c r="AO239" s="67">
        <f t="shared" si="128"/>
        <v>0</v>
      </c>
      <c r="AP239" s="67">
        <f t="shared" si="128"/>
        <v>0</v>
      </c>
      <c r="AQ239" s="67">
        <f t="shared" si="128"/>
        <v>0</v>
      </c>
      <c r="AR239" s="67">
        <f t="shared" si="128"/>
        <v>0</v>
      </c>
      <c r="AS239" s="67">
        <f t="shared" si="128"/>
        <v>0</v>
      </c>
      <c r="AT239" s="67">
        <f t="shared" si="128"/>
        <v>0</v>
      </c>
      <c r="AU239" s="67">
        <f t="shared" si="128"/>
        <v>0</v>
      </c>
      <c r="AV239" s="67">
        <f t="shared" si="128"/>
        <v>0</v>
      </c>
      <c r="AW239" s="67">
        <f t="shared" si="128"/>
        <v>0</v>
      </c>
      <c r="AX239" s="67">
        <f t="shared" si="128"/>
        <v>0</v>
      </c>
      <c r="AY239" s="67">
        <f t="shared" si="128"/>
        <v>0</v>
      </c>
      <c r="AZ239" s="67">
        <f t="shared" si="128"/>
        <v>0</v>
      </c>
      <c r="BA239" s="67">
        <f t="shared" si="128"/>
        <v>0</v>
      </c>
      <c r="BB239" s="67">
        <f t="shared" si="128"/>
        <v>0</v>
      </c>
      <c r="BC239" s="67">
        <f t="shared" si="128"/>
        <v>0</v>
      </c>
      <c r="BD239" s="67">
        <f t="shared" si="128"/>
        <v>0</v>
      </c>
      <c r="BE239" s="67">
        <f t="shared" si="128"/>
        <v>0</v>
      </c>
      <c r="BF239" s="67">
        <f t="shared" si="128"/>
        <v>0</v>
      </c>
      <c r="BG239" s="67">
        <f t="shared" si="128"/>
        <v>0</v>
      </c>
      <c r="BH239" s="67">
        <f t="shared" si="128"/>
        <v>0</v>
      </c>
    </row>
    <row r="240" spans="1:60" s="67" customFormat="1" x14ac:dyDescent="0.25">
      <c r="A240" s="67" t="str">
        <f t="shared" ref="A240:E240" si="131">A65</f>
        <v>NASA</v>
      </c>
      <c r="B240" s="67" t="str">
        <f t="shared" si="131"/>
        <v>Science</v>
      </c>
      <c r="C240" s="67" t="str">
        <f t="shared" si="131"/>
        <v>Science</v>
      </c>
      <c r="D240" s="67" t="str">
        <f t="shared" si="131"/>
        <v>Steady</v>
      </c>
      <c r="E240" s="67" t="str">
        <f t="shared" si="131"/>
        <v>Program</v>
      </c>
      <c r="F240" s="67" t="s">
        <v>90</v>
      </c>
      <c r="I240" s="67">
        <f t="shared" si="57"/>
        <v>0</v>
      </c>
      <c r="J240" s="67">
        <f t="shared" si="128"/>
        <v>0</v>
      </c>
      <c r="K240" s="67">
        <f t="shared" si="128"/>
        <v>0</v>
      </c>
      <c r="L240" s="67">
        <f t="shared" si="128"/>
        <v>0</v>
      </c>
      <c r="M240" s="67">
        <f t="shared" si="128"/>
        <v>0</v>
      </c>
      <c r="N240" s="67">
        <f t="shared" si="128"/>
        <v>0</v>
      </c>
      <c r="O240" s="67">
        <f t="shared" si="128"/>
        <v>0</v>
      </c>
      <c r="P240" s="67">
        <f t="shared" si="128"/>
        <v>0</v>
      </c>
      <c r="Q240" s="67">
        <f t="shared" si="128"/>
        <v>0</v>
      </c>
      <c r="R240" s="67">
        <f t="shared" si="128"/>
        <v>0</v>
      </c>
      <c r="S240" s="67">
        <f t="shared" si="128"/>
        <v>0</v>
      </c>
      <c r="T240" s="67">
        <f t="shared" si="128"/>
        <v>0</v>
      </c>
      <c r="U240" s="67">
        <f t="shared" si="128"/>
        <v>0</v>
      </c>
      <c r="V240" s="67">
        <f t="shared" si="128"/>
        <v>0</v>
      </c>
      <c r="W240" s="67">
        <f t="shared" si="128"/>
        <v>0</v>
      </c>
      <c r="X240" s="67">
        <f t="shared" si="128"/>
        <v>0</v>
      </c>
      <c r="Y240" s="67">
        <f t="shared" si="128"/>
        <v>0</v>
      </c>
      <c r="Z240" s="67">
        <f t="shared" si="128"/>
        <v>0</v>
      </c>
      <c r="AA240" s="67">
        <f t="shared" si="128"/>
        <v>0</v>
      </c>
      <c r="AB240" s="67">
        <f t="shared" si="128"/>
        <v>0</v>
      </c>
      <c r="AC240" s="67">
        <f t="shared" si="128"/>
        <v>0</v>
      </c>
      <c r="AD240" s="67">
        <f t="shared" si="128"/>
        <v>0</v>
      </c>
      <c r="AE240" s="67">
        <f t="shared" si="128"/>
        <v>0</v>
      </c>
      <c r="AF240" s="67">
        <f t="shared" si="128"/>
        <v>0</v>
      </c>
      <c r="AG240" s="67">
        <f t="shared" si="128"/>
        <v>0</v>
      </c>
      <c r="AH240" s="67">
        <f t="shared" si="128"/>
        <v>0</v>
      </c>
      <c r="AI240" s="67">
        <f t="shared" si="128"/>
        <v>0</v>
      </c>
      <c r="AJ240" s="67">
        <f t="shared" si="128"/>
        <v>0</v>
      </c>
      <c r="AK240" s="67">
        <f t="shared" si="128"/>
        <v>5691.1373145682765</v>
      </c>
      <c r="AL240" s="67">
        <f t="shared" si="128"/>
        <v>5478.8493027656277</v>
      </c>
      <c r="AM240" s="67">
        <f t="shared" si="128"/>
        <v>5265.5722918707652</v>
      </c>
      <c r="AN240" s="67">
        <f t="shared" si="128"/>
        <v>4902.5057493673257</v>
      </c>
      <c r="AO240" s="67">
        <f t="shared" si="128"/>
        <v>5237.9275082376998</v>
      </c>
      <c r="AP240" s="67">
        <f t="shared" si="128"/>
        <v>5323.5856484085025</v>
      </c>
      <c r="AQ240" s="67">
        <f t="shared" si="128"/>
        <v>5021.1864406779659</v>
      </c>
      <c r="AR240" s="67">
        <f t="shared" si="128"/>
        <v>4916.4844774814173</v>
      </c>
      <c r="AS240" s="67">
        <f t="shared" si="128"/>
        <v>5282.0485290959841</v>
      </c>
      <c r="AT240" s="67">
        <f t="shared" si="128"/>
        <v>5350.3110829906145</v>
      </c>
      <c r="AU240" s="67">
        <f t="shared" si="128"/>
        <v>4951.9469759734884</v>
      </c>
      <c r="AV240" s="67">
        <f t="shared" si="128"/>
        <v>5276.8552685526856</v>
      </c>
      <c r="AW240" s="67">
        <f t="shared" si="128"/>
        <v>5331.5029489526132</v>
      </c>
      <c r="AX240" s="67">
        <f t="shared" si="128"/>
        <v>5584.2</v>
      </c>
      <c r="AY240" s="67">
        <f t="shared" si="128"/>
        <v>5637.0573273332029</v>
      </c>
      <c r="AZ240" s="67">
        <f t="shared" si="128"/>
        <v>6478.9165305926426</v>
      </c>
      <c r="BA240" s="67">
        <f t="shared" si="128"/>
        <v>6529.4396510856168</v>
      </c>
      <c r="BB240" s="67">
        <f t="shared" si="128"/>
        <v>6547.2960586617783</v>
      </c>
      <c r="BC240" s="67">
        <f t="shared" si="128"/>
        <v>6601.0451469202435</v>
      </c>
      <c r="BD240" s="67">
        <f t="shared" si="128"/>
        <v>6237.7324485950685</v>
      </c>
      <c r="BE240" s="67">
        <f t="shared" si="128"/>
        <v>6219.5803079869138</v>
      </c>
      <c r="BF240" s="67">
        <f t="shared" si="128"/>
        <v>5726.2648344784511</v>
      </c>
      <c r="BG240" s="67">
        <f t="shared" si="128"/>
        <v>5609.7598286675848</v>
      </c>
      <c r="BH240" s="67">
        <f t="shared" si="128"/>
        <v>2988.8327979195351</v>
      </c>
    </row>
    <row r="241" spans="1:60" s="67" customFormat="1" x14ac:dyDescent="0.25">
      <c r="A241" s="67" t="str">
        <f t="shared" ref="A241:E241" si="132">A66</f>
        <v>NASA</v>
      </c>
      <c r="B241" s="67" t="str">
        <f t="shared" si="132"/>
        <v>Science</v>
      </c>
      <c r="C241" s="67" t="str">
        <f t="shared" si="132"/>
        <v>Earth Science</v>
      </c>
      <c r="D241" s="67" t="str">
        <f t="shared" si="132"/>
        <v>Steady</v>
      </c>
      <c r="E241" s="67" t="str">
        <f t="shared" si="132"/>
        <v>Subprograms</v>
      </c>
      <c r="F241" s="67" t="s">
        <v>90</v>
      </c>
      <c r="I241" s="67">
        <f t="shared" si="57"/>
        <v>0</v>
      </c>
      <c r="J241" s="67">
        <f t="shared" si="128"/>
        <v>0</v>
      </c>
      <c r="K241" s="67">
        <f t="shared" si="128"/>
        <v>0</v>
      </c>
      <c r="L241" s="67">
        <f t="shared" si="128"/>
        <v>0</v>
      </c>
      <c r="M241" s="67">
        <f t="shared" si="128"/>
        <v>0</v>
      </c>
      <c r="N241" s="67">
        <f t="shared" si="128"/>
        <v>0</v>
      </c>
      <c r="O241" s="67">
        <f t="shared" si="128"/>
        <v>0</v>
      </c>
      <c r="P241" s="67">
        <f t="shared" si="128"/>
        <v>0</v>
      </c>
      <c r="Q241" s="67">
        <f t="shared" si="128"/>
        <v>0</v>
      </c>
      <c r="R241" s="67">
        <f t="shared" si="128"/>
        <v>0</v>
      </c>
      <c r="S241" s="67">
        <f t="shared" si="128"/>
        <v>0</v>
      </c>
      <c r="T241" s="67">
        <f t="shared" si="128"/>
        <v>0</v>
      </c>
      <c r="U241" s="67">
        <f t="shared" si="128"/>
        <v>0</v>
      </c>
      <c r="V241" s="67">
        <f t="shared" si="128"/>
        <v>0</v>
      </c>
      <c r="W241" s="67">
        <f t="shared" si="128"/>
        <v>0</v>
      </c>
      <c r="X241" s="67">
        <f t="shared" si="128"/>
        <v>0</v>
      </c>
      <c r="Y241" s="67">
        <f t="shared" si="128"/>
        <v>0</v>
      </c>
      <c r="Z241" s="67">
        <f t="shared" si="128"/>
        <v>0</v>
      </c>
      <c r="AA241" s="67">
        <f t="shared" si="128"/>
        <v>0</v>
      </c>
      <c r="AB241" s="67">
        <f t="shared" si="128"/>
        <v>0</v>
      </c>
      <c r="AC241" s="67">
        <f t="shared" si="128"/>
        <v>0</v>
      </c>
      <c r="AD241" s="67">
        <f t="shared" si="128"/>
        <v>0</v>
      </c>
      <c r="AE241" s="67">
        <f t="shared" si="128"/>
        <v>0</v>
      </c>
      <c r="AF241" s="67">
        <f t="shared" si="128"/>
        <v>0</v>
      </c>
      <c r="AG241" s="67">
        <f t="shared" si="128"/>
        <v>0</v>
      </c>
      <c r="AH241" s="67">
        <f t="shared" si="128"/>
        <v>0</v>
      </c>
      <c r="AI241" s="67">
        <f t="shared" si="128"/>
        <v>0</v>
      </c>
      <c r="AJ241" s="67">
        <f t="shared" si="128"/>
        <v>0</v>
      </c>
      <c r="AK241" s="67">
        <f t="shared" si="128"/>
        <v>0</v>
      </c>
      <c r="AL241" s="67">
        <f t="shared" si="128"/>
        <v>0</v>
      </c>
      <c r="AM241" s="67">
        <f t="shared" si="128"/>
        <v>0</v>
      </c>
      <c r="AN241" s="67">
        <f t="shared" si="128"/>
        <v>0</v>
      </c>
      <c r="AO241" s="67">
        <f t="shared" si="128"/>
        <v>1361.7770707874108</v>
      </c>
      <c r="AP241" s="67">
        <f t="shared" si="128"/>
        <v>1439.995501068496</v>
      </c>
      <c r="AQ241" s="67">
        <f t="shared" si="128"/>
        <v>1535.7939339875111</v>
      </c>
      <c r="AR241" s="67">
        <f t="shared" si="128"/>
        <v>1553.0170529077395</v>
      </c>
      <c r="AS241" s="67">
        <f t="shared" si="128"/>
        <v>1848.7223534464249</v>
      </c>
      <c r="AT241" s="67">
        <f t="shared" si="128"/>
        <v>1861.9635136560159</v>
      </c>
      <c r="AU241" s="67">
        <f t="shared" si="128"/>
        <v>1718.3098591549297</v>
      </c>
      <c r="AV241" s="67">
        <f t="shared" si="128"/>
        <v>1870.5412054120541</v>
      </c>
      <c r="AW241" s="67">
        <f t="shared" si="128"/>
        <v>1814.2159853569249</v>
      </c>
      <c r="AX241" s="67">
        <f t="shared" si="128"/>
        <v>1926.6</v>
      </c>
      <c r="AY241" s="67">
        <f t="shared" si="128"/>
        <v>1866.2688319311289</v>
      </c>
      <c r="AZ241" s="67">
        <f t="shared" si="128"/>
        <v>1845.1637690903854</v>
      </c>
      <c r="BA241" s="67">
        <f t="shared" si="128"/>
        <v>1830.852375082962</v>
      </c>
      <c r="BB241" s="67">
        <f t="shared" si="128"/>
        <v>1807.3327222731439</v>
      </c>
      <c r="BC241" s="67">
        <f t="shared" si="128"/>
        <v>1710.3572346440503</v>
      </c>
      <c r="BD241" s="67">
        <f t="shared" si="128"/>
        <v>1688.5393626607683</v>
      </c>
      <c r="BE241" s="67">
        <f t="shared" si="128"/>
        <v>1735.4184951727439</v>
      </c>
      <c r="BF241" s="67">
        <f t="shared" si="128"/>
        <v>1713.7726420986885</v>
      </c>
      <c r="BG241" s="67">
        <f t="shared" si="128"/>
        <v>1678.9046963438889</v>
      </c>
      <c r="BH241" s="67">
        <f t="shared" si="128"/>
        <v>792.3359339146399</v>
      </c>
    </row>
    <row r="242" spans="1:60" s="67" customFormat="1" x14ac:dyDescent="0.25">
      <c r="A242" s="67" t="str">
        <f t="shared" ref="A242:E242" si="133">A67</f>
        <v>NASA</v>
      </c>
      <c r="B242" s="67" t="str">
        <f t="shared" si="133"/>
        <v>Science</v>
      </c>
      <c r="C242" s="67" t="str">
        <f t="shared" si="133"/>
        <v>Planetary Science</v>
      </c>
      <c r="D242" s="67" t="str">
        <f t="shared" si="133"/>
        <v>Steady</v>
      </c>
      <c r="E242" s="67" t="str">
        <f t="shared" si="133"/>
        <v>Subprograms</v>
      </c>
      <c r="F242" s="67" t="s">
        <v>90</v>
      </c>
      <c r="I242" s="67">
        <f t="shared" ref="I242:X305" si="134">I67/I$175</f>
        <v>0</v>
      </c>
      <c r="J242" s="67">
        <f t="shared" si="134"/>
        <v>0</v>
      </c>
      <c r="K242" s="67">
        <f t="shared" si="134"/>
        <v>0</v>
      </c>
      <c r="L242" s="67">
        <f t="shared" si="134"/>
        <v>0</v>
      </c>
      <c r="M242" s="67">
        <f t="shared" si="134"/>
        <v>0</v>
      </c>
      <c r="N242" s="67">
        <f t="shared" si="134"/>
        <v>0</v>
      </c>
      <c r="O242" s="67">
        <f t="shared" si="134"/>
        <v>0</v>
      </c>
      <c r="P242" s="67">
        <f t="shared" si="134"/>
        <v>0</v>
      </c>
      <c r="Q242" s="67">
        <f t="shared" si="134"/>
        <v>0</v>
      </c>
      <c r="R242" s="67">
        <f t="shared" si="134"/>
        <v>0</v>
      </c>
      <c r="S242" s="67">
        <f t="shared" si="134"/>
        <v>0</v>
      </c>
      <c r="T242" s="67">
        <f t="shared" si="134"/>
        <v>0</v>
      </c>
      <c r="U242" s="67">
        <f t="shared" si="134"/>
        <v>0</v>
      </c>
      <c r="V242" s="67">
        <f t="shared" si="134"/>
        <v>0</v>
      </c>
      <c r="W242" s="67">
        <f t="shared" si="134"/>
        <v>0</v>
      </c>
      <c r="X242" s="67">
        <f t="shared" si="134"/>
        <v>0</v>
      </c>
      <c r="Y242" s="67">
        <f t="shared" si="128"/>
        <v>0</v>
      </c>
      <c r="Z242" s="67">
        <f t="shared" si="128"/>
        <v>0</v>
      </c>
      <c r="AA242" s="67">
        <f t="shared" si="128"/>
        <v>0</v>
      </c>
      <c r="AB242" s="67">
        <f t="shared" si="128"/>
        <v>0</v>
      </c>
      <c r="AC242" s="67">
        <f t="shared" si="128"/>
        <v>0</v>
      </c>
      <c r="AD242" s="67">
        <f t="shared" si="128"/>
        <v>0</v>
      </c>
      <c r="AE242" s="67">
        <f t="shared" si="128"/>
        <v>0</v>
      </c>
      <c r="AF242" s="67">
        <f t="shared" si="128"/>
        <v>0</v>
      </c>
      <c r="AG242" s="67">
        <f t="shared" si="128"/>
        <v>0</v>
      </c>
      <c r="AH242" s="67">
        <f t="shared" si="128"/>
        <v>0</v>
      </c>
      <c r="AI242" s="67">
        <f t="shared" si="128"/>
        <v>0</v>
      </c>
      <c r="AJ242" s="67">
        <f t="shared" si="128"/>
        <v>0</v>
      </c>
      <c r="AK242" s="67">
        <f t="shared" si="128"/>
        <v>0</v>
      </c>
      <c r="AL242" s="67">
        <f t="shared" si="128"/>
        <v>0</v>
      </c>
      <c r="AM242" s="67">
        <f t="shared" si="128"/>
        <v>0</v>
      </c>
      <c r="AN242" s="67">
        <f t="shared" ref="J242:BH247" si="135">AN67/AN$175</f>
        <v>0</v>
      </c>
      <c r="AO242" s="67">
        <f t="shared" si="135"/>
        <v>1381.2066810589704</v>
      </c>
      <c r="AP242" s="67">
        <f t="shared" si="135"/>
        <v>1403.1042627375998</v>
      </c>
      <c r="AQ242" s="67">
        <f t="shared" si="135"/>
        <v>1436.329170383586</v>
      </c>
      <c r="AR242" s="67">
        <f t="shared" si="135"/>
        <v>1466.2221250546568</v>
      </c>
      <c r="AS242" s="67">
        <f t="shared" si="135"/>
        <v>1557.6551427957913</v>
      </c>
      <c r="AT242" s="67">
        <f t="shared" si="135"/>
        <v>1583.2542444374144</v>
      </c>
      <c r="AU242" s="67">
        <f t="shared" si="135"/>
        <v>1320.0082850041424</v>
      </c>
      <c r="AV242" s="67">
        <f t="shared" si="135"/>
        <v>1379.3562935629357</v>
      </c>
      <c r="AW242" s="67">
        <f t="shared" si="135"/>
        <v>1471.1206019930851</v>
      </c>
      <c r="AX242" s="67">
        <f t="shared" si="135"/>
        <v>1628</v>
      </c>
      <c r="AY242" s="67">
        <f t="shared" si="135"/>
        <v>1787.8106045783604</v>
      </c>
      <c r="AZ242" s="67">
        <f t="shared" si="135"/>
        <v>2139.9481317836908</v>
      </c>
      <c r="BA242" s="67">
        <f t="shared" si="135"/>
        <v>2604.2476533611452</v>
      </c>
      <c r="BB242" s="67">
        <f t="shared" si="135"/>
        <v>2486.3428047662696</v>
      </c>
      <c r="BC242" s="67">
        <f t="shared" si="135"/>
        <v>2307.2046603272506</v>
      </c>
      <c r="BD242" s="67">
        <f t="shared" si="135"/>
        <v>2556.2382239698536</v>
      </c>
      <c r="BE242" s="67">
        <f t="shared" si="135"/>
        <v>2566.4246389531636</v>
      </c>
      <c r="BF242" s="67">
        <f t="shared" si="135"/>
        <v>2121.0961898813243</v>
      </c>
      <c r="BG242" s="67">
        <f t="shared" si="135"/>
        <v>2077.9409515068073</v>
      </c>
      <c r="BH242" s="67">
        <f t="shared" si="135"/>
        <v>1446.6115955331193</v>
      </c>
    </row>
    <row r="243" spans="1:60" s="67" customFormat="1" x14ac:dyDescent="0.25">
      <c r="A243" s="67" t="str">
        <f t="shared" ref="A243:E243" si="136">A68</f>
        <v>NASA</v>
      </c>
      <c r="B243" s="67" t="str">
        <f t="shared" si="136"/>
        <v>Science</v>
      </c>
      <c r="C243" s="67" t="str">
        <f t="shared" si="136"/>
        <v>Astrophysics</v>
      </c>
      <c r="D243" s="67" t="str">
        <f t="shared" si="136"/>
        <v>Steady</v>
      </c>
      <c r="E243" s="67" t="str">
        <f t="shared" si="136"/>
        <v>Subprograms</v>
      </c>
      <c r="F243" s="67" t="s">
        <v>90</v>
      </c>
      <c r="I243" s="67">
        <f t="shared" si="134"/>
        <v>0</v>
      </c>
      <c r="J243" s="67">
        <f t="shared" si="135"/>
        <v>0</v>
      </c>
      <c r="K243" s="67">
        <f t="shared" si="135"/>
        <v>0</v>
      </c>
      <c r="L243" s="67">
        <f t="shared" si="135"/>
        <v>0</v>
      </c>
      <c r="M243" s="67">
        <f t="shared" si="135"/>
        <v>0</v>
      </c>
      <c r="N243" s="67">
        <f t="shared" si="135"/>
        <v>0</v>
      </c>
      <c r="O243" s="67">
        <f t="shared" si="135"/>
        <v>0</v>
      </c>
      <c r="P243" s="67">
        <f t="shared" si="135"/>
        <v>0</v>
      </c>
      <c r="Q243" s="67">
        <f t="shared" si="135"/>
        <v>0</v>
      </c>
      <c r="R243" s="67">
        <f t="shared" si="135"/>
        <v>0</v>
      </c>
      <c r="S243" s="67">
        <f t="shared" si="135"/>
        <v>0</v>
      </c>
      <c r="T243" s="67">
        <f t="shared" si="135"/>
        <v>0</v>
      </c>
      <c r="U243" s="67">
        <f t="shared" si="135"/>
        <v>0</v>
      </c>
      <c r="V243" s="67">
        <f t="shared" si="135"/>
        <v>0</v>
      </c>
      <c r="W243" s="67">
        <f t="shared" si="135"/>
        <v>0</v>
      </c>
      <c r="X243" s="67">
        <f t="shared" si="135"/>
        <v>0</v>
      </c>
      <c r="Y243" s="67">
        <f t="shared" si="135"/>
        <v>0</v>
      </c>
      <c r="Z243" s="67">
        <f t="shared" si="135"/>
        <v>0</v>
      </c>
      <c r="AA243" s="67">
        <f t="shared" si="135"/>
        <v>0</v>
      </c>
      <c r="AB243" s="67">
        <f t="shared" si="135"/>
        <v>0</v>
      </c>
      <c r="AC243" s="67">
        <f t="shared" si="135"/>
        <v>0</v>
      </c>
      <c r="AD243" s="67">
        <f t="shared" si="135"/>
        <v>0</v>
      </c>
      <c r="AE243" s="67">
        <f t="shared" si="135"/>
        <v>0</v>
      </c>
      <c r="AF243" s="67">
        <f t="shared" si="135"/>
        <v>0</v>
      </c>
      <c r="AG243" s="67">
        <f t="shared" si="135"/>
        <v>0</v>
      </c>
      <c r="AH243" s="67">
        <f t="shared" si="135"/>
        <v>0</v>
      </c>
      <c r="AI243" s="67">
        <f t="shared" si="135"/>
        <v>0</v>
      </c>
      <c r="AJ243" s="67">
        <f t="shared" si="135"/>
        <v>0</v>
      </c>
      <c r="AK243" s="67">
        <f t="shared" si="135"/>
        <v>0</v>
      </c>
      <c r="AL243" s="67">
        <f t="shared" si="135"/>
        <v>0</v>
      </c>
      <c r="AM243" s="67">
        <f t="shared" si="135"/>
        <v>0</v>
      </c>
      <c r="AN243" s="67">
        <f t="shared" si="135"/>
        <v>0</v>
      </c>
      <c r="AO243" s="67">
        <f t="shared" si="135"/>
        <v>1550.96011816839</v>
      </c>
      <c r="AP243" s="67">
        <f t="shared" si="135"/>
        <v>1504.3302215723766</v>
      </c>
      <c r="AQ243" s="67">
        <f t="shared" si="135"/>
        <v>1371.4317573595006</v>
      </c>
      <c r="AR243" s="67">
        <f t="shared" si="135"/>
        <v>1206.7118495846089</v>
      </c>
      <c r="AS243" s="67">
        <f t="shared" si="135"/>
        <v>677.58213442130125</v>
      </c>
      <c r="AT243" s="67">
        <f t="shared" si="135"/>
        <v>683.74986818517345</v>
      </c>
      <c r="AU243" s="67">
        <f t="shared" si="135"/>
        <v>638.98094449047221</v>
      </c>
      <c r="AV243" s="67">
        <f t="shared" si="135"/>
        <v>695.26445264452639</v>
      </c>
      <c r="AW243" s="67">
        <f t="shared" si="135"/>
        <v>743.0343705511491</v>
      </c>
      <c r="AX243" s="67">
        <f t="shared" si="135"/>
        <v>762.4</v>
      </c>
      <c r="AY243" s="67">
        <f t="shared" si="135"/>
        <v>1322.9309332811583</v>
      </c>
      <c r="AZ243" s="67">
        <f t="shared" si="135"/>
        <v>1329.4592258188454</v>
      </c>
      <c r="BA243" s="67">
        <f t="shared" si="135"/>
        <v>1129.3258746563004</v>
      </c>
      <c r="BB243" s="67">
        <f t="shared" si="135"/>
        <v>1197.2502291475712</v>
      </c>
      <c r="BC243" s="67">
        <f t="shared" si="135"/>
        <v>1517.0907221793884</v>
      </c>
      <c r="BD243" s="67">
        <f t="shared" si="135"/>
        <v>1285.246170230196</v>
      </c>
      <c r="BE243" s="67">
        <f t="shared" si="135"/>
        <v>1204.8192771084337</v>
      </c>
      <c r="BF243" s="67">
        <f t="shared" si="135"/>
        <v>1194.5658963148032</v>
      </c>
      <c r="BG243" s="67">
        <f t="shared" si="135"/>
        <v>1170.2615878843508</v>
      </c>
      <c r="BH243" s="67">
        <f t="shared" si="135"/>
        <v>400.03059507419306</v>
      </c>
    </row>
    <row r="244" spans="1:60" s="67" customFormat="1" x14ac:dyDescent="0.25">
      <c r="A244" s="67" t="str">
        <f t="shared" ref="A244:E244" si="137">A69</f>
        <v>NASA</v>
      </c>
      <c r="B244" s="67" t="str">
        <f t="shared" si="137"/>
        <v>Science</v>
      </c>
      <c r="C244" s="67" t="str">
        <f t="shared" si="137"/>
        <v>Heliophysics</v>
      </c>
      <c r="D244" s="67" t="str">
        <f t="shared" si="137"/>
        <v>Steady</v>
      </c>
      <c r="E244" s="67" t="str">
        <f t="shared" si="137"/>
        <v>Subprograms</v>
      </c>
      <c r="F244" s="67" t="s">
        <v>90</v>
      </c>
      <c r="I244" s="67">
        <f t="shared" si="134"/>
        <v>0</v>
      </c>
      <c r="J244" s="67">
        <f t="shared" si="135"/>
        <v>0</v>
      </c>
      <c r="K244" s="67">
        <f t="shared" si="135"/>
        <v>0</v>
      </c>
      <c r="L244" s="67">
        <f t="shared" si="135"/>
        <v>0</v>
      </c>
      <c r="M244" s="67">
        <f t="shared" si="135"/>
        <v>0</v>
      </c>
      <c r="N244" s="67">
        <f t="shared" si="135"/>
        <v>0</v>
      </c>
      <c r="O244" s="67">
        <f t="shared" si="135"/>
        <v>0</v>
      </c>
      <c r="P244" s="67">
        <f t="shared" si="135"/>
        <v>0</v>
      </c>
      <c r="Q244" s="67">
        <f t="shared" si="135"/>
        <v>0</v>
      </c>
      <c r="R244" s="67">
        <f t="shared" si="135"/>
        <v>0</v>
      </c>
      <c r="S244" s="67">
        <f t="shared" si="135"/>
        <v>0</v>
      </c>
      <c r="T244" s="67">
        <f t="shared" si="135"/>
        <v>0</v>
      </c>
      <c r="U244" s="67">
        <f t="shared" si="135"/>
        <v>0</v>
      </c>
      <c r="V244" s="67">
        <f t="shared" si="135"/>
        <v>0</v>
      </c>
      <c r="W244" s="67">
        <f t="shared" si="135"/>
        <v>0</v>
      </c>
      <c r="X244" s="67">
        <f t="shared" si="135"/>
        <v>0</v>
      </c>
      <c r="Y244" s="67">
        <f t="shared" si="135"/>
        <v>0</v>
      </c>
      <c r="Z244" s="67">
        <f t="shared" si="135"/>
        <v>0</v>
      </c>
      <c r="AA244" s="67">
        <f t="shared" si="135"/>
        <v>0</v>
      </c>
      <c r="AB244" s="67">
        <f t="shared" si="135"/>
        <v>0</v>
      </c>
      <c r="AC244" s="67">
        <f t="shared" si="135"/>
        <v>0</v>
      </c>
      <c r="AD244" s="67">
        <f t="shared" si="135"/>
        <v>0</v>
      </c>
      <c r="AE244" s="67">
        <f t="shared" si="135"/>
        <v>0</v>
      </c>
      <c r="AF244" s="67">
        <f t="shared" si="135"/>
        <v>0</v>
      </c>
      <c r="AG244" s="67">
        <f t="shared" si="135"/>
        <v>0</v>
      </c>
      <c r="AH244" s="67">
        <f t="shared" si="135"/>
        <v>0</v>
      </c>
      <c r="AI244" s="67">
        <f t="shared" si="135"/>
        <v>0</v>
      </c>
      <c r="AJ244" s="67">
        <f t="shared" si="135"/>
        <v>0</v>
      </c>
      <c r="AK244" s="67">
        <f t="shared" si="135"/>
        <v>0</v>
      </c>
      <c r="AL244" s="67">
        <f t="shared" si="135"/>
        <v>0</v>
      </c>
      <c r="AM244" s="67">
        <f t="shared" si="135"/>
        <v>0</v>
      </c>
      <c r="AN244" s="67">
        <f t="shared" si="135"/>
        <v>0</v>
      </c>
      <c r="AO244" s="67">
        <f t="shared" si="135"/>
        <v>943.98363822292902</v>
      </c>
      <c r="AP244" s="67">
        <f t="shared" si="135"/>
        <v>945.78787537959715</v>
      </c>
      <c r="AQ244" s="67">
        <f t="shared" si="135"/>
        <v>677.74308652988395</v>
      </c>
      <c r="AR244" s="67">
        <f t="shared" si="135"/>
        <v>685.83296895496289</v>
      </c>
      <c r="AS244" s="67">
        <f t="shared" si="135"/>
        <v>686.27872020614132</v>
      </c>
      <c r="AT244" s="67">
        <f t="shared" si="135"/>
        <v>680.05905304228611</v>
      </c>
      <c r="AU244" s="67">
        <f t="shared" si="135"/>
        <v>624.68931234465617</v>
      </c>
      <c r="AV244" s="67">
        <f t="shared" si="135"/>
        <v>657.03157031570311</v>
      </c>
      <c r="AW244" s="67">
        <f t="shared" si="135"/>
        <v>646.83750254220047</v>
      </c>
      <c r="AX244" s="67">
        <f t="shared" si="135"/>
        <v>647.20000000000005</v>
      </c>
      <c r="AY244" s="67">
        <f t="shared" si="135"/>
        <v>660.04695754255533</v>
      </c>
      <c r="AZ244" s="67">
        <f t="shared" si="135"/>
        <v>661.31975794832397</v>
      </c>
      <c r="BA244" s="67">
        <f t="shared" si="135"/>
        <v>675.73717644827923</v>
      </c>
      <c r="BB244" s="67">
        <f t="shared" si="135"/>
        <v>664.06966086159491</v>
      </c>
      <c r="BC244" s="67">
        <f t="shared" si="135"/>
        <v>643.36503041206197</v>
      </c>
      <c r="BD244" s="67">
        <f t="shared" si="135"/>
        <v>637.25731137871719</v>
      </c>
      <c r="BE244" s="67">
        <f t="shared" si="135"/>
        <v>642.30431660416491</v>
      </c>
      <c r="BF244" s="67">
        <f t="shared" si="135"/>
        <v>628.5134291068083</v>
      </c>
      <c r="BG244" s="67">
        <f t="shared" si="135"/>
        <v>615.72586813523026</v>
      </c>
      <c r="BH244" s="67">
        <f t="shared" si="135"/>
        <v>330.80923971240634</v>
      </c>
    </row>
    <row r="245" spans="1:60" s="67" customFormat="1" x14ac:dyDescent="0.25">
      <c r="A245" s="67" t="str">
        <f t="shared" ref="A245:E245" si="138">A70</f>
        <v>NASA</v>
      </c>
      <c r="B245" s="67" t="str">
        <f t="shared" si="138"/>
        <v>Science</v>
      </c>
      <c r="C245" s="67" t="str">
        <f t="shared" si="138"/>
        <v>Bio and Physical Sciences</v>
      </c>
      <c r="D245" s="67" t="str">
        <f t="shared" si="138"/>
        <v>Steady</v>
      </c>
      <c r="E245" s="67" t="str">
        <f t="shared" si="138"/>
        <v>Subprograms</v>
      </c>
      <c r="F245" s="67" t="s">
        <v>90</v>
      </c>
      <c r="I245" s="67">
        <f t="shared" si="134"/>
        <v>0</v>
      </c>
      <c r="J245" s="67">
        <f t="shared" si="135"/>
        <v>0</v>
      </c>
      <c r="K245" s="67">
        <f t="shared" si="135"/>
        <v>0</v>
      </c>
      <c r="L245" s="67">
        <f t="shared" si="135"/>
        <v>0</v>
      </c>
      <c r="M245" s="67">
        <f t="shared" si="135"/>
        <v>0</v>
      </c>
      <c r="N245" s="67">
        <f t="shared" si="135"/>
        <v>0</v>
      </c>
      <c r="O245" s="67">
        <f t="shared" si="135"/>
        <v>0</v>
      </c>
      <c r="P245" s="67">
        <f t="shared" si="135"/>
        <v>0</v>
      </c>
      <c r="Q245" s="67">
        <f t="shared" si="135"/>
        <v>0</v>
      </c>
      <c r="R245" s="67">
        <f t="shared" si="135"/>
        <v>0</v>
      </c>
      <c r="S245" s="67">
        <f t="shared" si="135"/>
        <v>0</v>
      </c>
      <c r="T245" s="67">
        <f t="shared" si="135"/>
        <v>0</v>
      </c>
      <c r="U245" s="67">
        <f t="shared" si="135"/>
        <v>0</v>
      </c>
      <c r="V245" s="67">
        <f t="shared" si="135"/>
        <v>0</v>
      </c>
      <c r="W245" s="67">
        <f t="shared" si="135"/>
        <v>0</v>
      </c>
      <c r="X245" s="67">
        <f t="shared" si="135"/>
        <v>0</v>
      </c>
      <c r="Y245" s="67">
        <f t="shared" si="135"/>
        <v>0</v>
      </c>
      <c r="Z245" s="67">
        <f t="shared" si="135"/>
        <v>0</v>
      </c>
      <c r="AA245" s="67">
        <f t="shared" si="135"/>
        <v>0</v>
      </c>
      <c r="AB245" s="67">
        <f t="shared" si="135"/>
        <v>0</v>
      </c>
      <c r="AC245" s="67">
        <f t="shared" si="135"/>
        <v>0</v>
      </c>
      <c r="AD245" s="67">
        <f t="shared" si="135"/>
        <v>0</v>
      </c>
      <c r="AE245" s="67">
        <f t="shared" si="135"/>
        <v>0</v>
      </c>
      <c r="AF245" s="67">
        <f t="shared" si="135"/>
        <v>0</v>
      </c>
      <c r="AG245" s="67">
        <f t="shared" si="135"/>
        <v>0</v>
      </c>
      <c r="AH245" s="67">
        <f t="shared" si="135"/>
        <v>0</v>
      </c>
      <c r="AI245" s="67">
        <f t="shared" si="135"/>
        <v>0</v>
      </c>
      <c r="AJ245" s="67">
        <f t="shared" si="135"/>
        <v>0</v>
      </c>
      <c r="AK245" s="67">
        <f t="shared" si="135"/>
        <v>0</v>
      </c>
      <c r="AL245" s="67">
        <f t="shared" si="135"/>
        <v>0</v>
      </c>
      <c r="AM245" s="67">
        <f t="shared" si="135"/>
        <v>0</v>
      </c>
      <c r="AN245" s="67">
        <f t="shared" si="135"/>
        <v>0</v>
      </c>
      <c r="AO245" s="67">
        <f t="shared" si="135"/>
        <v>0</v>
      </c>
      <c r="AP245" s="67">
        <f t="shared" si="135"/>
        <v>0</v>
      </c>
      <c r="AQ245" s="67">
        <f t="shared" si="135"/>
        <v>0</v>
      </c>
      <c r="AR245" s="67">
        <f t="shared" si="135"/>
        <v>0</v>
      </c>
      <c r="AS245" s="67">
        <f t="shared" si="135"/>
        <v>0</v>
      </c>
      <c r="AT245" s="67">
        <f t="shared" si="135"/>
        <v>0</v>
      </c>
      <c r="AU245" s="67">
        <f t="shared" si="135"/>
        <v>0</v>
      </c>
      <c r="AV245" s="67">
        <f t="shared" si="135"/>
        <v>0</v>
      </c>
      <c r="AW245" s="67">
        <f t="shared" si="135"/>
        <v>0</v>
      </c>
      <c r="AX245" s="67">
        <f t="shared" si="135"/>
        <v>0</v>
      </c>
      <c r="AY245" s="67">
        <f t="shared" si="135"/>
        <v>0</v>
      </c>
      <c r="AZ245" s="67">
        <f t="shared" si="135"/>
        <v>0</v>
      </c>
      <c r="BA245" s="67">
        <f t="shared" si="135"/>
        <v>0</v>
      </c>
      <c r="BB245" s="67">
        <f t="shared" si="135"/>
        <v>4.5829514207149407</v>
      </c>
      <c r="BC245" s="67">
        <f t="shared" si="135"/>
        <v>67.76321425511864</v>
      </c>
      <c r="BD245" s="67">
        <f t="shared" si="135"/>
        <v>67.584173015482932</v>
      </c>
      <c r="BE245" s="67">
        <f t="shared" si="135"/>
        <v>67.82095268491183</v>
      </c>
      <c r="BF245" s="67">
        <f t="shared" si="135"/>
        <v>68.316677076826991</v>
      </c>
      <c r="BG245" s="67">
        <f t="shared" si="135"/>
        <v>66.926724797307642</v>
      </c>
      <c r="BH245" s="67">
        <f t="shared" si="135"/>
        <v>19.121921370659326</v>
      </c>
    </row>
    <row r="246" spans="1:60" s="67" customFormat="1" x14ac:dyDescent="0.25">
      <c r="A246" s="67" t="str">
        <f t="shared" ref="A246:E246" si="139">A71</f>
        <v>NASA</v>
      </c>
      <c r="B246" s="67" t="str">
        <f t="shared" si="139"/>
        <v>Aeronautics</v>
      </c>
      <c r="C246" s="67" t="str">
        <f t="shared" si="139"/>
        <v>Aeronautics</v>
      </c>
      <c r="D246" s="67" t="str">
        <f t="shared" si="139"/>
        <v>Steady</v>
      </c>
      <c r="E246" s="67" t="str">
        <f t="shared" si="139"/>
        <v>Program</v>
      </c>
      <c r="F246" s="67" t="s">
        <v>90</v>
      </c>
      <c r="I246" s="67">
        <f t="shared" si="134"/>
        <v>0</v>
      </c>
      <c r="J246" s="67">
        <f t="shared" si="135"/>
        <v>0</v>
      </c>
      <c r="K246" s="67">
        <f t="shared" si="135"/>
        <v>0</v>
      </c>
      <c r="L246" s="67">
        <f t="shared" si="135"/>
        <v>0</v>
      </c>
      <c r="M246" s="67">
        <f t="shared" si="135"/>
        <v>0</v>
      </c>
      <c r="N246" s="67">
        <f t="shared" si="135"/>
        <v>0</v>
      </c>
      <c r="O246" s="67">
        <f t="shared" si="135"/>
        <v>0</v>
      </c>
      <c r="P246" s="67">
        <f t="shared" si="135"/>
        <v>0</v>
      </c>
      <c r="Q246" s="67">
        <f t="shared" si="135"/>
        <v>0</v>
      </c>
      <c r="R246" s="67">
        <f t="shared" si="135"/>
        <v>0</v>
      </c>
      <c r="S246" s="67">
        <f t="shared" si="135"/>
        <v>0</v>
      </c>
      <c r="T246" s="67">
        <f t="shared" si="135"/>
        <v>0</v>
      </c>
      <c r="U246" s="67">
        <f t="shared" si="135"/>
        <v>0</v>
      </c>
      <c r="V246" s="67">
        <f t="shared" si="135"/>
        <v>0</v>
      </c>
      <c r="W246" s="67">
        <f t="shared" si="135"/>
        <v>0</v>
      </c>
      <c r="X246" s="67">
        <f t="shared" si="135"/>
        <v>0</v>
      </c>
      <c r="Y246" s="67">
        <f t="shared" si="135"/>
        <v>0</v>
      </c>
      <c r="Z246" s="67">
        <f t="shared" si="135"/>
        <v>0</v>
      </c>
      <c r="AA246" s="67">
        <f t="shared" si="135"/>
        <v>0</v>
      </c>
      <c r="AB246" s="67">
        <f t="shared" si="135"/>
        <v>0</v>
      </c>
      <c r="AC246" s="67">
        <f t="shared" si="135"/>
        <v>0</v>
      </c>
      <c r="AD246" s="67">
        <f t="shared" si="135"/>
        <v>0</v>
      </c>
      <c r="AE246" s="67">
        <f t="shared" si="135"/>
        <v>0</v>
      </c>
      <c r="AF246" s="67">
        <f t="shared" si="135"/>
        <v>0</v>
      </c>
      <c r="AG246" s="67">
        <f t="shared" si="135"/>
        <v>0</v>
      </c>
      <c r="AH246" s="67">
        <f t="shared" si="135"/>
        <v>776.56796584492497</v>
      </c>
      <c r="AI246" s="67">
        <f t="shared" si="135"/>
        <v>769.79965039666524</v>
      </c>
      <c r="AJ246" s="67">
        <f t="shared" si="135"/>
        <v>854.91130526873178</v>
      </c>
      <c r="AK246" s="67">
        <f t="shared" si="135"/>
        <v>759.60441232407754</v>
      </c>
      <c r="AL246" s="67">
        <f t="shared" si="135"/>
        <v>1033.9740603526402</v>
      </c>
      <c r="AM246" s="67">
        <f t="shared" si="135"/>
        <v>920.72861436303549</v>
      </c>
      <c r="AN246" s="67">
        <f t="shared" si="135"/>
        <v>834.93843864830399</v>
      </c>
      <c r="AO246" s="67">
        <f t="shared" si="135"/>
        <v>674.69605726621967</v>
      </c>
      <c r="AP246" s="67">
        <f t="shared" si="135"/>
        <v>575.1883927567203</v>
      </c>
      <c r="AQ246" s="67">
        <f t="shared" si="135"/>
        <v>557.53791257805528</v>
      </c>
      <c r="AR246" s="67">
        <f t="shared" si="135"/>
        <v>543.28815041539133</v>
      </c>
      <c r="AS246" s="67">
        <f t="shared" si="135"/>
        <v>572.79364397680911</v>
      </c>
      <c r="AT246" s="67">
        <f t="shared" si="135"/>
        <v>600.44289781714645</v>
      </c>
      <c r="AU246" s="67">
        <f t="shared" si="135"/>
        <v>548.36371168185588</v>
      </c>
      <c r="AV246" s="67">
        <f t="shared" si="135"/>
        <v>580.15580155801558</v>
      </c>
      <c r="AW246" s="67">
        <f t="shared" si="135"/>
        <v>652.83709579011588</v>
      </c>
      <c r="AX246" s="67">
        <f t="shared" si="135"/>
        <v>633.79999999999995</v>
      </c>
      <c r="AY246" s="67">
        <f t="shared" si="135"/>
        <v>641.7530815887302</v>
      </c>
      <c r="AZ246" s="67">
        <f t="shared" si="135"/>
        <v>662.76054173470368</v>
      </c>
      <c r="BA246" s="67">
        <f t="shared" si="135"/>
        <v>687.20963307101545</v>
      </c>
      <c r="BB246" s="67">
        <f t="shared" si="135"/>
        <v>718.51512373968831</v>
      </c>
      <c r="BC246" s="67">
        <f t="shared" si="135"/>
        <v>709.9288957423114</v>
      </c>
      <c r="BD246" s="67">
        <f t="shared" si="135"/>
        <v>721.47128696649474</v>
      </c>
      <c r="BE246" s="67">
        <f t="shared" si="135"/>
        <v>746.03047953403006</v>
      </c>
      <c r="BF246" s="67">
        <f t="shared" si="135"/>
        <v>730.0124921923798</v>
      </c>
      <c r="BG246" s="67">
        <f t="shared" si="135"/>
        <v>715.15985926265876</v>
      </c>
      <c r="BH246" s="67">
        <f t="shared" si="135"/>
        <v>450.28300443628581</v>
      </c>
    </row>
    <row r="247" spans="1:60" s="67" customFormat="1" x14ac:dyDescent="0.25">
      <c r="A247" s="67" t="str">
        <f t="shared" ref="A247:E247" si="140">A72</f>
        <v>NASA</v>
      </c>
      <c r="B247" s="67" t="str">
        <f t="shared" si="140"/>
        <v>Space Technology</v>
      </c>
      <c r="C247" s="67" t="str">
        <f t="shared" si="140"/>
        <v>Space Technology</v>
      </c>
      <c r="D247" s="67" t="str">
        <f t="shared" si="140"/>
        <v>Steady</v>
      </c>
      <c r="E247" s="67" t="str">
        <f t="shared" si="140"/>
        <v>Program</v>
      </c>
      <c r="F247" s="67" t="s">
        <v>90</v>
      </c>
      <c r="I247" s="67">
        <f t="shared" si="134"/>
        <v>0</v>
      </c>
      <c r="J247" s="67">
        <f t="shared" si="135"/>
        <v>0</v>
      </c>
      <c r="K247" s="67">
        <f t="shared" si="135"/>
        <v>0</v>
      </c>
      <c r="L247" s="67">
        <f t="shared" si="135"/>
        <v>0</v>
      </c>
      <c r="M247" s="67">
        <f t="shared" si="135"/>
        <v>0</v>
      </c>
      <c r="N247" s="67">
        <f t="shared" si="135"/>
        <v>0</v>
      </c>
      <c r="O247" s="67">
        <f t="shared" si="135"/>
        <v>0</v>
      </c>
      <c r="P247" s="67">
        <f t="shared" si="135"/>
        <v>0</v>
      </c>
      <c r="Q247" s="67">
        <f t="shared" si="135"/>
        <v>0</v>
      </c>
      <c r="R247" s="67">
        <f t="shared" si="135"/>
        <v>0</v>
      </c>
      <c r="S247" s="67">
        <f t="shared" si="135"/>
        <v>0</v>
      </c>
      <c r="T247" s="67">
        <f t="shared" si="135"/>
        <v>0</v>
      </c>
      <c r="U247" s="67">
        <f t="shared" si="135"/>
        <v>0</v>
      </c>
      <c r="V247" s="67">
        <f t="shared" si="135"/>
        <v>0</v>
      </c>
      <c r="W247" s="67">
        <f t="shared" si="135"/>
        <v>0</v>
      </c>
      <c r="X247" s="67">
        <f t="shared" si="135"/>
        <v>0</v>
      </c>
      <c r="Y247" s="67">
        <f t="shared" si="135"/>
        <v>0</v>
      </c>
      <c r="Z247" s="67">
        <f t="shared" si="135"/>
        <v>0</v>
      </c>
      <c r="AA247" s="67">
        <f t="shared" si="135"/>
        <v>0</v>
      </c>
      <c r="AB247" s="67">
        <f t="shared" si="135"/>
        <v>0</v>
      </c>
      <c r="AC247" s="67">
        <f t="shared" si="135"/>
        <v>0</v>
      </c>
      <c r="AD247" s="67">
        <f t="shared" si="135"/>
        <v>0</v>
      </c>
      <c r="AE247" s="67">
        <f t="shared" si="135"/>
        <v>0</v>
      </c>
      <c r="AF247" s="67">
        <f t="shared" si="135"/>
        <v>0</v>
      </c>
      <c r="AG247" s="67">
        <f t="shared" si="135"/>
        <v>0</v>
      </c>
      <c r="AH247" s="67">
        <f t="shared" si="135"/>
        <v>0</v>
      </c>
      <c r="AI247" s="67">
        <f t="shared" si="135"/>
        <v>0</v>
      </c>
      <c r="AJ247" s="67">
        <f t="shared" si="135"/>
        <v>0</v>
      </c>
      <c r="AK247" s="67">
        <f t="shared" si="135"/>
        <v>0</v>
      </c>
      <c r="AL247" s="67">
        <f t="shared" si="135"/>
        <v>0</v>
      </c>
      <c r="AM247" s="67">
        <f t="shared" si="135"/>
        <v>0</v>
      </c>
      <c r="AN247" s="67">
        <f t="shared" ref="J247:BH252" si="141">AN72/AN$175</f>
        <v>0</v>
      </c>
      <c r="AO247" s="67">
        <f t="shared" si="141"/>
        <v>0</v>
      </c>
      <c r="AP247" s="67">
        <f t="shared" si="141"/>
        <v>0</v>
      </c>
      <c r="AQ247" s="67">
        <f t="shared" si="141"/>
        <v>0</v>
      </c>
      <c r="AR247" s="67">
        <f t="shared" si="141"/>
        <v>300.61215566243987</v>
      </c>
      <c r="AS247" s="67">
        <f t="shared" si="141"/>
        <v>489.58557010951256</v>
      </c>
      <c r="AT247" s="67">
        <f t="shared" si="141"/>
        <v>604.97732784983657</v>
      </c>
      <c r="AU247" s="67">
        <f t="shared" si="141"/>
        <v>636.39188069594036</v>
      </c>
      <c r="AV247" s="67">
        <f t="shared" si="141"/>
        <v>590.40590405904061</v>
      </c>
      <c r="AW247" s="67">
        <f t="shared" si="141"/>
        <v>610.43319097010362</v>
      </c>
      <c r="AX247" s="67">
        <f t="shared" si="141"/>
        <v>686.4</v>
      </c>
      <c r="AY247" s="67">
        <f t="shared" si="141"/>
        <v>808.55018587360598</v>
      </c>
      <c r="AZ247" s="67">
        <f t="shared" si="141"/>
        <v>729.99711843242733</v>
      </c>
      <c r="BA247" s="67">
        <f t="shared" si="141"/>
        <v>878.82810277804117</v>
      </c>
      <c r="BB247" s="67">
        <f t="shared" si="141"/>
        <v>1008.2493125572869</v>
      </c>
      <c r="BC247" s="67">
        <f t="shared" si="141"/>
        <v>942.34558382592309</v>
      </c>
      <c r="BD247" s="67">
        <f t="shared" si="141"/>
        <v>901.12230687310569</v>
      </c>
      <c r="BE247" s="67">
        <f t="shared" si="141"/>
        <v>957.47227319875526</v>
      </c>
      <c r="BF247" s="67">
        <f t="shared" si="141"/>
        <v>858.83822610868208</v>
      </c>
      <c r="BG247" s="67">
        <f t="shared" si="141"/>
        <v>841.36454030901029</v>
      </c>
      <c r="BH247" s="67">
        <f t="shared" si="141"/>
        <v>435.13844271072361</v>
      </c>
    </row>
    <row r="248" spans="1:60" s="67" customFormat="1" x14ac:dyDescent="0.25">
      <c r="A248" s="67" t="str">
        <f t="shared" ref="A248:E248" si="142">A73</f>
        <v>NASA</v>
      </c>
      <c r="B248" s="67" t="str">
        <f t="shared" si="142"/>
        <v>Exploration</v>
      </c>
      <c r="C248" s="67" t="str">
        <f t="shared" si="142"/>
        <v>Exploration</v>
      </c>
      <c r="D248" s="67" t="str">
        <f t="shared" si="142"/>
        <v>Steady</v>
      </c>
      <c r="E248" s="67" t="str">
        <f t="shared" si="142"/>
        <v>Program</v>
      </c>
      <c r="F248" s="67" t="s">
        <v>90</v>
      </c>
      <c r="I248" s="67">
        <f t="shared" si="134"/>
        <v>0</v>
      </c>
      <c r="J248" s="67">
        <f t="shared" si="141"/>
        <v>0</v>
      </c>
      <c r="K248" s="67">
        <f t="shared" si="141"/>
        <v>0</v>
      </c>
      <c r="L248" s="67">
        <f t="shared" si="141"/>
        <v>0</v>
      </c>
      <c r="M248" s="67">
        <f t="shared" si="141"/>
        <v>0</v>
      </c>
      <c r="N248" s="67">
        <f t="shared" si="141"/>
        <v>0</v>
      </c>
      <c r="O248" s="67">
        <f t="shared" si="141"/>
        <v>0</v>
      </c>
      <c r="P248" s="67">
        <f t="shared" si="141"/>
        <v>0</v>
      </c>
      <c r="Q248" s="67">
        <f t="shared" si="141"/>
        <v>0</v>
      </c>
      <c r="R248" s="67">
        <f t="shared" si="141"/>
        <v>0</v>
      </c>
      <c r="S248" s="67">
        <f t="shared" si="141"/>
        <v>0</v>
      </c>
      <c r="T248" s="67">
        <f t="shared" si="141"/>
        <v>0</v>
      </c>
      <c r="U248" s="67">
        <f t="shared" si="141"/>
        <v>0</v>
      </c>
      <c r="V248" s="67">
        <f t="shared" si="141"/>
        <v>0</v>
      </c>
      <c r="W248" s="67">
        <f t="shared" si="141"/>
        <v>0</v>
      </c>
      <c r="X248" s="67">
        <f t="shared" si="141"/>
        <v>0</v>
      </c>
      <c r="Y248" s="67">
        <f t="shared" si="141"/>
        <v>0</v>
      </c>
      <c r="Z248" s="67">
        <f t="shared" si="141"/>
        <v>0</v>
      </c>
      <c r="AA248" s="67">
        <f t="shared" si="141"/>
        <v>0</v>
      </c>
      <c r="AB248" s="67">
        <f t="shared" si="141"/>
        <v>0</v>
      </c>
      <c r="AC248" s="67">
        <f t="shared" si="141"/>
        <v>0</v>
      </c>
      <c r="AD248" s="67">
        <f t="shared" si="141"/>
        <v>0</v>
      </c>
      <c r="AE248" s="67">
        <f t="shared" si="141"/>
        <v>0</v>
      </c>
      <c r="AF248" s="67">
        <f t="shared" si="141"/>
        <v>0</v>
      </c>
      <c r="AG248" s="67">
        <f t="shared" si="141"/>
        <v>0</v>
      </c>
      <c r="AH248" s="67">
        <f t="shared" si="141"/>
        <v>1694.847817105082</v>
      </c>
      <c r="AI248" s="67">
        <f t="shared" si="141"/>
        <v>2117.789431222267</v>
      </c>
      <c r="AJ248" s="67">
        <f t="shared" si="141"/>
        <v>2140.9849086576651</v>
      </c>
      <c r="AK248" s="67">
        <f t="shared" si="141"/>
        <v>2486.6235577532648</v>
      </c>
      <c r="AL248" s="67">
        <f t="shared" si="141"/>
        <v>2734.1412865778325</v>
      </c>
      <c r="AM248" s="67">
        <f t="shared" si="141"/>
        <v>2114.5173884742771</v>
      </c>
      <c r="AN248" s="67">
        <f t="shared" si="141"/>
        <v>2851.1483785503715</v>
      </c>
      <c r="AO248" s="67">
        <f t="shared" si="141"/>
        <v>3260.7658220656745</v>
      </c>
      <c r="AP248" s="67">
        <f t="shared" si="141"/>
        <v>3710.9436508829153</v>
      </c>
      <c r="AQ248" s="67">
        <f t="shared" si="141"/>
        <v>3908.8983050847455</v>
      </c>
      <c r="AR248" s="67">
        <f t="shared" si="141"/>
        <v>3963.4892872759078</v>
      </c>
      <c r="AS248" s="67">
        <f t="shared" si="141"/>
        <v>4102.6411853124328</v>
      </c>
      <c r="AT248" s="67">
        <f t="shared" si="141"/>
        <v>3908.9950437625225</v>
      </c>
      <c r="AU248" s="67">
        <f t="shared" si="141"/>
        <v>3837.5103562551776</v>
      </c>
      <c r="AV248" s="67">
        <f t="shared" si="141"/>
        <v>4216.0721607216074</v>
      </c>
      <c r="AW248" s="67">
        <f t="shared" si="141"/>
        <v>3602.6032133414683</v>
      </c>
      <c r="AX248" s="67">
        <f t="shared" si="141"/>
        <v>3996.2000000000003</v>
      </c>
      <c r="AY248" s="67">
        <f t="shared" si="141"/>
        <v>4093.1324594012913</v>
      </c>
      <c r="AZ248" s="67">
        <f t="shared" si="141"/>
        <v>4600.9028911727983</v>
      </c>
      <c r="BA248" s="67">
        <f t="shared" si="141"/>
        <v>3874.8459277519678</v>
      </c>
      <c r="BB248" s="67">
        <f t="shared" si="141"/>
        <v>4136.3886342804772</v>
      </c>
      <c r="BC248" s="67">
        <f t="shared" si="141"/>
        <v>5320.6545018418565</v>
      </c>
      <c r="BD248" s="67">
        <f t="shared" si="141"/>
        <v>5410.2564102564102</v>
      </c>
      <c r="BE248" s="67">
        <f t="shared" si="141"/>
        <v>6079.151041251097</v>
      </c>
      <c r="BF248" s="67">
        <f t="shared" si="141"/>
        <v>5985.4778263585258</v>
      </c>
      <c r="BG248" s="67">
        <f t="shared" si="141"/>
        <v>5863.6989444699402</v>
      </c>
      <c r="BH248" s="67">
        <f t="shared" si="141"/>
        <v>6358.3448064861559</v>
      </c>
    </row>
    <row r="249" spans="1:60" s="67" customFormat="1" x14ac:dyDescent="0.25">
      <c r="A249" s="67" t="str">
        <f t="shared" ref="A249:E249" si="143">A74</f>
        <v>NASA</v>
      </c>
      <c r="B249" s="67" t="str">
        <f t="shared" si="143"/>
        <v xml:space="preserve">Space Ops </v>
      </c>
      <c r="C249" s="67" t="str">
        <f t="shared" si="143"/>
        <v xml:space="preserve">Space Ops </v>
      </c>
      <c r="D249" s="67" t="str">
        <f t="shared" si="143"/>
        <v>Steady</v>
      </c>
      <c r="E249" s="67" t="str">
        <f t="shared" si="143"/>
        <v>Program</v>
      </c>
      <c r="F249" s="67" t="s">
        <v>90</v>
      </c>
      <c r="I249" s="67">
        <f t="shared" si="134"/>
        <v>0</v>
      </c>
      <c r="J249" s="67">
        <f t="shared" si="141"/>
        <v>0</v>
      </c>
      <c r="K249" s="67">
        <f t="shared" si="141"/>
        <v>0</v>
      </c>
      <c r="L249" s="67">
        <f t="shared" si="141"/>
        <v>0</v>
      </c>
      <c r="M249" s="67">
        <f t="shared" si="141"/>
        <v>0</v>
      </c>
      <c r="N249" s="67">
        <f t="shared" si="141"/>
        <v>0</v>
      </c>
      <c r="O249" s="67">
        <f t="shared" si="141"/>
        <v>0</v>
      </c>
      <c r="P249" s="67">
        <f t="shared" si="141"/>
        <v>0</v>
      </c>
      <c r="Q249" s="67">
        <f t="shared" si="141"/>
        <v>0</v>
      </c>
      <c r="R249" s="67">
        <f t="shared" si="141"/>
        <v>0</v>
      </c>
      <c r="S249" s="67">
        <f t="shared" si="141"/>
        <v>0</v>
      </c>
      <c r="T249" s="67">
        <f t="shared" si="141"/>
        <v>0</v>
      </c>
      <c r="U249" s="67">
        <f t="shared" si="141"/>
        <v>0</v>
      </c>
      <c r="V249" s="67">
        <f t="shared" si="141"/>
        <v>0</v>
      </c>
      <c r="W249" s="67">
        <f t="shared" si="141"/>
        <v>0</v>
      </c>
      <c r="X249" s="67">
        <f t="shared" si="141"/>
        <v>0</v>
      </c>
      <c r="Y249" s="67">
        <f t="shared" si="141"/>
        <v>0</v>
      </c>
      <c r="Z249" s="67">
        <f t="shared" si="141"/>
        <v>0</v>
      </c>
      <c r="AA249" s="67">
        <f t="shared" si="141"/>
        <v>0</v>
      </c>
      <c r="AB249" s="67">
        <f t="shared" si="141"/>
        <v>0</v>
      </c>
      <c r="AC249" s="67">
        <f t="shared" si="141"/>
        <v>0</v>
      </c>
      <c r="AD249" s="67">
        <f t="shared" si="141"/>
        <v>0</v>
      </c>
      <c r="AE249" s="67">
        <f t="shared" si="141"/>
        <v>0</v>
      </c>
      <c r="AF249" s="67">
        <f t="shared" si="141"/>
        <v>0</v>
      </c>
      <c r="AG249" s="67">
        <f t="shared" si="141"/>
        <v>0</v>
      </c>
      <c r="AH249" s="67">
        <f t="shared" si="141"/>
        <v>0</v>
      </c>
      <c r="AI249" s="67">
        <f t="shared" si="141"/>
        <v>0</v>
      </c>
      <c r="AJ249" s="67">
        <f t="shared" si="141"/>
        <v>0</v>
      </c>
      <c r="AK249" s="67">
        <f t="shared" si="141"/>
        <v>6486.6235577532652</v>
      </c>
      <c r="AL249" s="67">
        <f t="shared" si="141"/>
        <v>5762.8790810778646</v>
      </c>
      <c r="AM249" s="67">
        <f t="shared" si="141"/>
        <v>6809.1805135388549</v>
      </c>
      <c r="AN249" s="67">
        <f t="shared" si="141"/>
        <v>6454.3209105854721</v>
      </c>
      <c r="AO249" s="67">
        <f t="shared" si="141"/>
        <v>5810.1352119077374</v>
      </c>
      <c r="AP249" s="67">
        <f t="shared" si="141"/>
        <v>6104.1502643122258</v>
      </c>
      <c r="AQ249" s="67">
        <f t="shared" si="141"/>
        <v>6428.0776092774304</v>
      </c>
      <c r="AR249" s="67">
        <f t="shared" si="141"/>
        <v>6713.817227809358</v>
      </c>
      <c r="AS249" s="67">
        <f t="shared" si="141"/>
        <v>5525.3382005582998</v>
      </c>
      <c r="AT249" s="67">
        <f t="shared" si="141"/>
        <v>4412.10587366867</v>
      </c>
      <c r="AU249" s="67">
        <f t="shared" si="141"/>
        <v>3857.6014913007461</v>
      </c>
      <c r="AV249" s="67">
        <f t="shared" si="141"/>
        <v>3868.3886838868389</v>
      </c>
      <c r="AW249" s="67">
        <f t="shared" si="141"/>
        <v>4703.5794183445187</v>
      </c>
      <c r="AX249" s="67">
        <f t="shared" si="141"/>
        <v>5032.3</v>
      </c>
      <c r="AY249" s="67">
        <f t="shared" si="141"/>
        <v>4835.159459988261</v>
      </c>
      <c r="AZ249" s="67">
        <f t="shared" si="141"/>
        <v>4561.6175199308427</v>
      </c>
      <c r="BA249" s="67">
        <f t="shared" si="141"/>
        <v>4399.7345216649283</v>
      </c>
      <c r="BB249" s="67">
        <f t="shared" si="141"/>
        <v>3789.8258478460129</v>
      </c>
      <c r="BC249" s="67">
        <f t="shared" si="141"/>
        <v>3514.0066820868669</v>
      </c>
      <c r="BD249" s="67">
        <f t="shared" si="141"/>
        <v>3256.2464159908254</v>
      </c>
      <c r="BE249" s="67">
        <f t="shared" si="141"/>
        <v>3404.6118247825739</v>
      </c>
      <c r="BF249" s="67">
        <f t="shared" si="141"/>
        <v>3294.8157401623985</v>
      </c>
      <c r="BG249" s="67">
        <f t="shared" si="141"/>
        <v>3227.7803273672939</v>
      </c>
      <c r="BH249" s="67">
        <f t="shared" si="141"/>
        <v>2395.5178216307177</v>
      </c>
    </row>
    <row r="250" spans="1:60" s="67" customFormat="1" x14ac:dyDescent="0.25">
      <c r="A250" s="67" t="str">
        <f t="shared" ref="A250:E250" si="144">A75</f>
        <v>NASA</v>
      </c>
      <c r="B250" s="67" t="str">
        <f t="shared" si="144"/>
        <v>Support and Construction</v>
      </c>
      <c r="C250" s="67" t="str">
        <f t="shared" si="144"/>
        <v>Support and Construction</v>
      </c>
      <c r="D250" s="67" t="str">
        <f t="shared" si="144"/>
        <v>Steady</v>
      </c>
      <c r="E250" s="67" t="str">
        <f t="shared" si="144"/>
        <v>Program</v>
      </c>
      <c r="F250" s="67" t="s">
        <v>90</v>
      </c>
      <c r="I250" s="67">
        <f t="shared" si="134"/>
        <v>0</v>
      </c>
      <c r="J250" s="67">
        <f t="shared" si="141"/>
        <v>0</v>
      </c>
      <c r="K250" s="67">
        <f t="shared" si="141"/>
        <v>0</v>
      </c>
      <c r="L250" s="67">
        <f t="shared" si="141"/>
        <v>0</v>
      </c>
      <c r="M250" s="67">
        <f t="shared" si="141"/>
        <v>0</v>
      </c>
      <c r="N250" s="67">
        <f t="shared" si="141"/>
        <v>0</v>
      </c>
      <c r="O250" s="67">
        <f t="shared" si="141"/>
        <v>0</v>
      </c>
      <c r="P250" s="67">
        <f t="shared" si="141"/>
        <v>0</v>
      </c>
      <c r="Q250" s="67">
        <f t="shared" si="141"/>
        <v>0</v>
      </c>
      <c r="R250" s="67">
        <f t="shared" si="141"/>
        <v>0</v>
      </c>
      <c r="S250" s="67">
        <f t="shared" si="141"/>
        <v>0</v>
      </c>
      <c r="T250" s="67">
        <f t="shared" si="141"/>
        <v>0</v>
      </c>
      <c r="U250" s="67">
        <f t="shared" si="141"/>
        <v>0</v>
      </c>
      <c r="V250" s="67">
        <f t="shared" si="141"/>
        <v>0</v>
      </c>
      <c r="W250" s="67">
        <f t="shared" si="141"/>
        <v>0</v>
      </c>
      <c r="X250" s="67">
        <f t="shared" si="141"/>
        <v>0</v>
      </c>
      <c r="Y250" s="67">
        <f t="shared" si="141"/>
        <v>0</v>
      </c>
      <c r="Z250" s="67">
        <f t="shared" si="141"/>
        <v>0</v>
      </c>
      <c r="AA250" s="67">
        <f t="shared" si="141"/>
        <v>0</v>
      </c>
      <c r="AB250" s="67">
        <f t="shared" si="141"/>
        <v>0</v>
      </c>
      <c r="AC250" s="67">
        <f t="shared" si="141"/>
        <v>0</v>
      </c>
      <c r="AD250" s="67">
        <f t="shared" si="141"/>
        <v>0</v>
      </c>
      <c r="AE250" s="67">
        <f t="shared" si="141"/>
        <v>0</v>
      </c>
      <c r="AF250" s="67">
        <f t="shared" si="141"/>
        <v>0</v>
      </c>
      <c r="AG250" s="67">
        <f t="shared" si="141"/>
        <v>0</v>
      </c>
      <c r="AH250" s="67">
        <f t="shared" si="141"/>
        <v>0</v>
      </c>
      <c r="AI250" s="67">
        <f t="shared" si="141"/>
        <v>0</v>
      </c>
      <c r="AJ250" s="67">
        <f t="shared" si="141"/>
        <v>0</v>
      </c>
      <c r="AK250" s="67">
        <f t="shared" si="141"/>
        <v>3803.6008621782676</v>
      </c>
      <c r="AL250" s="67">
        <f t="shared" si="141"/>
        <v>3866.986587916821</v>
      </c>
      <c r="AM250" s="67">
        <f t="shared" si="141"/>
        <v>3941.6040996305569</v>
      </c>
      <c r="AN250" s="67">
        <f t="shared" si="141"/>
        <v>4052.655996288564</v>
      </c>
      <c r="AO250" s="67">
        <f t="shared" si="141"/>
        <v>3351.7782070219296</v>
      </c>
      <c r="AP250" s="67">
        <f t="shared" si="141"/>
        <v>3656.9564728377013</v>
      </c>
      <c r="AQ250" s="67">
        <f t="shared" si="141"/>
        <v>3742.6404995539697</v>
      </c>
      <c r="AR250" s="67">
        <f t="shared" si="141"/>
        <v>3793.6160909488417</v>
      </c>
      <c r="AS250" s="67">
        <f t="shared" si="141"/>
        <v>3638.9306420442344</v>
      </c>
      <c r="AT250" s="67">
        <f t="shared" si="141"/>
        <v>3678.5827269851311</v>
      </c>
      <c r="AU250" s="67">
        <f t="shared" si="141"/>
        <v>3477.1126760563379</v>
      </c>
      <c r="AV250" s="67">
        <f t="shared" si="141"/>
        <v>3397.9089790897906</v>
      </c>
      <c r="AW250" s="67">
        <f t="shared" si="141"/>
        <v>3254.7284929835264</v>
      </c>
      <c r="AX250" s="67">
        <f t="shared" si="141"/>
        <v>3199.7999999999997</v>
      </c>
      <c r="AY250" s="67">
        <f t="shared" si="141"/>
        <v>3075.9146937976911</v>
      </c>
      <c r="AZ250" s="67">
        <f t="shared" si="141"/>
        <v>3262.3187013735474</v>
      </c>
      <c r="BA250" s="67">
        <f t="shared" si="141"/>
        <v>2965.0137479852092</v>
      </c>
      <c r="BB250" s="67">
        <f t="shared" si="141"/>
        <v>3078.9184234647119</v>
      </c>
      <c r="BC250" s="67">
        <f t="shared" si="141"/>
        <v>2882.7208087038466</v>
      </c>
      <c r="BD250" s="67">
        <f t="shared" si="141"/>
        <v>2815.9252887687394</v>
      </c>
      <c r="BE250" s="67">
        <f t="shared" si="141"/>
        <v>2984.481768132131</v>
      </c>
      <c r="BF250" s="67">
        <f t="shared" si="141"/>
        <v>2677.2329793878826</v>
      </c>
      <c r="BG250" s="67">
        <f t="shared" si="141"/>
        <v>2594.7124063025858</v>
      </c>
      <c r="BH250" s="67">
        <f t="shared" si="141"/>
        <v>1728.1627657947072</v>
      </c>
    </row>
    <row r="251" spans="1:60" s="67" customFormat="1" x14ac:dyDescent="0.25">
      <c r="A251" s="67" t="str">
        <f t="shared" ref="A251:E251" si="145">A76</f>
        <v>NASA</v>
      </c>
      <c r="B251" s="67" t="str">
        <f t="shared" si="145"/>
        <v>STEM Engagement</v>
      </c>
      <c r="C251" s="67" t="str">
        <f t="shared" si="145"/>
        <v>STEM Engagement</v>
      </c>
      <c r="D251" s="67" t="str">
        <f t="shared" si="145"/>
        <v>Steady</v>
      </c>
      <c r="E251" s="67" t="str">
        <f t="shared" si="145"/>
        <v>Program</v>
      </c>
      <c r="F251" s="67" t="s">
        <v>90</v>
      </c>
      <c r="I251" s="67">
        <f t="shared" si="134"/>
        <v>0</v>
      </c>
      <c r="J251" s="67">
        <f t="shared" si="141"/>
        <v>0</v>
      </c>
      <c r="K251" s="67">
        <f t="shared" si="141"/>
        <v>0</v>
      </c>
      <c r="L251" s="67">
        <f t="shared" si="141"/>
        <v>0</v>
      </c>
      <c r="M251" s="67">
        <f t="shared" si="141"/>
        <v>0</v>
      </c>
      <c r="N251" s="67">
        <f t="shared" si="141"/>
        <v>0</v>
      </c>
      <c r="O251" s="67">
        <f t="shared" si="141"/>
        <v>0</v>
      </c>
      <c r="P251" s="67">
        <f t="shared" si="141"/>
        <v>0</v>
      </c>
      <c r="Q251" s="67">
        <f t="shared" si="141"/>
        <v>0</v>
      </c>
      <c r="R251" s="67">
        <f t="shared" si="141"/>
        <v>0</v>
      </c>
      <c r="S251" s="67">
        <f t="shared" si="141"/>
        <v>0</v>
      </c>
      <c r="T251" s="67">
        <f t="shared" si="141"/>
        <v>0</v>
      </c>
      <c r="U251" s="67">
        <f t="shared" si="141"/>
        <v>0</v>
      </c>
      <c r="V251" s="67">
        <f t="shared" si="141"/>
        <v>0</v>
      </c>
      <c r="W251" s="67">
        <f t="shared" si="141"/>
        <v>0</v>
      </c>
      <c r="X251" s="67">
        <f t="shared" si="141"/>
        <v>0</v>
      </c>
      <c r="Y251" s="67">
        <f t="shared" si="141"/>
        <v>0</v>
      </c>
      <c r="Z251" s="67">
        <f t="shared" si="141"/>
        <v>0</v>
      </c>
      <c r="AA251" s="67">
        <f t="shared" si="141"/>
        <v>0</v>
      </c>
      <c r="AB251" s="67">
        <f t="shared" si="141"/>
        <v>130.47459179001984</v>
      </c>
      <c r="AC251" s="67">
        <f t="shared" si="141"/>
        <v>152.71966527196653</v>
      </c>
      <c r="AD251" s="67">
        <f t="shared" si="141"/>
        <v>161.19096509240248</v>
      </c>
      <c r="AE251" s="67">
        <f t="shared" si="141"/>
        <v>173.51203343421244</v>
      </c>
      <c r="AF251" s="67">
        <f t="shared" si="141"/>
        <v>185.02704241389125</v>
      </c>
      <c r="AG251" s="67">
        <f t="shared" si="141"/>
        <v>194.71390411921831</v>
      </c>
      <c r="AH251" s="67">
        <f t="shared" si="141"/>
        <v>191.15824266629943</v>
      </c>
      <c r="AI251" s="67">
        <f t="shared" si="141"/>
        <v>178.43216350679035</v>
      </c>
      <c r="AJ251" s="67">
        <f t="shared" si="141"/>
        <v>300.9001853322743</v>
      </c>
      <c r="AK251" s="67">
        <f t="shared" si="141"/>
        <v>251.80677063522253</v>
      </c>
      <c r="AL251" s="67">
        <f t="shared" si="141"/>
        <v>283.49944629014396</v>
      </c>
      <c r="AM251" s="67">
        <f t="shared" si="141"/>
        <v>213.20462400190684</v>
      </c>
      <c r="AN251" s="67">
        <f t="shared" si="141"/>
        <v>188.35536998376247</v>
      </c>
      <c r="AO251" s="67">
        <f t="shared" si="141"/>
        <v>131.68958072946256</v>
      </c>
      <c r="AP251" s="67">
        <f t="shared" si="141"/>
        <v>165.11078618828029</v>
      </c>
      <c r="AQ251" s="67">
        <f t="shared" si="141"/>
        <v>188.6708296164139</v>
      </c>
      <c r="AR251" s="67">
        <f t="shared" si="141"/>
        <v>196.87363358111062</v>
      </c>
      <c r="AS251" s="67">
        <f t="shared" si="141"/>
        <v>156.1090831007086</v>
      </c>
      <c r="AT251" s="67">
        <f t="shared" si="141"/>
        <v>143.5199831277022</v>
      </c>
      <c r="AU251" s="67">
        <f t="shared" si="141"/>
        <v>120.44324772162386</v>
      </c>
      <c r="AV251" s="67">
        <f t="shared" si="141"/>
        <v>119.51619516195161</v>
      </c>
      <c r="AW251" s="67">
        <f t="shared" si="141"/>
        <v>121.00874516981899</v>
      </c>
      <c r="AX251" s="67">
        <f t="shared" si="141"/>
        <v>115</v>
      </c>
      <c r="AY251" s="67">
        <f t="shared" si="141"/>
        <v>97.828213656818633</v>
      </c>
      <c r="AZ251" s="67">
        <f t="shared" si="141"/>
        <v>96.052252425319381</v>
      </c>
      <c r="BA251" s="67">
        <f t="shared" si="141"/>
        <v>104.29506020669385</v>
      </c>
      <c r="BB251" s="67">
        <f t="shared" si="141"/>
        <v>109.99083409715857</v>
      </c>
      <c r="BC251" s="67">
        <f t="shared" si="141"/>
        <v>108.79808104172021</v>
      </c>
      <c r="BD251" s="67">
        <f t="shared" si="141"/>
        <v>112.23068731055953</v>
      </c>
      <c r="BE251" s="67">
        <f t="shared" si="141"/>
        <v>114.49772600335115</v>
      </c>
      <c r="BF251" s="67">
        <f t="shared" si="141"/>
        <v>111.64896939412867</v>
      </c>
      <c r="BG251" s="67">
        <f t="shared" si="141"/>
        <v>109.37739024017134</v>
      </c>
      <c r="BH251" s="67">
        <f t="shared" si="141"/>
        <v>0</v>
      </c>
    </row>
    <row r="252" spans="1:60" s="67" customFormat="1" x14ac:dyDescent="0.25">
      <c r="A252" s="67" t="str">
        <f t="shared" ref="A252:E252" si="146">A77</f>
        <v>NASA</v>
      </c>
      <c r="B252" s="67" t="str">
        <f t="shared" si="146"/>
        <v>OIG</v>
      </c>
      <c r="C252" s="67" t="str">
        <f t="shared" si="146"/>
        <v>OIG</v>
      </c>
      <c r="D252" s="67" t="str">
        <f t="shared" si="146"/>
        <v>Steady</v>
      </c>
      <c r="E252" s="67" t="str">
        <f t="shared" si="146"/>
        <v>Program</v>
      </c>
      <c r="F252" s="67" t="s">
        <v>90</v>
      </c>
      <c r="H252" s="67" t="str">
        <f t="shared" ref="H252:H305" si="147">H77</f>
        <v>Office of the Inspector General</v>
      </c>
      <c r="I252" s="67">
        <f t="shared" si="134"/>
        <v>0</v>
      </c>
      <c r="J252" s="67">
        <f t="shared" si="141"/>
        <v>0</v>
      </c>
      <c r="K252" s="67">
        <f t="shared" si="141"/>
        <v>0</v>
      </c>
      <c r="L252" s="67">
        <f t="shared" si="141"/>
        <v>0</v>
      </c>
      <c r="M252" s="67">
        <f t="shared" si="141"/>
        <v>0</v>
      </c>
      <c r="N252" s="67">
        <f t="shared" si="141"/>
        <v>0</v>
      </c>
      <c r="O252" s="67">
        <f t="shared" si="141"/>
        <v>0</v>
      </c>
      <c r="P252" s="67">
        <f t="shared" si="141"/>
        <v>0</v>
      </c>
      <c r="Q252" s="67">
        <f t="shared" si="141"/>
        <v>0</v>
      </c>
      <c r="R252" s="67">
        <f t="shared" si="141"/>
        <v>0</v>
      </c>
      <c r="S252" s="67">
        <f t="shared" si="141"/>
        <v>0</v>
      </c>
      <c r="T252" s="67">
        <f t="shared" si="141"/>
        <v>0</v>
      </c>
      <c r="U252" s="67">
        <f t="shared" si="141"/>
        <v>0</v>
      </c>
      <c r="V252" s="67">
        <f t="shared" si="141"/>
        <v>0</v>
      </c>
      <c r="W252" s="67">
        <f t="shared" si="141"/>
        <v>0</v>
      </c>
      <c r="X252" s="67">
        <f t="shared" si="141"/>
        <v>0</v>
      </c>
      <c r="Y252" s="67">
        <f t="shared" si="141"/>
        <v>0</v>
      </c>
      <c r="Z252" s="67">
        <f t="shared" si="141"/>
        <v>0</v>
      </c>
      <c r="AA252" s="67">
        <f t="shared" si="141"/>
        <v>0</v>
      </c>
      <c r="AB252" s="67">
        <f t="shared" si="141"/>
        <v>22.432473676178848</v>
      </c>
      <c r="AC252" s="67">
        <f t="shared" si="141"/>
        <v>23.909145248057381</v>
      </c>
      <c r="AD252" s="67">
        <f t="shared" si="141"/>
        <v>23.320621883250222</v>
      </c>
      <c r="AE252" s="67">
        <f t="shared" si="141"/>
        <v>24.210981409424992</v>
      </c>
      <c r="AF252" s="67">
        <f t="shared" si="141"/>
        <v>26.046114432109309</v>
      </c>
      <c r="AG252" s="67">
        <f t="shared" si="141"/>
        <v>28.11753128075355</v>
      </c>
      <c r="AH252" s="67">
        <f t="shared" si="141"/>
        <v>27.544415369780253</v>
      </c>
      <c r="AI252" s="67">
        <f t="shared" si="141"/>
        <v>30.79198601586895</v>
      </c>
      <c r="AJ252" s="67">
        <f t="shared" si="141"/>
        <v>31.374106433678712</v>
      </c>
      <c r="AK252" s="67">
        <f t="shared" si="141"/>
        <v>31.697730442500788</v>
      </c>
      <c r="AL252" s="67">
        <f t="shared" si="141"/>
        <v>33.345637996802459</v>
      </c>
      <c r="AM252" s="67">
        <f t="shared" si="141"/>
        <v>37.301871052316109</v>
      </c>
      <c r="AN252" s="67">
        <f t="shared" ref="J252:BH257" si="148">AN77/AN$175</f>
        <v>37.114358617492876</v>
      </c>
      <c r="AO252" s="67">
        <f t="shared" si="148"/>
        <v>36.586751505510627</v>
      </c>
      <c r="AP252" s="67">
        <f t="shared" si="148"/>
        <v>36.666291755708109</v>
      </c>
      <c r="AQ252" s="67">
        <f t="shared" si="148"/>
        <v>37.466547725247054</v>
      </c>
      <c r="AR252" s="67">
        <f t="shared" si="148"/>
        <v>40.008745080893299</v>
      </c>
      <c r="AS252" s="67">
        <f t="shared" si="148"/>
        <v>39.295683916682599</v>
      </c>
      <c r="AT252" s="67">
        <f t="shared" si="148"/>
        <v>40.388062849308433</v>
      </c>
      <c r="AU252" s="67">
        <f t="shared" si="148"/>
        <v>36.557580778790388</v>
      </c>
      <c r="AV252" s="67">
        <f t="shared" si="148"/>
        <v>38.437884378845098</v>
      </c>
      <c r="AW252" s="67">
        <f t="shared" si="148"/>
        <v>37.624567825910106</v>
      </c>
      <c r="AX252" s="67">
        <f t="shared" si="148"/>
        <v>37.400000000005548</v>
      </c>
      <c r="AY252" s="67">
        <f t="shared" si="148"/>
        <v>37.076892975933013</v>
      </c>
      <c r="AZ252" s="67">
        <f t="shared" si="148"/>
        <v>37.460378445877616</v>
      </c>
      <c r="BA252" s="67">
        <f t="shared" si="148"/>
        <v>37.261780601118801</v>
      </c>
      <c r="BB252" s="67">
        <f t="shared" si="148"/>
        <v>40.51329055912008</v>
      </c>
      <c r="BC252" s="67">
        <f t="shared" si="148"/>
        <v>37.86515891373255</v>
      </c>
      <c r="BD252" s="67">
        <f t="shared" si="148"/>
        <v>37.109855001228802</v>
      </c>
      <c r="BE252" s="67">
        <f t="shared" si="148"/>
        <v>37.979733503550626</v>
      </c>
      <c r="BF252" s="67">
        <f t="shared" si="148"/>
        <v>37.164272329793882</v>
      </c>
      <c r="BG252" s="67">
        <f t="shared" si="148"/>
        <v>36.408138289735355</v>
      </c>
      <c r="BH252" s="67">
        <f t="shared" si="148"/>
        <v>31.130487991433384</v>
      </c>
    </row>
    <row r="253" spans="1:60" s="67" customFormat="1" x14ac:dyDescent="0.25">
      <c r="A253" s="67" t="str">
        <f t="shared" ref="A253:E253" si="149">A78</f>
        <v>NASA</v>
      </c>
      <c r="B253" s="67" t="str">
        <f t="shared" si="149"/>
        <v>NASA</v>
      </c>
      <c r="C253" s="67" t="str">
        <f t="shared" si="149"/>
        <v>NASA</v>
      </c>
      <c r="D253" s="67" t="str">
        <f t="shared" si="149"/>
        <v>Steady</v>
      </c>
      <c r="E253" s="67" t="str">
        <f t="shared" si="149"/>
        <v>Total</v>
      </c>
      <c r="F253" s="67" t="s">
        <v>90</v>
      </c>
      <c r="H253" s="67" t="str">
        <f t="shared" si="147"/>
        <v>National Aeronautics and Space Administration</v>
      </c>
      <c r="I253" s="67">
        <f t="shared" si="134"/>
        <v>12157.454410122815</v>
      </c>
      <c r="J253" s="67">
        <f t="shared" si="148"/>
        <v>12766.256089074461</v>
      </c>
      <c r="K253" s="67">
        <f t="shared" si="148"/>
        <v>12478.507462686568</v>
      </c>
      <c r="L253" s="67">
        <f t="shared" si="148"/>
        <v>12354.654910307083</v>
      </c>
      <c r="M253" s="67">
        <f t="shared" si="148"/>
        <v>12823.628691983124</v>
      </c>
      <c r="N253" s="67">
        <f t="shared" si="148"/>
        <v>13565.847347994824</v>
      </c>
      <c r="O253" s="67">
        <f t="shared" si="148"/>
        <v>13012.252591894438</v>
      </c>
      <c r="P253" s="67">
        <f t="shared" si="148"/>
        <v>13177.792465300725</v>
      </c>
      <c r="Q253" s="67">
        <f t="shared" si="148"/>
        <v>14374.498627823516</v>
      </c>
      <c r="R253" s="67">
        <f t="shared" si="148"/>
        <v>14735.072345628692</v>
      </c>
      <c r="S253" s="67">
        <f t="shared" si="148"/>
        <v>14889.962532044961</v>
      </c>
      <c r="T253" s="67">
        <f t="shared" si="148"/>
        <v>14974.349083895855</v>
      </c>
      <c r="U253" s="67">
        <f t="shared" si="148"/>
        <v>20514.997170345217</v>
      </c>
      <c r="V253" s="67">
        <f t="shared" si="148"/>
        <v>16447.286680065779</v>
      </c>
      <c r="W253" s="67">
        <f t="shared" si="148"/>
        <v>19263.962065331929</v>
      </c>
      <c r="X253" s="67">
        <f t="shared" si="148"/>
        <v>20707.895628600476</v>
      </c>
      <c r="Y253" s="67">
        <f t="shared" si="148"/>
        <v>22686.569605758221</v>
      </c>
      <c r="Z253" s="67">
        <f t="shared" si="148"/>
        <v>22847.270986275136</v>
      </c>
      <c r="AA253" s="67">
        <f t="shared" si="148"/>
        <v>22312.33432091065</v>
      </c>
      <c r="AB253" s="67">
        <f t="shared" si="148"/>
        <v>22200.824050053412</v>
      </c>
      <c r="AC253" s="67">
        <f t="shared" si="148"/>
        <v>20915.122534369395</v>
      </c>
      <c r="AD253" s="67">
        <f t="shared" si="148"/>
        <v>20363.743033147552</v>
      </c>
      <c r="AE253" s="67">
        <f t="shared" si="148"/>
        <v>19756.016717106213</v>
      </c>
      <c r="AF253" s="67">
        <f t="shared" si="148"/>
        <v>19410.760034158837</v>
      </c>
      <c r="AG253" s="67">
        <f t="shared" si="148"/>
        <v>19211.303247574862</v>
      </c>
      <c r="AH253" s="67">
        <f t="shared" si="148"/>
        <v>18732.674562732405</v>
      </c>
      <c r="AI253" s="67">
        <f t="shared" si="148"/>
        <v>19164.851418582763</v>
      </c>
      <c r="AJ253" s="67">
        <f t="shared" si="148"/>
        <v>19713.794016415144</v>
      </c>
      <c r="AK253" s="67">
        <f t="shared" si="148"/>
        <v>19511.094205654874</v>
      </c>
      <c r="AL253" s="67">
        <f t="shared" si="148"/>
        <v>19193.675402977729</v>
      </c>
      <c r="AM253" s="67">
        <f t="shared" si="148"/>
        <v>19302.109402931714</v>
      </c>
      <c r="AN253" s="67">
        <f t="shared" si="148"/>
        <v>19321.039202041295</v>
      </c>
      <c r="AO253" s="67">
        <f t="shared" si="148"/>
        <v>18503.579138734236</v>
      </c>
      <c r="AP253" s="67">
        <f t="shared" si="148"/>
        <v>19572.601507142055</v>
      </c>
      <c r="AQ253" s="67">
        <f t="shared" si="148"/>
        <v>19884.478144513829</v>
      </c>
      <c r="AR253" s="67">
        <f t="shared" si="148"/>
        <v>20468.189768255361</v>
      </c>
      <c r="AS253" s="67">
        <f t="shared" si="148"/>
        <v>19806.742538114668</v>
      </c>
      <c r="AT253" s="67">
        <f t="shared" si="148"/>
        <v>18739.322999050932</v>
      </c>
      <c r="AU253" s="67">
        <f t="shared" si="148"/>
        <v>17465.927920463957</v>
      </c>
      <c r="AV253" s="67">
        <f t="shared" si="148"/>
        <v>18087.740877408774</v>
      </c>
      <c r="AW253" s="67">
        <f t="shared" si="148"/>
        <v>18314.317673378075</v>
      </c>
      <c r="AX253" s="67">
        <f t="shared" si="148"/>
        <v>19285.100000000006</v>
      </c>
      <c r="AY253" s="67">
        <f t="shared" si="148"/>
        <v>19226.472314615534</v>
      </c>
      <c r="AZ253" s="67">
        <f t="shared" si="148"/>
        <v>20430.025934108162</v>
      </c>
      <c r="BA253" s="67">
        <f t="shared" si="148"/>
        <v>19476.62842514459</v>
      </c>
      <c r="BB253" s="67">
        <f t="shared" si="148"/>
        <v>19429.697525206233</v>
      </c>
      <c r="BC253" s="67">
        <f t="shared" si="148"/>
        <v>20117.364859076501</v>
      </c>
      <c r="BD253" s="67">
        <f t="shared" si="148"/>
        <v>19492.094699762431</v>
      </c>
      <c r="BE253" s="67">
        <f t="shared" si="148"/>
        <v>20543.805154392401</v>
      </c>
      <c r="BF253" s="67">
        <f t="shared" si="148"/>
        <v>19421.455340412242</v>
      </c>
      <c r="BG253" s="67">
        <f t="shared" si="148"/>
        <v>18998.261434908982</v>
      </c>
      <c r="BH253" s="67">
        <f t="shared" si="148"/>
        <v>14379.684870735813</v>
      </c>
    </row>
    <row r="254" spans="1:60" s="67" customFormat="1" x14ac:dyDescent="0.25">
      <c r="A254" s="67" t="str">
        <f t="shared" ref="A254:E254" si="150">A79</f>
        <v>NASA</v>
      </c>
      <c r="B254" s="67" t="str">
        <f t="shared" si="150"/>
        <v>ARRA</v>
      </c>
      <c r="C254" s="67" t="str">
        <f t="shared" si="150"/>
        <v>ARRA</v>
      </c>
      <c r="D254" s="67" t="str">
        <f t="shared" si="150"/>
        <v>One-Year</v>
      </c>
      <c r="E254" s="67" t="str">
        <f t="shared" si="150"/>
        <v>Program</v>
      </c>
      <c r="F254" s="67" t="s">
        <v>90</v>
      </c>
      <c r="H254" s="67" t="str">
        <f t="shared" si="147"/>
        <v>American Recovery and Reinvestment Act of 2009</v>
      </c>
      <c r="I254" s="67">
        <f t="shared" si="134"/>
        <v>0</v>
      </c>
      <c r="J254" s="67">
        <f t="shared" si="148"/>
        <v>0</v>
      </c>
      <c r="K254" s="67">
        <f t="shared" si="148"/>
        <v>0</v>
      </c>
      <c r="L254" s="67">
        <f t="shared" si="148"/>
        <v>0</v>
      </c>
      <c r="M254" s="67">
        <f t="shared" si="148"/>
        <v>0</v>
      </c>
      <c r="N254" s="67">
        <f t="shared" si="148"/>
        <v>0</v>
      </c>
      <c r="O254" s="67">
        <f t="shared" si="148"/>
        <v>0</v>
      </c>
      <c r="P254" s="67">
        <f t="shared" si="148"/>
        <v>0</v>
      </c>
      <c r="Q254" s="67">
        <f t="shared" si="148"/>
        <v>0</v>
      </c>
      <c r="R254" s="67">
        <f t="shared" si="148"/>
        <v>0</v>
      </c>
      <c r="S254" s="67">
        <f t="shared" si="148"/>
        <v>0</v>
      </c>
      <c r="T254" s="67">
        <f t="shared" si="148"/>
        <v>0</v>
      </c>
      <c r="U254" s="67">
        <f t="shared" si="148"/>
        <v>0</v>
      </c>
      <c r="V254" s="67">
        <f t="shared" si="148"/>
        <v>0</v>
      </c>
      <c r="W254" s="67">
        <f t="shared" si="148"/>
        <v>0</v>
      </c>
      <c r="X254" s="67">
        <f t="shared" si="148"/>
        <v>0</v>
      </c>
      <c r="Y254" s="67">
        <f t="shared" si="148"/>
        <v>0</v>
      </c>
      <c r="Z254" s="67">
        <f t="shared" si="148"/>
        <v>0</v>
      </c>
      <c r="AA254" s="67">
        <f t="shared" si="148"/>
        <v>0</v>
      </c>
      <c r="AB254" s="67">
        <f t="shared" si="148"/>
        <v>0</v>
      </c>
      <c r="AC254" s="67">
        <f t="shared" si="148"/>
        <v>0</v>
      </c>
      <c r="AD254" s="67">
        <f t="shared" si="148"/>
        <v>0</v>
      </c>
      <c r="AE254" s="67">
        <f t="shared" si="148"/>
        <v>0</v>
      </c>
      <c r="AF254" s="67">
        <f t="shared" si="148"/>
        <v>0</v>
      </c>
      <c r="AG254" s="67">
        <f t="shared" si="148"/>
        <v>0</v>
      </c>
      <c r="AH254" s="67">
        <f t="shared" si="148"/>
        <v>0</v>
      </c>
      <c r="AI254" s="67">
        <f t="shared" si="148"/>
        <v>0</v>
      </c>
      <c r="AJ254" s="67">
        <f t="shared" si="148"/>
        <v>0</v>
      </c>
      <c r="AK254" s="67">
        <f t="shared" si="148"/>
        <v>0</v>
      </c>
      <c r="AL254" s="67">
        <f t="shared" si="148"/>
        <v>0</v>
      </c>
      <c r="AM254" s="67">
        <f t="shared" si="148"/>
        <v>0</v>
      </c>
      <c r="AN254" s="67">
        <f t="shared" si="148"/>
        <v>0</v>
      </c>
      <c r="AO254" s="67">
        <f t="shared" si="148"/>
        <v>0</v>
      </c>
      <c r="AP254" s="67">
        <f t="shared" si="148"/>
        <v>0</v>
      </c>
      <c r="AQ254" s="67">
        <f t="shared" si="148"/>
        <v>1117.3059768064227</v>
      </c>
      <c r="AR254" s="67">
        <f t="shared" si="148"/>
        <v>0</v>
      </c>
      <c r="AS254" s="67">
        <f t="shared" si="148"/>
        <v>0</v>
      </c>
      <c r="AT254" s="67">
        <f t="shared" si="148"/>
        <v>0</v>
      </c>
      <c r="AU254" s="67">
        <f t="shared" si="148"/>
        <v>0</v>
      </c>
      <c r="AV254" s="67">
        <f t="shared" si="148"/>
        <v>0</v>
      </c>
      <c r="AW254" s="67">
        <f t="shared" si="148"/>
        <v>0</v>
      </c>
      <c r="AX254" s="67">
        <f t="shared" si="148"/>
        <v>0</v>
      </c>
      <c r="AY254" s="67">
        <f t="shared" si="148"/>
        <v>0</v>
      </c>
      <c r="AZ254" s="67">
        <f t="shared" si="148"/>
        <v>0</v>
      </c>
      <c r="BA254" s="67">
        <f t="shared" si="148"/>
        <v>0</v>
      </c>
      <c r="BB254" s="67">
        <f t="shared" si="148"/>
        <v>0</v>
      </c>
      <c r="BC254" s="67">
        <f t="shared" si="148"/>
        <v>0</v>
      </c>
      <c r="BD254" s="67">
        <f t="shared" si="148"/>
        <v>0</v>
      </c>
      <c r="BE254" s="67">
        <f t="shared" si="148"/>
        <v>0</v>
      </c>
      <c r="BF254" s="67">
        <f t="shared" si="148"/>
        <v>0</v>
      </c>
      <c r="BG254" s="67">
        <f t="shared" si="148"/>
        <v>0</v>
      </c>
      <c r="BH254" s="67">
        <f t="shared" si="148"/>
        <v>0</v>
      </c>
    </row>
    <row r="255" spans="1:60" s="67" customFormat="1" x14ac:dyDescent="0.25">
      <c r="A255" s="67" t="str">
        <f t="shared" ref="A255:E255" si="151">A80</f>
        <v>NASA</v>
      </c>
      <c r="B255" s="67" t="str">
        <f t="shared" si="151"/>
        <v>COVID-19</v>
      </c>
      <c r="C255" s="67" t="str">
        <f t="shared" si="151"/>
        <v>COVID-19</v>
      </c>
      <c r="D255" s="67" t="str">
        <f t="shared" si="151"/>
        <v>One-Year</v>
      </c>
      <c r="E255" s="67" t="str">
        <f t="shared" si="151"/>
        <v>Program</v>
      </c>
      <c r="F255" s="67" t="s">
        <v>90</v>
      </c>
      <c r="H255" s="67" t="str">
        <f t="shared" si="147"/>
        <v>COVID-19 Emergency Funding, 2020</v>
      </c>
      <c r="I255" s="67">
        <f t="shared" si="134"/>
        <v>0</v>
      </c>
      <c r="J255" s="67">
        <f t="shared" si="148"/>
        <v>0</v>
      </c>
      <c r="K255" s="67">
        <f t="shared" si="148"/>
        <v>0</v>
      </c>
      <c r="L255" s="67">
        <f t="shared" si="148"/>
        <v>0</v>
      </c>
      <c r="M255" s="67">
        <f t="shared" si="148"/>
        <v>0</v>
      </c>
      <c r="N255" s="67">
        <f t="shared" si="148"/>
        <v>0</v>
      </c>
      <c r="O255" s="67">
        <f t="shared" si="148"/>
        <v>0</v>
      </c>
      <c r="P255" s="67">
        <f t="shared" si="148"/>
        <v>0</v>
      </c>
      <c r="Q255" s="67">
        <f t="shared" si="148"/>
        <v>0</v>
      </c>
      <c r="R255" s="67">
        <f t="shared" si="148"/>
        <v>0</v>
      </c>
      <c r="S255" s="67">
        <f t="shared" si="148"/>
        <v>0</v>
      </c>
      <c r="T255" s="67">
        <f t="shared" si="148"/>
        <v>0</v>
      </c>
      <c r="U255" s="67">
        <f t="shared" si="148"/>
        <v>0</v>
      </c>
      <c r="V255" s="67">
        <f t="shared" si="148"/>
        <v>0</v>
      </c>
      <c r="W255" s="67">
        <f t="shared" si="148"/>
        <v>0</v>
      </c>
      <c r="X255" s="67">
        <f t="shared" si="148"/>
        <v>0</v>
      </c>
      <c r="Y255" s="67">
        <f t="shared" si="148"/>
        <v>0</v>
      </c>
      <c r="Z255" s="67">
        <f t="shared" si="148"/>
        <v>0</v>
      </c>
      <c r="AA255" s="67">
        <f t="shared" si="148"/>
        <v>0</v>
      </c>
      <c r="AB255" s="67">
        <f t="shared" si="148"/>
        <v>0</v>
      </c>
      <c r="AC255" s="67">
        <f t="shared" si="148"/>
        <v>0</v>
      </c>
      <c r="AD255" s="67">
        <f t="shared" si="148"/>
        <v>0</v>
      </c>
      <c r="AE255" s="67">
        <f t="shared" si="148"/>
        <v>0</v>
      </c>
      <c r="AF255" s="67">
        <f t="shared" si="148"/>
        <v>0</v>
      </c>
      <c r="AG255" s="67">
        <f t="shared" si="148"/>
        <v>0</v>
      </c>
      <c r="AH255" s="67">
        <f t="shared" si="148"/>
        <v>0</v>
      </c>
      <c r="AI255" s="67">
        <f t="shared" si="148"/>
        <v>0</v>
      </c>
      <c r="AJ255" s="67">
        <f t="shared" si="148"/>
        <v>0</v>
      </c>
      <c r="AK255" s="67">
        <f t="shared" si="148"/>
        <v>0</v>
      </c>
      <c r="AL255" s="67">
        <f t="shared" si="148"/>
        <v>0</v>
      </c>
      <c r="AM255" s="67">
        <f t="shared" si="148"/>
        <v>0</v>
      </c>
      <c r="AN255" s="67">
        <f t="shared" si="148"/>
        <v>0</v>
      </c>
      <c r="AO255" s="67">
        <f t="shared" si="148"/>
        <v>0</v>
      </c>
      <c r="AP255" s="67">
        <f t="shared" si="148"/>
        <v>0</v>
      </c>
      <c r="AQ255" s="67">
        <f t="shared" si="148"/>
        <v>0</v>
      </c>
      <c r="AR255" s="67">
        <f t="shared" si="148"/>
        <v>0</v>
      </c>
      <c r="AS255" s="67">
        <f t="shared" si="148"/>
        <v>0</v>
      </c>
      <c r="AT255" s="67">
        <f t="shared" si="148"/>
        <v>0</v>
      </c>
      <c r="AU255" s="67">
        <f t="shared" si="148"/>
        <v>0</v>
      </c>
      <c r="AV255" s="67">
        <f t="shared" si="148"/>
        <v>0</v>
      </c>
      <c r="AW255" s="67">
        <f t="shared" si="148"/>
        <v>0</v>
      </c>
      <c r="AX255" s="67">
        <f t="shared" si="148"/>
        <v>0</v>
      </c>
      <c r="AY255" s="67">
        <f t="shared" si="148"/>
        <v>0</v>
      </c>
      <c r="AZ255" s="67">
        <f t="shared" si="148"/>
        <v>0</v>
      </c>
      <c r="BA255" s="67">
        <f t="shared" si="148"/>
        <v>0</v>
      </c>
      <c r="BB255" s="67">
        <f t="shared" si="148"/>
        <v>54.995417048579284</v>
      </c>
      <c r="BC255" s="67">
        <f t="shared" si="148"/>
        <v>0</v>
      </c>
      <c r="BD255" s="67">
        <f t="shared" si="148"/>
        <v>0</v>
      </c>
      <c r="BE255" s="67">
        <f t="shared" si="148"/>
        <v>0</v>
      </c>
      <c r="BF255" s="67">
        <f t="shared" si="148"/>
        <v>0</v>
      </c>
      <c r="BG255" s="67">
        <f t="shared" si="148"/>
        <v>0</v>
      </c>
      <c r="BH255" s="67">
        <f t="shared" si="148"/>
        <v>0</v>
      </c>
    </row>
    <row r="256" spans="1:60" s="67" customFormat="1" x14ac:dyDescent="0.25">
      <c r="A256" s="67" t="str">
        <f t="shared" ref="A256:E256" si="152">A81</f>
        <v>Commerce</v>
      </c>
      <c r="B256" s="67" t="str">
        <f t="shared" si="152"/>
        <v>NOAA</v>
      </c>
      <c r="C256" s="67" t="str">
        <f t="shared" si="152"/>
        <v>NOAA</v>
      </c>
      <c r="D256" s="67" t="str">
        <f t="shared" si="152"/>
        <v>Steady</v>
      </c>
      <c r="E256" s="67" t="str">
        <f t="shared" si="152"/>
        <v>Program</v>
      </c>
      <c r="F256" s="67" t="s">
        <v>90</v>
      </c>
      <c r="H256" s="67" t="str">
        <f t="shared" si="147"/>
        <v>National Oceanic and Atmospheric Administration</v>
      </c>
      <c r="I256" s="67">
        <f t="shared" si="134"/>
        <v>0</v>
      </c>
      <c r="J256" s="67">
        <f t="shared" si="148"/>
        <v>0</v>
      </c>
      <c r="K256" s="67">
        <f t="shared" si="148"/>
        <v>0</v>
      </c>
      <c r="L256" s="67">
        <f t="shared" si="148"/>
        <v>0</v>
      </c>
      <c r="M256" s="67">
        <f t="shared" si="148"/>
        <v>0</v>
      </c>
      <c r="N256" s="67">
        <f t="shared" si="148"/>
        <v>0</v>
      </c>
      <c r="O256" s="67">
        <f t="shared" si="148"/>
        <v>0</v>
      </c>
      <c r="P256" s="67">
        <f t="shared" si="148"/>
        <v>0</v>
      </c>
      <c r="Q256" s="67">
        <f t="shared" si="148"/>
        <v>0</v>
      </c>
      <c r="R256" s="67">
        <f t="shared" si="148"/>
        <v>0</v>
      </c>
      <c r="S256" s="67">
        <f t="shared" si="148"/>
        <v>0</v>
      </c>
      <c r="T256" s="67">
        <f t="shared" si="148"/>
        <v>0</v>
      </c>
      <c r="U256" s="67">
        <f t="shared" si="148"/>
        <v>0</v>
      </c>
      <c r="V256" s="67">
        <f t="shared" si="148"/>
        <v>0</v>
      </c>
      <c r="W256" s="67">
        <f t="shared" si="148"/>
        <v>0</v>
      </c>
      <c r="X256" s="67">
        <f t="shared" si="148"/>
        <v>2136.5452389020675</v>
      </c>
      <c r="Y256" s="67">
        <f t="shared" si="148"/>
        <v>2304.4331752003927</v>
      </c>
      <c r="Z256" s="67">
        <f t="shared" si="148"/>
        <v>2688.4806894350463</v>
      </c>
      <c r="AA256" s="67">
        <f t="shared" si="148"/>
        <v>2593.7501949165758</v>
      </c>
      <c r="AB256" s="67">
        <f t="shared" si="148"/>
        <v>2999.5910270105296</v>
      </c>
      <c r="AC256" s="67">
        <f t="shared" si="148"/>
        <v>2954.2737597130904</v>
      </c>
      <c r="AD256" s="67">
        <f t="shared" si="148"/>
        <v>2742.7398063948372</v>
      </c>
      <c r="AE256" s="67">
        <f t="shared" si="148"/>
        <v>2761.2047845510883</v>
      </c>
      <c r="AF256" s="67">
        <f t="shared" si="148"/>
        <v>2830.9137489325362</v>
      </c>
      <c r="AG256" s="67">
        <f t="shared" si="148"/>
        <v>3118.2342190355685</v>
      </c>
      <c r="AH256" s="67">
        <f t="shared" si="148"/>
        <v>3291.5576366891614</v>
      </c>
      <c r="AI256" s="67">
        <f t="shared" si="148"/>
        <v>4203.3077853973373</v>
      </c>
      <c r="AJ256" s="67">
        <f t="shared" si="148"/>
        <v>4328.8324066719624</v>
      </c>
      <c r="AK256" s="67">
        <f t="shared" si="148"/>
        <v>4147.3310510967412</v>
      </c>
      <c r="AL256" s="67">
        <f t="shared" si="148"/>
        <v>4591.7521840777654</v>
      </c>
      <c r="AM256" s="67">
        <f t="shared" si="148"/>
        <v>4695.1507567631988</v>
      </c>
      <c r="AN256" s="67">
        <f t="shared" si="148"/>
        <v>4754.1173741591283</v>
      </c>
      <c r="AO256" s="67">
        <f t="shared" si="148"/>
        <v>4618.7933189410296</v>
      </c>
      <c r="AP256" s="67">
        <f t="shared" si="148"/>
        <v>4764.3684624901589</v>
      </c>
      <c r="AQ256" s="67">
        <f t="shared" si="148"/>
        <v>4870.5062444246205</v>
      </c>
      <c r="AR256" s="67">
        <f t="shared" si="148"/>
        <v>5190.5913860953215</v>
      </c>
      <c r="AS256" s="67">
        <f t="shared" si="148"/>
        <v>4935.421945458449</v>
      </c>
      <c r="AT256" s="67">
        <f t="shared" si="148"/>
        <v>5174.1126225877888</v>
      </c>
      <c r="AU256" s="67">
        <f t="shared" si="148"/>
        <v>4916.9852941176478</v>
      </c>
      <c r="AV256" s="67">
        <f t="shared" si="148"/>
        <v>5571.9557195571952</v>
      </c>
      <c r="AW256" s="67">
        <f t="shared" si="148"/>
        <v>5540.8877364246482</v>
      </c>
      <c r="AX256" s="67">
        <f t="shared" si="148"/>
        <v>5773.5150000000003</v>
      </c>
      <c r="AY256" s="67">
        <f t="shared" si="148"/>
        <v>5554.4619448248868</v>
      </c>
      <c r="AZ256" s="67">
        <f t="shared" si="148"/>
        <v>6063.5731437902223</v>
      </c>
      <c r="BA256" s="67">
        <f t="shared" si="148"/>
        <v>5152.4585190101452</v>
      </c>
      <c r="BB256" s="67">
        <f t="shared" si="148"/>
        <v>4914.4592117323564</v>
      </c>
      <c r="BC256" s="67">
        <f t="shared" si="148"/>
        <v>4660.1542020046254</v>
      </c>
      <c r="BD256" s="67">
        <f t="shared" si="148"/>
        <v>5188.0068812976169</v>
      </c>
      <c r="BE256" s="67">
        <f t="shared" si="148"/>
        <v>6890.6087927870421</v>
      </c>
      <c r="BF256" s="67">
        <f t="shared" si="148"/>
        <v>4933.6352279825114</v>
      </c>
      <c r="BG256" s="67">
        <f t="shared" si="148"/>
        <v>3422.0483402172254</v>
      </c>
      <c r="BH256" s="67">
        <f t="shared" si="148"/>
        <v>3453.6499923512315</v>
      </c>
    </row>
    <row r="257" spans="1:60" s="67" customFormat="1" x14ac:dyDescent="0.25">
      <c r="A257" s="67" t="str">
        <f t="shared" ref="A257:E257" si="153">A82</f>
        <v>Commerce</v>
      </c>
      <c r="B257" s="67" t="str">
        <f t="shared" si="153"/>
        <v>NOAA</v>
      </c>
      <c r="C257" s="67" t="str">
        <f t="shared" si="153"/>
        <v>NOS</v>
      </c>
      <c r="D257" s="67" t="str">
        <f t="shared" si="153"/>
        <v>Steady</v>
      </c>
      <c r="E257" s="67" t="str">
        <f t="shared" si="153"/>
        <v>Subprograms</v>
      </c>
      <c r="F257" s="67" t="s">
        <v>90</v>
      </c>
      <c r="H257" s="67" t="str">
        <f t="shared" si="147"/>
        <v>National Ocean Service</v>
      </c>
      <c r="I257" s="67">
        <f t="shared" si="134"/>
        <v>0</v>
      </c>
      <c r="J257" s="67">
        <f t="shared" si="148"/>
        <v>0</v>
      </c>
      <c r="K257" s="67">
        <f t="shared" si="148"/>
        <v>0</v>
      </c>
      <c r="L257" s="67">
        <f t="shared" si="148"/>
        <v>0</v>
      </c>
      <c r="M257" s="67">
        <f t="shared" si="148"/>
        <v>0</v>
      </c>
      <c r="N257" s="67">
        <f t="shared" si="148"/>
        <v>0</v>
      </c>
      <c r="O257" s="67">
        <f t="shared" si="148"/>
        <v>0</v>
      </c>
      <c r="P257" s="67">
        <f t="shared" si="148"/>
        <v>0</v>
      </c>
      <c r="Q257" s="67">
        <f t="shared" si="148"/>
        <v>0</v>
      </c>
      <c r="R257" s="67">
        <f t="shared" si="148"/>
        <v>0</v>
      </c>
      <c r="S257" s="67">
        <f t="shared" si="148"/>
        <v>0</v>
      </c>
      <c r="T257" s="67">
        <f t="shared" si="148"/>
        <v>0</v>
      </c>
      <c r="U257" s="67">
        <f t="shared" si="148"/>
        <v>0</v>
      </c>
      <c r="V257" s="67">
        <f t="shared" si="148"/>
        <v>0</v>
      </c>
      <c r="W257" s="67">
        <f t="shared" si="148"/>
        <v>0</v>
      </c>
      <c r="X257" s="67">
        <f t="shared" si="148"/>
        <v>0</v>
      </c>
      <c r="Y257" s="67">
        <f t="shared" si="148"/>
        <v>0</v>
      </c>
      <c r="Z257" s="67">
        <f t="shared" si="148"/>
        <v>0</v>
      </c>
      <c r="AA257" s="67">
        <f t="shared" si="148"/>
        <v>0</v>
      </c>
      <c r="AB257" s="67">
        <f t="shared" si="148"/>
        <v>0</v>
      </c>
      <c r="AC257" s="67">
        <f t="shared" si="148"/>
        <v>0</v>
      </c>
      <c r="AD257" s="67">
        <f t="shared" si="148"/>
        <v>0</v>
      </c>
      <c r="AE257" s="67">
        <f t="shared" si="148"/>
        <v>0</v>
      </c>
      <c r="AF257" s="67">
        <f t="shared" si="148"/>
        <v>0</v>
      </c>
      <c r="AG257" s="67">
        <f t="shared" si="148"/>
        <v>0</v>
      </c>
      <c r="AH257" s="67">
        <f t="shared" si="148"/>
        <v>0</v>
      </c>
      <c r="AI257" s="67">
        <f t="shared" si="148"/>
        <v>0</v>
      </c>
      <c r="AJ257" s="67">
        <f t="shared" si="148"/>
        <v>670.77045274027012</v>
      </c>
      <c r="AK257" s="67">
        <f t="shared" si="148"/>
        <v>627.61506276150635</v>
      </c>
      <c r="AL257" s="67">
        <f t="shared" si="148"/>
        <v>743.1192321889996</v>
      </c>
      <c r="AM257" s="67">
        <f t="shared" si="148"/>
        <v>796.44261708973897</v>
      </c>
      <c r="AN257" s="67">
        <f t="shared" ref="J257:BH262" si="154">AN82/AN$175</f>
        <v>693.64068661563442</v>
      </c>
      <c r="AO257" s="67">
        <f t="shared" si="154"/>
        <v>614.84263151914558</v>
      </c>
      <c r="AP257" s="67">
        <f t="shared" si="154"/>
        <v>589.36227645934082</v>
      </c>
      <c r="AQ257" s="67">
        <f t="shared" si="154"/>
        <v>605.65900981266725</v>
      </c>
      <c r="AR257" s="67">
        <f t="shared" si="154"/>
        <v>615.55531263664193</v>
      </c>
      <c r="AS257" s="67">
        <f t="shared" si="154"/>
        <v>531.28838307923559</v>
      </c>
      <c r="AT257" s="67">
        <f t="shared" si="154"/>
        <v>492.85247284614576</v>
      </c>
      <c r="AU257" s="67">
        <f t="shared" si="154"/>
        <v>458.44759734879869</v>
      </c>
      <c r="AV257" s="67">
        <f t="shared" si="154"/>
        <v>486.78454284542846</v>
      </c>
      <c r="AW257" s="67">
        <f t="shared" si="154"/>
        <v>492.99064470205411</v>
      </c>
      <c r="AX257" s="67">
        <f t="shared" si="154"/>
        <v>502.77499999999998</v>
      </c>
      <c r="AY257" s="67">
        <f t="shared" si="154"/>
        <v>507.67951477206032</v>
      </c>
      <c r="AZ257" s="67">
        <f t="shared" si="154"/>
        <v>604.20997022380175</v>
      </c>
      <c r="BA257" s="67">
        <f t="shared" si="154"/>
        <v>644.55105717265576</v>
      </c>
      <c r="BB257" s="67">
        <f t="shared" si="154"/>
        <v>570.37121906507787</v>
      </c>
      <c r="BC257" s="67">
        <f t="shared" si="154"/>
        <v>531.30729032810757</v>
      </c>
      <c r="BD257" s="67">
        <f t="shared" si="154"/>
        <v>533.30056524944712</v>
      </c>
      <c r="BE257" s="67">
        <f t="shared" si="154"/>
        <v>583.26019309024173</v>
      </c>
      <c r="BF257" s="67">
        <f t="shared" si="154"/>
        <v>572.26420986883204</v>
      </c>
      <c r="BG257" s="67">
        <f t="shared" si="154"/>
        <v>542.30540646631061</v>
      </c>
      <c r="BH257" s="67">
        <f t="shared" si="154"/>
        <v>332.14547957778802</v>
      </c>
    </row>
    <row r="258" spans="1:60" s="67" customFormat="1" x14ac:dyDescent="0.25">
      <c r="A258" s="67" t="str">
        <f t="shared" ref="A258:E258" si="155">A83</f>
        <v>Commerce</v>
      </c>
      <c r="B258" s="67" t="str">
        <f t="shared" si="155"/>
        <v>NOAA</v>
      </c>
      <c r="C258" s="67" t="str">
        <f t="shared" si="155"/>
        <v>NMFS</v>
      </c>
      <c r="D258" s="67" t="str">
        <f t="shared" si="155"/>
        <v>Steady</v>
      </c>
      <c r="E258" s="67" t="str">
        <f t="shared" si="155"/>
        <v>Subprograms</v>
      </c>
      <c r="F258" s="67" t="s">
        <v>90</v>
      </c>
      <c r="H258" s="67" t="str">
        <f t="shared" si="147"/>
        <v>National Marine Fisheries Service</v>
      </c>
      <c r="I258" s="67">
        <f t="shared" si="134"/>
        <v>0</v>
      </c>
      <c r="J258" s="67">
        <f t="shared" si="154"/>
        <v>0</v>
      </c>
      <c r="K258" s="67">
        <f t="shared" si="154"/>
        <v>0</v>
      </c>
      <c r="L258" s="67">
        <f t="shared" si="154"/>
        <v>0</v>
      </c>
      <c r="M258" s="67">
        <f t="shared" si="154"/>
        <v>0</v>
      </c>
      <c r="N258" s="67">
        <f t="shared" si="154"/>
        <v>0</v>
      </c>
      <c r="O258" s="67">
        <f t="shared" si="154"/>
        <v>0</v>
      </c>
      <c r="P258" s="67">
        <f t="shared" si="154"/>
        <v>0</v>
      </c>
      <c r="Q258" s="67">
        <f t="shared" si="154"/>
        <v>0</v>
      </c>
      <c r="R258" s="67">
        <f t="shared" si="154"/>
        <v>0</v>
      </c>
      <c r="S258" s="67">
        <f t="shared" si="154"/>
        <v>0</v>
      </c>
      <c r="T258" s="67">
        <f t="shared" si="154"/>
        <v>0</v>
      </c>
      <c r="U258" s="67">
        <f t="shared" si="154"/>
        <v>0</v>
      </c>
      <c r="V258" s="67">
        <f t="shared" si="154"/>
        <v>0</v>
      </c>
      <c r="W258" s="67">
        <f t="shared" si="154"/>
        <v>0</v>
      </c>
      <c r="X258" s="67">
        <f t="shared" si="154"/>
        <v>0</v>
      </c>
      <c r="Y258" s="67">
        <f t="shared" si="154"/>
        <v>0</v>
      </c>
      <c r="Z258" s="67">
        <f t="shared" si="154"/>
        <v>0</v>
      </c>
      <c r="AA258" s="67">
        <f t="shared" si="154"/>
        <v>0</v>
      </c>
      <c r="AB258" s="67">
        <f t="shared" si="154"/>
        <v>0</v>
      </c>
      <c r="AC258" s="67">
        <f t="shared" si="154"/>
        <v>0</v>
      </c>
      <c r="AD258" s="67">
        <f t="shared" si="154"/>
        <v>0</v>
      </c>
      <c r="AE258" s="67">
        <f t="shared" si="154"/>
        <v>0</v>
      </c>
      <c r="AF258" s="67">
        <f t="shared" si="154"/>
        <v>0</v>
      </c>
      <c r="AG258" s="67">
        <f t="shared" si="154"/>
        <v>0</v>
      </c>
      <c r="AH258" s="67">
        <f t="shared" si="154"/>
        <v>0</v>
      </c>
      <c r="AI258" s="67">
        <f t="shared" si="154"/>
        <v>0</v>
      </c>
      <c r="AJ258" s="67">
        <f t="shared" si="154"/>
        <v>1047.6568705321683</v>
      </c>
      <c r="AK258" s="67">
        <f t="shared" si="154"/>
        <v>923.03791048560925</v>
      </c>
      <c r="AL258" s="67">
        <f t="shared" si="154"/>
        <v>793.0860095976376</v>
      </c>
      <c r="AM258" s="67">
        <f t="shared" si="154"/>
        <v>843.24037659396981</v>
      </c>
      <c r="AN258" s="67">
        <f t="shared" si="154"/>
        <v>975.75736488053815</v>
      </c>
      <c r="AO258" s="67">
        <f t="shared" si="154"/>
        <v>954.33018975116477</v>
      </c>
      <c r="AP258" s="67">
        <f t="shared" si="154"/>
        <v>1073.7284894837476</v>
      </c>
      <c r="AQ258" s="67">
        <f t="shared" si="154"/>
        <v>845.90209634255132</v>
      </c>
      <c r="AR258" s="67">
        <f t="shared" si="154"/>
        <v>988.78334062090073</v>
      </c>
      <c r="AS258" s="67">
        <f t="shared" si="154"/>
        <v>907.49087395318872</v>
      </c>
      <c r="AT258" s="67">
        <f t="shared" si="154"/>
        <v>848.59010861541697</v>
      </c>
      <c r="AU258" s="67">
        <f t="shared" si="154"/>
        <v>804.94304059652029</v>
      </c>
      <c r="AV258" s="67">
        <f t="shared" si="154"/>
        <v>829.53772037720375</v>
      </c>
      <c r="AW258" s="67">
        <f t="shared" si="154"/>
        <v>836.01586333129956</v>
      </c>
      <c r="AX258" s="67">
        <f t="shared" si="154"/>
        <v>847.76700000000005</v>
      </c>
      <c r="AY258" s="67">
        <f t="shared" si="154"/>
        <v>830.54490315006842</v>
      </c>
      <c r="AZ258" s="67">
        <f t="shared" si="154"/>
        <v>843.57506483527038</v>
      </c>
      <c r="BA258" s="67">
        <f t="shared" si="154"/>
        <v>858.81577699819854</v>
      </c>
      <c r="BB258" s="67">
        <f t="shared" si="154"/>
        <v>875.32997250229153</v>
      </c>
      <c r="BC258" s="67">
        <f t="shared" si="154"/>
        <v>814.81709928895737</v>
      </c>
      <c r="BD258" s="67">
        <f t="shared" si="154"/>
        <v>856.88539362660777</v>
      </c>
      <c r="BE258" s="67">
        <f t="shared" si="154"/>
        <v>903.21551105082574</v>
      </c>
      <c r="BF258" s="67">
        <f t="shared" si="154"/>
        <v>900.6800437226733</v>
      </c>
      <c r="BG258" s="67">
        <f t="shared" si="154"/>
        <v>887.83541844336639</v>
      </c>
      <c r="BH258" s="67">
        <f t="shared" si="154"/>
        <v>604.23435826831883</v>
      </c>
    </row>
    <row r="259" spans="1:60" s="67" customFormat="1" x14ac:dyDescent="0.25">
      <c r="A259" s="67" t="str">
        <f t="shared" ref="A259:E259" si="156">A84</f>
        <v>Commerce</v>
      </c>
      <c r="B259" s="67" t="str">
        <f t="shared" si="156"/>
        <v>NOAA</v>
      </c>
      <c r="C259" s="67" t="str">
        <f t="shared" si="156"/>
        <v>OAR</v>
      </c>
      <c r="D259" s="67" t="str">
        <f t="shared" si="156"/>
        <v>Steady</v>
      </c>
      <c r="E259" s="67" t="str">
        <f t="shared" si="156"/>
        <v>Subprograms</v>
      </c>
      <c r="F259" s="67" t="s">
        <v>90</v>
      </c>
      <c r="H259" s="67" t="str">
        <f t="shared" si="147"/>
        <v>Oceanic and Atmospheric Research</v>
      </c>
      <c r="I259" s="67">
        <f t="shared" si="134"/>
        <v>0</v>
      </c>
      <c r="J259" s="67">
        <f t="shared" si="154"/>
        <v>0</v>
      </c>
      <c r="K259" s="67">
        <f t="shared" si="154"/>
        <v>0</v>
      </c>
      <c r="L259" s="67">
        <f t="shared" si="154"/>
        <v>0</v>
      </c>
      <c r="M259" s="67">
        <f t="shared" si="154"/>
        <v>0</v>
      </c>
      <c r="N259" s="67">
        <f t="shared" si="154"/>
        <v>0</v>
      </c>
      <c r="O259" s="67">
        <f t="shared" si="154"/>
        <v>0</v>
      </c>
      <c r="P259" s="67">
        <f t="shared" si="154"/>
        <v>0</v>
      </c>
      <c r="Q259" s="67">
        <f t="shared" si="154"/>
        <v>0</v>
      </c>
      <c r="R259" s="67">
        <f t="shared" si="154"/>
        <v>0</v>
      </c>
      <c r="S259" s="67">
        <f t="shared" si="154"/>
        <v>0</v>
      </c>
      <c r="T259" s="67">
        <f t="shared" si="154"/>
        <v>0</v>
      </c>
      <c r="U259" s="67">
        <f t="shared" si="154"/>
        <v>0</v>
      </c>
      <c r="V259" s="67">
        <f t="shared" si="154"/>
        <v>0</v>
      </c>
      <c r="W259" s="67">
        <f t="shared" si="154"/>
        <v>0</v>
      </c>
      <c r="X259" s="67">
        <f t="shared" si="154"/>
        <v>0</v>
      </c>
      <c r="Y259" s="67">
        <f t="shared" si="154"/>
        <v>0</v>
      </c>
      <c r="Z259" s="67">
        <f t="shared" si="154"/>
        <v>0</v>
      </c>
      <c r="AA259" s="67">
        <f t="shared" si="154"/>
        <v>0</v>
      </c>
      <c r="AB259" s="67">
        <f t="shared" si="154"/>
        <v>0</v>
      </c>
      <c r="AC259" s="67">
        <f t="shared" si="154"/>
        <v>0</v>
      </c>
      <c r="AD259" s="67">
        <f t="shared" si="154"/>
        <v>0</v>
      </c>
      <c r="AE259" s="67">
        <f t="shared" si="154"/>
        <v>0</v>
      </c>
      <c r="AF259" s="67">
        <f t="shared" si="154"/>
        <v>0</v>
      </c>
      <c r="AG259" s="67">
        <f t="shared" si="154"/>
        <v>0</v>
      </c>
      <c r="AH259" s="67">
        <f t="shared" si="154"/>
        <v>0</v>
      </c>
      <c r="AI259" s="67">
        <f t="shared" si="154"/>
        <v>0</v>
      </c>
      <c r="AJ259" s="67">
        <f t="shared" si="154"/>
        <v>508.07519195128413</v>
      </c>
      <c r="AK259" s="67">
        <f t="shared" si="154"/>
        <v>484.34132116140489</v>
      </c>
      <c r="AL259" s="67">
        <f t="shared" si="154"/>
        <v>510.13165989910181</v>
      </c>
      <c r="AM259" s="67">
        <f t="shared" si="154"/>
        <v>493.11047550947444</v>
      </c>
      <c r="AN259" s="67">
        <f t="shared" si="154"/>
        <v>437.41243331013686</v>
      </c>
      <c r="AO259" s="67">
        <f t="shared" si="154"/>
        <v>452.71900920349958</v>
      </c>
      <c r="AP259" s="67">
        <f t="shared" si="154"/>
        <v>447.27814644022038</v>
      </c>
      <c r="AQ259" s="67">
        <f t="shared" si="154"/>
        <v>455.29995539696694</v>
      </c>
      <c r="AR259" s="67">
        <f t="shared" si="154"/>
        <v>490.97616965456933</v>
      </c>
      <c r="AS259" s="67">
        <f t="shared" si="154"/>
        <v>458.44427743182308</v>
      </c>
      <c r="AT259" s="67">
        <f t="shared" si="154"/>
        <v>403.65285247284612</v>
      </c>
      <c r="AU259" s="67">
        <f t="shared" si="154"/>
        <v>382.57456503728253</v>
      </c>
      <c r="AV259" s="67">
        <f t="shared" si="154"/>
        <v>434.51004510045101</v>
      </c>
      <c r="AW259" s="67">
        <f t="shared" si="154"/>
        <v>453.81228391295502</v>
      </c>
      <c r="AX259" s="67">
        <f t="shared" si="154"/>
        <v>480.99600000000004</v>
      </c>
      <c r="AY259" s="67">
        <f t="shared" si="154"/>
        <v>499.73195069458035</v>
      </c>
      <c r="AZ259" s="67">
        <f t="shared" si="154"/>
        <v>570.70406301027776</v>
      </c>
      <c r="BA259" s="67">
        <f t="shared" si="154"/>
        <v>538.72854840238938</v>
      </c>
      <c r="BB259" s="67">
        <f t="shared" si="154"/>
        <v>559.84509624197995</v>
      </c>
      <c r="BC259" s="67">
        <f t="shared" si="154"/>
        <v>521.09397755504153</v>
      </c>
      <c r="BD259" s="67">
        <f t="shared" si="154"/>
        <v>542.31178831817817</v>
      </c>
      <c r="BE259" s="67">
        <f t="shared" si="154"/>
        <v>623.95276470118881</v>
      </c>
      <c r="BF259" s="67">
        <f t="shared" si="154"/>
        <v>576.54434728294814</v>
      </c>
      <c r="BG259" s="67">
        <f t="shared" si="154"/>
        <v>582.23748102538548</v>
      </c>
      <c r="BH259" s="67">
        <f t="shared" si="154"/>
        <v>0</v>
      </c>
    </row>
    <row r="260" spans="1:60" s="67" customFormat="1" x14ac:dyDescent="0.25">
      <c r="A260" s="67" t="str">
        <f t="shared" ref="A260:E260" si="157">A85</f>
        <v>Commerce</v>
      </c>
      <c r="B260" s="67" t="str">
        <f t="shared" si="157"/>
        <v>NOAA</v>
      </c>
      <c r="C260" s="67" t="str">
        <f t="shared" si="157"/>
        <v>NWS</v>
      </c>
      <c r="D260" s="67" t="str">
        <f t="shared" si="157"/>
        <v>Steady</v>
      </c>
      <c r="E260" s="67" t="str">
        <f t="shared" si="157"/>
        <v>Subprograms</v>
      </c>
      <c r="F260" s="67" t="s">
        <v>90</v>
      </c>
      <c r="H260" s="67" t="str">
        <f t="shared" si="147"/>
        <v>National Weather Service</v>
      </c>
      <c r="I260" s="67">
        <f t="shared" si="134"/>
        <v>0</v>
      </c>
      <c r="J260" s="67">
        <f t="shared" si="154"/>
        <v>0</v>
      </c>
      <c r="K260" s="67">
        <f t="shared" si="154"/>
        <v>0</v>
      </c>
      <c r="L260" s="67">
        <f t="shared" si="154"/>
        <v>0</v>
      </c>
      <c r="M260" s="67">
        <f t="shared" si="154"/>
        <v>0</v>
      </c>
      <c r="N260" s="67">
        <f t="shared" si="154"/>
        <v>0</v>
      </c>
      <c r="O260" s="67">
        <f t="shared" si="154"/>
        <v>0</v>
      </c>
      <c r="P260" s="67">
        <f t="shared" si="154"/>
        <v>0</v>
      </c>
      <c r="Q260" s="67">
        <f t="shared" si="154"/>
        <v>0</v>
      </c>
      <c r="R260" s="67">
        <f t="shared" si="154"/>
        <v>0</v>
      </c>
      <c r="S260" s="67">
        <f t="shared" si="154"/>
        <v>0</v>
      </c>
      <c r="T260" s="67">
        <f t="shared" si="154"/>
        <v>0</v>
      </c>
      <c r="U260" s="67">
        <f t="shared" si="154"/>
        <v>0</v>
      </c>
      <c r="V260" s="67">
        <f t="shared" si="154"/>
        <v>0</v>
      </c>
      <c r="W260" s="67">
        <f t="shared" si="154"/>
        <v>0</v>
      </c>
      <c r="X260" s="67">
        <f t="shared" si="154"/>
        <v>0</v>
      </c>
      <c r="Y260" s="67">
        <f t="shared" si="154"/>
        <v>0</v>
      </c>
      <c r="Z260" s="67">
        <f t="shared" si="154"/>
        <v>0</v>
      </c>
      <c r="AA260" s="67">
        <f t="shared" si="154"/>
        <v>0</v>
      </c>
      <c r="AB260" s="67">
        <f t="shared" si="154"/>
        <v>0</v>
      </c>
      <c r="AC260" s="67">
        <f t="shared" si="154"/>
        <v>0</v>
      </c>
      <c r="AD260" s="67">
        <f t="shared" si="154"/>
        <v>0</v>
      </c>
      <c r="AE260" s="67">
        <f t="shared" si="154"/>
        <v>0</v>
      </c>
      <c r="AF260" s="67">
        <f t="shared" si="154"/>
        <v>0</v>
      </c>
      <c r="AG260" s="67">
        <f t="shared" si="154"/>
        <v>0</v>
      </c>
      <c r="AH260" s="67">
        <f t="shared" si="154"/>
        <v>0</v>
      </c>
      <c r="AI260" s="67">
        <f t="shared" si="154"/>
        <v>0</v>
      </c>
      <c r="AJ260" s="67">
        <f t="shared" si="154"/>
        <v>983.58485570558651</v>
      </c>
      <c r="AK260" s="67">
        <f t="shared" si="154"/>
        <v>957.27145936350962</v>
      </c>
      <c r="AL260" s="67">
        <f t="shared" si="154"/>
        <v>1014.9796973052787</v>
      </c>
      <c r="AM260" s="67">
        <f t="shared" si="154"/>
        <v>933.12000953402458</v>
      </c>
      <c r="AN260" s="67">
        <f t="shared" si="154"/>
        <v>987.81141266527493</v>
      </c>
      <c r="AO260" s="67">
        <f t="shared" si="154"/>
        <v>1004.8767185547098</v>
      </c>
      <c r="AP260" s="67">
        <f t="shared" si="154"/>
        <v>1043.1526262512652</v>
      </c>
      <c r="AQ260" s="67">
        <f t="shared" si="154"/>
        <v>1069.2339429081178</v>
      </c>
      <c r="AR260" s="67">
        <f t="shared" si="154"/>
        <v>1092.965675557499</v>
      </c>
      <c r="AS260" s="67">
        <f t="shared" si="154"/>
        <v>1048.4013313291819</v>
      </c>
      <c r="AT260" s="67">
        <f t="shared" si="154"/>
        <v>1050.3163555836761</v>
      </c>
      <c r="AU260" s="67">
        <f t="shared" si="154"/>
        <v>987.53210439105226</v>
      </c>
      <c r="AV260" s="67">
        <f t="shared" si="154"/>
        <v>1089.1625666256662</v>
      </c>
      <c r="AW260" s="67">
        <f t="shared" si="154"/>
        <v>1105.8094366483626</v>
      </c>
      <c r="AX260" s="67">
        <f t="shared" si="154"/>
        <v>1121.8600000000001</v>
      </c>
      <c r="AY260" s="67">
        <f t="shared" si="154"/>
        <v>1093.4200743494423</v>
      </c>
      <c r="AZ260" s="67">
        <f t="shared" si="154"/>
        <v>1148.6869657093459</v>
      </c>
      <c r="BA260" s="67">
        <f t="shared" si="154"/>
        <v>1129.2945861382384</v>
      </c>
      <c r="BB260" s="67">
        <f t="shared" si="154"/>
        <v>1123.7708524289642</v>
      </c>
      <c r="BC260" s="67">
        <f t="shared" si="154"/>
        <v>1044.8787800908078</v>
      </c>
      <c r="BD260" s="67">
        <f t="shared" si="154"/>
        <v>1042.8442696813304</v>
      </c>
      <c r="BE260" s="67">
        <f t="shared" si="154"/>
        <v>1088.3268172025851</v>
      </c>
      <c r="BF260" s="67">
        <f t="shared" si="154"/>
        <v>1059.0623048094942</v>
      </c>
      <c r="BG260" s="67">
        <f t="shared" si="154"/>
        <v>1013.865287060738</v>
      </c>
      <c r="BH260" s="67">
        <f t="shared" si="154"/>
        <v>1107.4858497781859</v>
      </c>
    </row>
    <row r="261" spans="1:60" s="67" customFormat="1" x14ac:dyDescent="0.25">
      <c r="A261" s="67" t="str">
        <f t="shared" ref="A261:E261" si="158">A86</f>
        <v>Commerce</v>
      </c>
      <c r="B261" s="67" t="str">
        <f t="shared" si="158"/>
        <v>NOAA</v>
      </c>
      <c r="C261" s="67" t="str">
        <f t="shared" si="158"/>
        <v>NESDIS</v>
      </c>
      <c r="D261" s="67" t="str">
        <f t="shared" si="158"/>
        <v>Steady</v>
      </c>
      <c r="E261" s="67" t="str">
        <f t="shared" si="158"/>
        <v>Subprograms</v>
      </c>
      <c r="F261" s="67" t="s">
        <v>90</v>
      </c>
      <c r="H261" s="67" t="str">
        <f t="shared" si="147"/>
        <v>National Environmental Satelite, Data and Information Service</v>
      </c>
      <c r="I261" s="67">
        <f t="shared" si="134"/>
        <v>0</v>
      </c>
      <c r="J261" s="67">
        <f t="shared" si="154"/>
        <v>0</v>
      </c>
      <c r="K261" s="67">
        <f t="shared" si="154"/>
        <v>0</v>
      </c>
      <c r="L261" s="67">
        <f t="shared" si="154"/>
        <v>0</v>
      </c>
      <c r="M261" s="67">
        <f t="shared" si="154"/>
        <v>0</v>
      </c>
      <c r="N261" s="67">
        <f t="shared" si="154"/>
        <v>0</v>
      </c>
      <c r="O261" s="67">
        <f t="shared" si="154"/>
        <v>0</v>
      </c>
      <c r="P261" s="67">
        <f t="shared" si="154"/>
        <v>0</v>
      </c>
      <c r="Q261" s="67">
        <f t="shared" si="154"/>
        <v>0</v>
      </c>
      <c r="R261" s="67">
        <f t="shared" si="154"/>
        <v>0</v>
      </c>
      <c r="S261" s="67">
        <f t="shared" si="154"/>
        <v>0</v>
      </c>
      <c r="T261" s="67">
        <f t="shared" si="154"/>
        <v>0</v>
      </c>
      <c r="U261" s="67">
        <f t="shared" si="154"/>
        <v>0</v>
      </c>
      <c r="V261" s="67">
        <f t="shared" si="154"/>
        <v>0</v>
      </c>
      <c r="W261" s="67">
        <f t="shared" si="154"/>
        <v>0</v>
      </c>
      <c r="X261" s="67">
        <f t="shared" si="154"/>
        <v>0</v>
      </c>
      <c r="Y261" s="67">
        <f t="shared" si="154"/>
        <v>0</v>
      </c>
      <c r="Z261" s="67">
        <f t="shared" si="154"/>
        <v>0</v>
      </c>
      <c r="AA261" s="67">
        <f t="shared" si="154"/>
        <v>0</v>
      </c>
      <c r="AB261" s="67">
        <f t="shared" si="154"/>
        <v>0</v>
      </c>
      <c r="AC261" s="67">
        <f t="shared" si="154"/>
        <v>0</v>
      </c>
      <c r="AD261" s="67">
        <f t="shared" si="154"/>
        <v>0</v>
      </c>
      <c r="AE261" s="67">
        <f t="shared" si="154"/>
        <v>0</v>
      </c>
      <c r="AF261" s="67">
        <f t="shared" si="154"/>
        <v>0</v>
      </c>
      <c r="AG261" s="67">
        <f t="shared" si="154"/>
        <v>0</v>
      </c>
      <c r="AH261" s="67">
        <f t="shared" si="154"/>
        <v>0</v>
      </c>
      <c r="AI261" s="67">
        <f t="shared" si="154"/>
        <v>0</v>
      </c>
      <c r="AJ261" s="67">
        <f t="shared" si="154"/>
        <v>932.22133968758283</v>
      </c>
      <c r="AK261" s="67">
        <f t="shared" si="154"/>
        <v>995.30873589451005</v>
      </c>
      <c r="AL261" s="67">
        <f t="shared" si="154"/>
        <v>1017.6645748738773</v>
      </c>
      <c r="AM261" s="67">
        <f t="shared" si="154"/>
        <v>1081.4539387438922</v>
      </c>
      <c r="AN261" s="67">
        <f t="shared" si="154"/>
        <v>1094.1382509858502</v>
      </c>
      <c r="AO261" s="67">
        <f t="shared" si="154"/>
        <v>1117.219634132485</v>
      </c>
      <c r="AP261" s="67">
        <f t="shared" si="154"/>
        <v>1073.1323810594984</v>
      </c>
      <c r="AQ261" s="67">
        <f t="shared" si="154"/>
        <v>1313.5604371097234</v>
      </c>
      <c r="AR261" s="67">
        <f t="shared" si="154"/>
        <v>1528.7735024048973</v>
      </c>
      <c r="AS261" s="67">
        <f t="shared" si="154"/>
        <v>1550.4380502469401</v>
      </c>
      <c r="AT261" s="67">
        <f t="shared" si="154"/>
        <v>1978.4751660866814</v>
      </c>
      <c r="AU261" s="67">
        <f t="shared" si="154"/>
        <v>1931.2603562551781</v>
      </c>
      <c r="AV261" s="67">
        <f t="shared" si="154"/>
        <v>2139.2927429274291</v>
      </c>
      <c r="AW261" s="67">
        <f t="shared" si="154"/>
        <v>2260.6711409395971</v>
      </c>
      <c r="AX261" s="67">
        <f t="shared" si="154"/>
        <v>2344.5709999999999</v>
      </c>
      <c r="AY261" s="67">
        <f t="shared" si="154"/>
        <v>2147.9563686167089</v>
      </c>
      <c r="AZ261" s="67">
        <f t="shared" si="154"/>
        <v>2008.9539909710884</v>
      </c>
      <c r="BA261" s="67">
        <f t="shared" si="154"/>
        <v>1601.4563382952499</v>
      </c>
      <c r="BB261" s="67">
        <f t="shared" si="154"/>
        <v>1387.5976168652612</v>
      </c>
      <c r="BC261" s="67">
        <f t="shared" si="154"/>
        <v>1284.040949199006</v>
      </c>
      <c r="BD261" s="67">
        <f t="shared" si="154"/>
        <v>1313.1809617432623</v>
      </c>
      <c r="BE261" s="67">
        <f t="shared" si="154"/>
        <v>1362.8022021862282</v>
      </c>
      <c r="BF261" s="67">
        <f t="shared" si="154"/>
        <v>1406.1360087445348</v>
      </c>
      <c r="BG261" s="67">
        <f t="shared" si="154"/>
        <v>1297.6608975470217</v>
      </c>
      <c r="BH261" s="67">
        <f t="shared" si="154"/>
        <v>1171.3117638060273</v>
      </c>
    </row>
    <row r="262" spans="1:60" s="67" customFormat="1" x14ac:dyDescent="0.25">
      <c r="A262" s="67" t="str">
        <f t="shared" ref="A262:E262" si="159">A87</f>
        <v>Commerce</v>
      </c>
      <c r="B262" s="67" t="str">
        <f t="shared" si="159"/>
        <v>NOAA</v>
      </c>
      <c r="C262" s="67" t="str">
        <f t="shared" si="159"/>
        <v>OMAO</v>
      </c>
      <c r="D262" s="67" t="str">
        <f t="shared" si="159"/>
        <v>Steady</v>
      </c>
      <c r="E262" s="67" t="str">
        <f t="shared" si="159"/>
        <v>Subprograms</v>
      </c>
      <c r="F262" s="67" t="s">
        <v>90</v>
      </c>
      <c r="H262" s="67" t="str">
        <f t="shared" si="147"/>
        <v>Office of Marine and Aviation Operations</v>
      </c>
      <c r="I262" s="67">
        <f t="shared" si="134"/>
        <v>0</v>
      </c>
      <c r="J262" s="67">
        <f t="shared" si="154"/>
        <v>0</v>
      </c>
      <c r="K262" s="67">
        <f t="shared" si="154"/>
        <v>0</v>
      </c>
      <c r="L262" s="67">
        <f t="shared" si="154"/>
        <v>0</v>
      </c>
      <c r="M262" s="67">
        <f t="shared" si="154"/>
        <v>0</v>
      </c>
      <c r="N262" s="67">
        <f t="shared" si="154"/>
        <v>0</v>
      </c>
      <c r="O262" s="67">
        <f t="shared" si="154"/>
        <v>0</v>
      </c>
      <c r="P262" s="67">
        <f t="shared" si="154"/>
        <v>0</v>
      </c>
      <c r="Q262" s="67">
        <f t="shared" si="154"/>
        <v>0</v>
      </c>
      <c r="R262" s="67">
        <f t="shared" si="154"/>
        <v>0</v>
      </c>
      <c r="S262" s="67">
        <f t="shared" si="154"/>
        <v>0</v>
      </c>
      <c r="T262" s="67">
        <f t="shared" si="154"/>
        <v>0</v>
      </c>
      <c r="U262" s="67">
        <f t="shared" si="154"/>
        <v>0</v>
      </c>
      <c r="V262" s="67">
        <f t="shared" si="154"/>
        <v>0</v>
      </c>
      <c r="W262" s="67">
        <f t="shared" si="154"/>
        <v>0</v>
      </c>
      <c r="X262" s="67">
        <f t="shared" si="154"/>
        <v>0</v>
      </c>
      <c r="Y262" s="67">
        <f t="shared" si="154"/>
        <v>0</v>
      </c>
      <c r="Z262" s="67">
        <f t="shared" si="154"/>
        <v>0</v>
      </c>
      <c r="AA262" s="67">
        <f t="shared" si="154"/>
        <v>0</v>
      </c>
      <c r="AB262" s="67">
        <f t="shared" si="154"/>
        <v>0</v>
      </c>
      <c r="AC262" s="67">
        <f t="shared" si="154"/>
        <v>0</v>
      </c>
      <c r="AD262" s="67">
        <f t="shared" si="154"/>
        <v>0</v>
      </c>
      <c r="AE262" s="67">
        <f t="shared" si="154"/>
        <v>0</v>
      </c>
      <c r="AF262" s="67">
        <f t="shared" si="154"/>
        <v>0</v>
      </c>
      <c r="AG262" s="67">
        <f t="shared" si="154"/>
        <v>0</v>
      </c>
      <c r="AH262" s="67">
        <f t="shared" si="154"/>
        <v>0</v>
      </c>
      <c r="AI262" s="67">
        <f t="shared" si="154"/>
        <v>0</v>
      </c>
      <c r="AJ262" s="67">
        <f t="shared" si="154"/>
        <v>118.61265554673021</v>
      </c>
      <c r="AK262" s="67">
        <f t="shared" si="154"/>
        <v>95.727145936350965</v>
      </c>
      <c r="AL262" s="67">
        <f t="shared" si="154"/>
        <v>139.70837947582135</v>
      </c>
      <c r="AM262" s="67">
        <f t="shared" si="154"/>
        <v>172.26671433678942</v>
      </c>
      <c r="AN262" s="67">
        <f t="shared" ref="J262:BH267" si="160">AN87/AN$175</f>
        <v>155.76896311760612</v>
      </c>
      <c r="AO262" s="67">
        <f t="shared" si="160"/>
        <v>136.38109305760707</v>
      </c>
      <c r="AP262" s="67">
        <f t="shared" si="160"/>
        <v>142.46316499831289</v>
      </c>
      <c r="AQ262" s="67">
        <f t="shared" si="160"/>
        <v>198.54482604817127</v>
      </c>
      <c r="AR262" s="67">
        <f t="shared" si="160"/>
        <v>182.19064276344557</v>
      </c>
      <c r="AS262" s="67">
        <f t="shared" si="160"/>
        <v>199.27206356023191</v>
      </c>
      <c r="AT262" s="67">
        <f t="shared" si="160"/>
        <v>194.68206263840554</v>
      </c>
      <c r="AU262" s="67">
        <f t="shared" si="160"/>
        <v>206.07394366197184</v>
      </c>
      <c r="AV262" s="67">
        <f t="shared" si="160"/>
        <v>211.56211562115621</v>
      </c>
      <c r="AW262" s="67">
        <f t="shared" si="160"/>
        <v>216.18873296725644</v>
      </c>
      <c r="AX262" s="67">
        <f t="shared" si="160"/>
        <v>302.42700000000002</v>
      </c>
      <c r="AY262" s="67">
        <f t="shared" si="160"/>
        <v>293.28996282527879</v>
      </c>
      <c r="AZ262" s="67">
        <f t="shared" si="160"/>
        <v>437.81769282489677</v>
      </c>
      <c r="BA262" s="67">
        <f t="shared" si="160"/>
        <v>306.62273632312503</v>
      </c>
      <c r="BB262" s="67">
        <f t="shared" si="160"/>
        <v>314.09990834097158</v>
      </c>
      <c r="BC262" s="67">
        <f t="shared" si="160"/>
        <v>323.03435277991946</v>
      </c>
      <c r="BD262" s="67">
        <f t="shared" si="160"/>
        <v>343.24567870893753</v>
      </c>
      <c r="BE262" s="67">
        <f t="shared" si="160"/>
        <v>367.82893162052181</v>
      </c>
      <c r="BF262" s="67">
        <f t="shared" si="160"/>
        <v>367.04871955028108</v>
      </c>
      <c r="BG262" s="67">
        <f t="shared" si="160"/>
        <v>344.65098341579085</v>
      </c>
      <c r="BH262" s="67">
        <f t="shared" si="160"/>
        <v>250.2807098057213</v>
      </c>
    </row>
    <row r="263" spans="1:60" s="67" customFormat="1" x14ac:dyDescent="0.25">
      <c r="A263" s="67" t="str">
        <f t="shared" ref="A263:E263" si="161">A88</f>
        <v>Commerce</v>
      </c>
      <c r="B263" s="67" t="str">
        <f t="shared" si="161"/>
        <v>NOAA</v>
      </c>
      <c r="C263" s="67" t="str">
        <f t="shared" si="161"/>
        <v>ARRA</v>
      </c>
      <c r="D263" s="67" t="str">
        <f t="shared" si="161"/>
        <v>One-year</v>
      </c>
      <c r="E263" s="67" t="str">
        <f t="shared" si="161"/>
        <v>Subprograms</v>
      </c>
      <c r="F263" s="67" t="s">
        <v>90</v>
      </c>
      <c r="H263" s="67" t="str">
        <f t="shared" si="147"/>
        <v>American Recovery and Reinvestment Act of 2009</v>
      </c>
      <c r="I263" s="67">
        <f t="shared" si="134"/>
        <v>0</v>
      </c>
      <c r="J263" s="67">
        <f t="shared" si="160"/>
        <v>0</v>
      </c>
      <c r="K263" s="67">
        <f t="shared" si="160"/>
        <v>0</v>
      </c>
      <c r="L263" s="67">
        <f t="shared" si="160"/>
        <v>0</v>
      </c>
      <c r="M263" s="67">
        <f t="shared" si="160"/>
        <v>0</v>
      </c>
      <c r="N263" s="67">
        <f t="shared" si="160"/>
        <v>0</v>
      </c>
      <c r="O263" s="67">
        <f t="shared" si="160"/>
        <v>0</v>
      </c>
      <c r="P263" s="67">
        <f t="shared" si="160"/>
        <v>0</v>
      </c>
      <c r="Q263" s="67">
        <f t="shared" si="160"/>
        <v>0</v>
      </c>
      <c r="R263" s="67">
        <f t="shared" si="160"/>
        <v>0</v>
      </c>
      <c r="S263" s="67">
        <f t="shared" si="160"/>
        <v>0</v>
      </c>
      <c r="T263" s="67">
        <f t="shared" si="160"/>
        <v>0</v>
      </c>
      <c r="U263" s="67">
        <f t="shared" si="160"/>
        <v>0</v>
      </c>
      <c r="V263" s="67">
        <f t="shared" si="160"/>
        <v>0</v>
      </c>
      <c r="W263" s="67">
        <f t="shared" si="160"/>
        <v>0</v>
      </c>
      <c r="X263" s="67">
        <f t="shared" si="160"/>
        <v>0</v>
      </c>
      <c r="Y263" s="67">
        <f t="shared" si="160"/>
        <v>0</v>
      </c>
      <c r="Z263" s="67">
        <f t="shared" si="160"/>
        <v>0</v>
      </c>
      <c r="AA263" s="67">
        <f t="shared" si="160"/>
        <v>0</v>
      </c>
      <c r="AB263" s="67">
        <f t="shared" si="160"/>
        <v>0</v>
      </c>
      <c r="AC263" s="67">
        <f t="shared" si="160"/>
        <v>0</v>
      </c>
      <c r="AD263" s="67">
        <f t="shared" si="160"/>
        <v>0</v>
      </c>
      <c r="AE263" s="67">
        <f t="shared" si="160"/>
        <v>0</v>
      </c>
      <c r="AF263" s="67">
        <f t="shared" si="160"/>
        <v>0</v>
      </c>
      <c r="AG263" s="67">
        <f t="shared" si="160"/>
        <v>0</v>
      </c>
      <c r="AH263" s="67">
        <f t="shared" si="160"/>
        <v>0</v>
      </c>
      <c r="AI263" s="67">
        <f t="shared" si="160"/>
        <v>0</v>
      </c>
      <c r="AJ263" s="67">
        <f t="shared" si="160"/>
        <v>0</v>
      </c>
      <c r="AK263" s="67">
        <f t="shared" si="160"/>
        <v>0</v>
      </c>
      <c r="AL263" s="67">
        <f t="shared" si="160"/>
        <v>0</v>
      </c>
      <c r="AM263" s="67">
        <f t="shared" si="160"/>
        <v>0</v>
      </c>
      <c r="AN263" s="67">
        <f t="shared" si="160"/>
        <v>0</v>
      </c>
      <c r="AO263" s="67">
        <f t="shared" si="160"/>
        <v>0</v>
      </c>
      <c r="AP263" s="67">
        <f t="shared" si="160"/>
        <v>0</v>
      </c>
      <c r="AQ263" s="67">
        <f t="shared" si="160"/>
        <v>925.51293487957173</v>
      </c>
      <c r="AR263" s="67">
        <f t="shared" si="160"/>
        <v>0</v>
      </c>
      <c r="AS263" s="67">
        <f t="shared" si="160"/>
        <v>0</v>
      </c>
      <c r="AT263" s="67">
        <f t="shared" si="160"/>
        <v>0</v>
      </c>
      <c r="AU263" s="67">
        <f t="shared" si="160"/>
        <v>0</v>
      </c>
      <c r="AV263" s="67">
        <f t="shared" si="160"/>
        <v>0</v>
      </c>
      <c r="AW263" s="67">
        <f t="shared" si="160"/>
        <v>0</v>
      </c>
      <c r="AX263" s="67">
        <f t="shared" si="160"/>
        <v>0</v>
      </c>
      <c r="AY263" s="67">
        <f t="shared" si="160"/>
        <v>0</v>
      </c>
      <c r="AZ263" s="67">
        <f t="shared" si="160"/>
        <v>0</v>
      </c>
      <c r="BA263" s="67">
        <f t="shared" si="160"/>
        <v>0</v>
      </c>
      <c r="BB263" s="67">
        <f t="shared" si="160"/>
        <v>0</v>
      </c>
      <c r="BC263" s="67">
        <f t="shared" si="160"/>
        <v>0</v>
      </c>
      <c r="BD263" s="67">
        <f t="shared" si="160"/>
        <v>0</v>
      </c>
      <c r="BE263" s="67">
        <f t="shared" si="160"/>
        <v>0</v>
      </c>
      <c r="BF263" s="67">
        <f t="shared" si="160"/>
        <v>0</v>
      </c>
      <c r="BG263" s="67" t="e">
        <f t="shared" si="160"/>
        <v>#VALUE!</v>
      </c>
      <c r="BH263" s="67">
        <f t="shared" si="160"/>
        <v>0</v>
      </c>
    </row>
    <row r="264" spans="1:60" s="67" customFormat="1" x14ac:dyDescent="0.25">
      <c r="A264" s="67" t="str">
        <f t="shared" ref="A264:E264" si="162">A89</f>
        <v>Commerce</v>
      </c>
      <c r="B264" s="67" t="str">
        <f t="shared" si="162"/>
        <v>NIST</v>
      </c>
      <c r="C264" s="67" t="str">
        <f t="shared" si="162"/>
        <v>NIST</v>
      </c>
      <c r="D264" s="67" t="str">
        <f t="shared" si="162"/>
        <v>Steady</v>
      </c>
      <c r="E264" s="67" t="str">
        <f t="shared" si="162"/>
        <v>Program</v>
      </c>
      <c r="F264" s="67" t="s">
        <v>90</v>
      </c>
      <c r="H264" s="67" t="str">
        <f t="shared" si="147"/>
        <v>National Institute of Standards and Technology</v>
      </c>
      <c r="I264" s="67">
        <f t="shared" si="134"/>
        <v>0</v>
      </c>
      <c r="J264" s="67">
        <f t="shared" si="160"/>
        <v>0</v>
      </c>
      <c r="K264" s="67">
        <f t="shared" si="160"/>
        <v>0</v>
      </c>
      <c r="L264" s="67">
        <f t="shared" si="160"/>
        <v>0</v>
      </c>
      <c r="M264" s="67">
        <f t="shared" si="160"/>
        <v>0</v>
      </c>
      <c r="N264" s="67">
        <f t="shared" si="160"/>
        <v>0</v>
      </c>
      <c r="O264" s="67">
        <f t="shared" si="160"/>
        <v>0</v>
      </c>
      <c r="P264" s="67">
        <f t="shared" si="160"/>
        <v>0</v>
      </c>
      <c r="Q264" s="67">
        <f t="shared" si="160"/>
        <v>0</v>
      </c>
      <c r="R264" s="67">
        <f t="shared" si="160"/>
        <v>0</v>
      </c>
      <c r="S264" s="67">
        <f t="shared" si="160"/>
        <v>0</v>
      </c>
      <c r="T264" s="67">
        <f t="shared" si="160"/>
        <v>0</v>
      </c>
      <c r="U264" s="67">
        <f t="shared" si="160"/>
        <v>0</v>
      </c>
      <c r="V264" s="67">
        <f t="shared" si="160"/>
        <v>0</v>
      </c>
      <c r="W264" s="67">
        <f t="shared" si="160"/>
        <v>0</v>
      </c>
      <c r="X264" s="67">
        <f t="shared" si="160"/>
        <v>277.60928498813962</v>
      </c>
      <c r="Y264" s="67">
        <f t="shared" si="160"/>
        <v>352.24112547030916</v>
      </c>
      <c r="Z264" s="67">
        <f t="shared" si="160"/>
        <v>393.73284391956588</v>
      </c>
      <c r="AA264" s="67">
        <f t="shared" si="160"/>
        <v>593.726804927491</v>
      </c>
      <c r="AB264" s="67">
        <f t="shared" si="160"/>
        <v>795.11674042423317</v>
      </c>
      <c r="AC264" s="67">
        <f t="shared" si="160"/>
        <v>1046.0251046025105</v>
      </c>
      <c r="AD264" s="67">
        <f t="shared" si="160"/>
        <v>799.35464945731894</v>
      </c>
      <c r="AE264" s="67">
        <f t="shared" si="160"/>
        <v>814.23836287649522</v>
      </c>
      <c r="AF264" s="67">
        <f t="shared" si="160"/>
        <v>964.98719043552524</v>
      </c>
      <c r="AG264" s="67">
        <f t="shared" si="160"/>
        <v>930.69028539294243</v>
      </c>
      <c r="AH264" s="67">
        <f t="shared" si="160"/>
        <v>873.15796722214577</v>
      </c>
      <c r="AI264" s="67">
        <f t="shared" si="160"/>
        <v>804.08766975931155</v>
      </c>
      <c r="AJ264" s="67">
        <f t="shared" si="160"/>
        <v>906.20333598093737</v>
      </c>
      <c r="AK264" s="67">
        <f t="shared" si="160"/>
        <v>897.67972613160907</v>
      </c>
      <c r="AL264" s="67">
        <f t="shared" si="160"/>
        <v>748.12353882121329</v>
      </c>
      <c r="AM264" s="67">
        <f t="shared" si="160"/>
        <v>841.0022643308306</v>
      </c>
      <c r="AN264" s="67">
        <f t="shared" si="160"/>
        <v>872.23034098816993</v>
      </c>
      <c r="AO264" s="67">
        <f t="shared" si="160"/>
        <v>769.08987615043748</v>
      </c>
      <c r="AP264" s="67">
        <f t="shared" si="160"/>
        <v>850.12597008210548</v>
      </c>
      <c r="AQ264" s="67">
        <f t="shared" si="160"/>
        <v>913.24710080285456</v>
      </c>
      <c r="AR264" s="67">
        <f t="shared" si="160"/>
        <v>936.3795365107128</v>
      </c>
      <c r="AS264" s="67">
        <f t="shared" si="160"/>
        <v>805.23942452222457</v>
      </c>
      <c r="AT264" s="67">
        <f t="shared" si="160"/>
        <v>791.75788252662653</v>
      </c>
      <c r="AU264" s="67">
        <f t="shared" si="160"/>
        <v>802.57042253521138</v>
      </c>
      <c r="AV264" s="67">
        <f t="shared" si="160"/>
        <v>871.25871258712584</v>
      </c>
      <c r="AW264" s="67">
        <f t="shared" si="160"/>
        <v>878.48281472442534</v>
      </c>
      <c r="AX264" s="67">
        <f t="shared" si="160"/>
        <v>964</v>
      </c>
      <c r="AY264" s="67">
        <f t="shared" si="160"/>
        <v>931.32459401291328</v>
      </c>
      <c r="AZ264" s="67">
        <f t="shared" si="160"/>
        <v>1151.1862453174529</v>
      </c>
      <c r="BA264" s="67">
        <f t="shared" si="160"/>
        <v>934.38892576087994</v>
      </c>
      <c r="BB264" s="67">
        <f t="shared" si="160"/>
        <v>947.75435380384965</v>
      </c>
      <c r="BC264" s="67">
        <f t="shared" si="160"/>
        <v>1127.3879893771953</v>
      </c>
      <c r="BD264" s="67">
        <f t="shared" si="160"/>
        <v>956.82804947980674</v>
      </c>
      <c r="BE264" s="67">
        <f t="shared" si="160"/>
        <v>1894.9972073725364</v>
      </c>
      <c r="BF264" s="67">
        <f t="shared" si="160"/>
        <v>1139.9125546533417</v>
      </c>
      <c r="BG264" s="67">
        <f t="shared" si="160"/>
        <v>884.89903625516308</v>
      </c>
      <c r="BH264" s="67">
        <f t="shared" si="160"/>
        <v>636.37754321554235</v>
      </c>
    </row>
    <row r="265" spans="1:60" s="67" customFormat="1" x14ac:dyDescent="0.25">
      <c r="A265" s="67" t="str">
        <f t="shared" ref="A265:E265" si="163">A90</f>
        <v>Commerce</v>
      </c>
      <c r="B265" s="67" t="str">
        <f t="shared" si="163"/>
        <v>NIST</v>
      </c>
      <c r="C265" s="67" t="str">
        <f t="shared" si="163"/>
        <v>STR</v>
      </c>
      <c r="D265" s="67" t="str">
        <f t="shared" si="163"/>
        <v>Steady</v>
      </c>
      <c r="E265" s="67" t="str">
        <f t="shared" si="163"/>
        <v>Subprograms</v>
      </c>
      <c r="F265" s="67" t="s">
        <v>90</v>
      </c>
      <c r="H265" s="67" t="str">
        <f t="shared" si="147"/>
        <v>Scientific and Technical Research and Services</v>
      </c>
      <c r="I265" s="67">
        <f t="shared" si="134"/>
        <v>0</v>
      </c>
      <c r="J265" s="67">
        <f t="shared" si="160"/>
        <v>0</v>
      </c>
      <c r="K265" s="67">
        <f t="shared" si="160"/>
        <v>0</v>
      </c>
      <c r="L265" s="67">
        <f t="shared" si="160"/>
        <v>0</v>
      </c>
      <c r="M265" s="67">
        <f t="shared" si="160"/>
        <v>0</v>
      </c>
      <c r="N265" s="67">
        <f t="shared" si="160"/>
        <v>0</v>
      </c>
      <c r="O265" s="67">
        <f t="shared" si="160"/>
        <v>0</v>
      </c>
      <c r="P265" s="67">
        <f t="shared" si="160"/>
        <v>0</v>
      </c>
      <c r="Q265" s="67">
        <f t="shared" si="160"/>
        <v>0</v>
      </c>
      <c r="R265" s="67">
        <f t="shared" si="160"/>
        <v>0</v>
      </c>
      <c r="S265" s="67">
        <f t="shared" si="160"/>
        <v>0</v>
      </c>
      <c r="T265" s="67">
        <f t="shared" si="160"/>
        <v>0</v>
      </c>
      <c r="U265" s="67">
        <f t="shared" si="160"/>
        <v>0</v>
      </c>
      <c r="V265" s="67">
        <f t="shared" si="160"/>
        <v>0</v>
      </c>
      <c r="W265" s="67">
        <f t="shared" si="160"/>
        <v>0</v>
      </c>
      <c r="X265" s="67">
        <f t="shared" si="160"/>
        <v>276.66214842426297</v>
      </c>
      <c r="Y265" s="67">
        <f t="shared" si="160"/>
        <v>267.35645345983971</v>
      </c>
      <c r="Z265" s="67">
        <f t="shared" si="160"/>
        <v>288.77274178104051</v>
      </c>
      <c r="AA265" s="67">
        <f t="shared" si="160"/>
        <v>299.49165757055982</v>
      </c>
      <c r="AB265" s="67">
        <f t="shared" si="160"/>
        <v>344.65130474591791</v>
      </c>
      <c r="AC265" s="67">
        <f t="shared" si="160"/>
        <v>363.12014345487148</v>
      </c>
      <c r="AD265" s="67">
        <f t="shared" si="160"/>
        <v>378.41009093575832</v>
      </c>
      <c r="AE265" s="67">
        <f t="shared" si="160"/>
        <v>386.22279867416057</v>
      </c>
      <c r="AF265" s="67">
        <f t="shared" si="160"/>
        <v>394.24992883575294</v>
      </c>
      <c r="AG265" s="67">
        <f t="shared" si="160"/>
        <v>393.64543793054969</v>
      </c>
      <c r="AH265" s="67">
        <f t="shared" si="160"/>
        <v>388.37625671395125</v>
      </c>
      <c r="AI265" s="67">
        <f t="shared" si="160"/>
        <v>419.52400161355382</v>
      </c>
      <c r="AJ265" s="67">
        <f t="shared" si="160"/>
        <v>436.85464654487691</v>
      </c>
      <c r="AK265" s="67">
        <f t="shared" si="160"/>
        <v>452.64359071890453</v>
      </c>
      <c r="AL265" s="67">
        <f t="shared" si="160"/>
        <v>413.43669250645996</v>
      </c>
      <c r="AM265" s="67">
        <f t="shared" si="160"/>
        <v>451.67441306161368</v>
      </c>
      <c r="AN265" s="67">
        <f t="shared" si="160"/>
        <v>460.4500115982371</v>
      </c>
      <c r="AO265" s="67">
        <f t="shared" si="160"/>
        <v>497.6707192364504</v>
      </c>
      <c r="AP265" s="67">
        <f t="shared" si="160"/>
        <v>501.63086267011585</v>
      </c>
      <c r="AQ265" s="67">
        <f t="shared" si="160"/>
        <v>526.31578947368416</v>
      </c>
      <c r="AR265" s="67">
        <f t="shared" si="160"/>
        <v>568.43025797988639</v>
      </c>
      <c r="AS265" s="67">
        <f t="shared" si="160"/>
        <v>534.03478634313933</v>
      </c>
      <c r="AT265" s="67">
        <f t="shared" si="160"/>
        <v>597.91205314773799</v>
      </c>
      <c r="AU265" s="67">
        <f t="shared" si="160"/>
        <v>600.42564208782096</v>
      </c>
      <c r="AV265" s="67">
        <f t="shared" si="160"/>
        <v>667.28167281672813</v>
      </c>
      <c r="AW265" s="67">
        <f t="shared" si="160"/>
        <v>686.90258287573715</v>
      </c>
      <c r="AX265" s="67">
        <f t="shared" si="160"/>
        <v>690</v>
      </c>
      <c r="AY265" s="67">
        <f t="shared" si="160"/>
        <v>675.01467423204849</v>
      </c>
      <c r="AZ265" s="67">
        <f t="shared" si="160"/>
        <v>695.89856882143897</v>
      </c>
      <c r="BA265" s="67">
        <f t="shared" si="160"/>
        <v>686.92519199772448</v>
      </c>
      <c r="BB265" s="67">
        <f t="shared" si="160"/>
        <v>691.10907424381298</v>
      </c>
      <c r="BC265" s="67">
        <f t="shared" si="160"/>
        <v>688.76895399640193</v>
      </c>
      <c r="BD265" s="67">
        <f t="shared" si="160"/>
        <v>682.39534693208816</v>
      </c>
      <c r="BE265" s="67">
        <f t="shared" si="160"/>
        <v>954.28069895475937</v>
      </c>
      <c r="BF265" s="67">
        <f t="shared" si="160"/>
        <v>843.22298563397885</v>
      </c>
      <c r="BG265" s="67">
        <f t="shared" si="160"/>
        <v>655.62108000611909</v>
      </c>
      <c r="BH265" s="67">
        <f t="shared" si="160"/>
        <v>540.76793636224568</v>
      </c>
    </row>
    <row r="266" spans="1:60" s="67" customFormat="1" x14ac:dyDescent="0.25">
      <c r="A266" s="67" t="str">
        <f t="shared" ref="A266:E266" si="164">A91</f>
        <v>Commerce</v>
      </c>
      <c r="B266" s="67" t="str">
        <f t="shared" si="164"/>
        <v>NIST</v>
      </c>
      <c r="C266" s="67" t="str">
        <f t="shared" si="164"/>
        <v>ITS</v>
      </c>
      <c r="D266" s="67" t="str">
        <f t="shared" si="164"/>
        <v>Steady</v>
      </c>
      <c r="E266" s="67" t="str">
        <f t="shared" si="164"/>
        <v>Subprograms</v>
      </c>
      <c r="F266" s="67" t="s">
        <v>90</v>
      </c>
      <c r="H266" s="67" t="str">
        <f t="shared" si="147"/>
        <v>Industrial Technology Services</v>
      </c>
      <c r="I266" s="67">
        <f t="shared" si="134"/>
        <v>0</v>
      </c>
      <c r="J266" s="67">
        <f t="shared" si="160"/>
        <v>0</v>
      </c>
      <c r="K266" s="67">
        <f t="shared" si="160"/>
        <v>0</v>
      </c>
      <c r="L266" s="67">
        <f t="shared" si="160"/>
        <v>0</v>
      </c>
      <c r="M266" s="67">
        <f t="shared" si="160"/>
        <v>0</v>
      </c>
      <c r="N266" s="67">
        <f t="shared" si="160"/>
        <v>0</v>
      </c>
      <c r="O266" s="67">
        <f t="shared" si="160"/>
        <v>0</v>
      </c>
      <c r="P266" s="67">
        <f t="shared" si="160"/>
        <v>0</v>
      </c>
      <c r="Q266" s="67">
        <f t="shared" si="160"/>
        <v>0</v>
      </c>
      <c r="R266" s="67">
        <f t="shared" si="160"/>
        <v>0</v>
      </c>
      <c r="S266" s="67">
        <f t="shared" si="160"/>
        <v>0</v>
      </c>
      <c r="T266" s="67">
        <f t="shared" si="160"/>
        <v>0</v>
      </c>
      <c r="U266" s="67">
        <f t="shared" si="160"/>
        <v>0</v>
      </c>
      <c r="V266" s="67">
        <f t="shared" si="160"/>
        <v>0</v>
      </c>
      <c r="W266" s="67">
        <f t="shared" si="160"/>
        <v>0</v>
      </c>
      <c r="X266" s="67">
        <f t="shared" si="160"/>
        <v>0</v>
      </c>
      <c r="Y266" s="67">
        <f t="shared" si="160"/>
        <v>80.318992311467369</v>
      </c>
      <c r="Z266" s="67">
        <f t="shared" si="160"/>
        <v>101.6804979253112</v>
      </c>
      <c r="AA266" s="67">
        <f t="shared" si="160"/>
        <v>134.20707937002962</v>
      </c>
      <c r="AB266" s="67">
        <f t="shared" si="160"/>
        <v>352.8673889821456</v>
      </c>
      <c r="AC266" s="67">
        <f t="shared" si="160"/>
        <v>623.13209802749554</v>
      </c>
      <c r="AD266" s="67">
        <f t="shared" si="160"/>
        <v>441.47843942505136</v>
      </c>
      <c r="AE266" s="67">
        <f t="shared" si="160"/>
        <v>451.07364173512036</v>
      </c>
      <c r="AF266" s="67">
        <f t="shared" si="160"/>
        <v>435.52519214346711</v>
      </c>
      <c r="AG266" s="67">
        <f t="shared" si="160"/>
        <v>456.90988331224514</v>
      </c>
      <c r="AH266" s="67">
        <f t="shared" si="160"/>
        <v>338.79630904834045</v>
      </c>
      <c r="AI266" s="67">
        <f t="shared" si="160"/>
        <v>336.15705257496302</v>
      </c>
      <c r="AJ266" s="67">
        <f t="shared" si="160"/>
        <v>385.22637013502782</v>
      </c>
      <c r="AK266" s="67">
        <f t="shared" si="160"/>
        <v>353.74667173830358</v>
      </c>
      <c r="AL266" s="67">
        <f t="shared" si="160"/>
        <v>255.93700012304663</v>
      </c>
      <c r="AM266" s="67">
        <f t="shared" si="160"/>
        <v>290.78774877845314</v>
      </c>
      <c r="AN266" s="67">
        <f t="shared" si="160"/>
        <v>205.28879610299236</v>
      </c>
      <c r="AO266" s="67">
        <f t="shared" si="160"/>
        <v>201.11350982842859</v>
      </c>
      <c r="AP266" s="67">
        <f t="shared" si="160"/>
        <v>151.83893825216512</v>
      </c>
      <c r="AQ266" s="67">
        <f t="shared" si="160"/>
        <v>195.13826940231934</v>
      </c>
      <c r="AR266" s="67">
        <f t="shared" si="160"/>
        <v>213.16134674245737</v>
      </c>
      <c r="AS266" s="67">
        <f t="shared" si="160"/>
        <v>186.01352802233197</v>
      </c>
      <c r="AT266" s="67">
        <f t="shared" si="160"/>
        <v>135.44553411367713</v>
      </c>
      <c r="AU266" s="67">
        <f t="shared" si="160"/>
        <v>135.22576636288321</v>
      </c>
      <c r="AV266" s="67">
        <f t="shared" si="160"/>
        <v>146.57646576465766</v>
      </c>
      <c r="AW266" s="67">
        <f t="shared" si="160"/>
        <v>140.43115720968069</v>
      </c>
      <c r="AX266" s="67">
        <f t="shared" si="160"/>
        <v>155</v>
      </c>
      <c r="AY266" s="67">
        <f t="shared" si="160"/>
        <v>149.6771668949325</v>
      </c>
      <c r="AZ266" s="67">
        <f t="shared" si="160"/>
        <v>148.88099125924504</v>
      </c>
      <c r="BA266" s="67">
        <f t="shared" si="160"/>
        <v>146.96122120034133</v>
      </c>
      <c r="BB266" s="67">
        <f t="shared" si="160"/>
        <v>148.48762603116407</v>
      </c>
      <c r="BC266" s="67">
        <f t="shared" si="160"/>
        <v>223.59290670778719</v>
      </c>
      <c r="BD266" s="67">
        <f t="shared" si="160"/>
        <v>194.97009912345376</v>
      </c>
      <c r="BE266" s="67">
        <f t="shared" si="160"/>
        <v>416.5004388414585</v>
      </c>
      <c r="BF266" s="67">
        <f t="shared" si="160"/>
        <v>165.5215490318551</v>
      </c>
      <c r="BG266" s="67">
        <f t="shared" si="160"/>
        <v>162.15389322319109</v>
      </c>
      <c r="BH266" s="67">
        <f t="shared" si="160"/>
        <v>28.300443628575803</v>
      </c>
    </row>
    <row r="267" spans="1:60" s="67" customFormat="1" x14ac:dyDescent="0.25">
      <c r="A267" s="67" t="str">
        <f t="shared" ref="A267:E267" si="165">A92</f>
        <v>Commerce</v>
      </c>
      <c r="B267" s="67" t="str">
        <f t="shared" si="165"/>
        <v>NIST</v>
      </c>
      <c r="C267" s="67" t="str">
        <f t="shared" si="165"/>
        <v>Construction</v>
      </c>
      <c r="D267" s="67" t="str">
        <f t="shared" si="165"/>
        <v>Steady</v>
      </c>
      <c r="E267" s="67" t="str">
        <f t="shared" si="165"/>
        <v>Subprograms</v>
      </c>
      <c r="F267" s="67" t="s">
        <v>90</v>
      </c>
      <c r="I267" s="67">
        <f t="shared" si="134"/>
        <v>0</v>
      </c>
      <c r="J267" s="67">
        <f t="shared" si="160"/>
        <v>0</v>
      </c>
      <c r="K267" s="67">
        <f t="shared" si="160"/>
        <v>0</v>
      </c>
      <c r="L267" s="67">
        <f t="shared" si="160"/>
        <v>0</v>
      </c>
      <c r="M267" s="67">
        <f t="shared" si="160"/>
        <v>0</v>
      </c>
      <c r="N267" s="67">
        <f t="shared" si="160"/>
        <v>0</v>
      </c>
      <c r="O267" s="67">
        <f t="shared" si="160"/>
        <v>0</v>
      </c>
      <c r="P267" s="67">
        <f t="shared" si="160"/>
        <v>0</v>
      </c>
      <c r="Q267" s="67">
        <f t="shared" si="160"/>
        <v>0</v>
      </c>
      <c r="R267" s="67">
        <f t="shared" si="160"/>
        <v>0</v>
      </c>
      <c r="S267" s="67">
        <f t="shared" si="160"/>
        <v>0</v>
      </c>
      <c r="T267" s="67">
        <f t="shared" si="160"/>
        <v>0</v>
      </c>
      <c r="U267" s="67">
        <f t="shared" si="160"/>
        <v>0</v>
      </c>
      <c r="V267" s="67">
        <f t="shared" si="160"/>
        <v>0</v>
      </c>
      <c r="W267" s="67">
        <f t="shared" si="160"/>
        <v>0</v>
      </c>
      <c r="X267" s="67">
        <f t="shared" si="160"/>
        <v>0</v>
      </c>
      <c r="Y267" s="67">
        <f t="shared" si="160"/>
        <v>0</v>
      </c>
      <c r="Z267" s="67">
        <f t="shared" si="160"/>
        <v>0</v>
      </c>
      <c r="AA267" s="67">
        <f t="shared" si="160"/>
        <v>0</v>
      </c>
      <c r="AB267" s="67">
        <f t="shared" si="160"/>
        <v>0</v>
      </c>
      <c r="AC267" s="67">
        <f t="shared" si="160"/>
        <v>0</v>
      </c>
      <c r="AD267" s="67">
        <f t="shared" si="160"/>
        <v>0</v>
      </c>
      <c r="AE267" s="67">
        <f t="shared" si="160"/>
        <v>0</v>
      </c>
      <c r="AF267" s="67">
        <f t="shared" si="160"/>
        <v>0</v>
      </c>
      <c r="AG267" s="67">
        <f t="shared" si="160"/>
        <v>0</v>
      </c>
      <c r="AH267" s="67">
        <f t="shared" si="160"/>
        <v>147.36262222834321</v>
      </c>
      <c r="AI267" s="67">
        <f t="shared" si="160"/>
        <v>28.237192416296892</v>
      </c>
      <c r="AJ267" s="67">
        <f t="shared" si="160"/>
        <v>84.72332539052158</v>
      </c>
      <c r="AK267" s="67">
        <f t="shared" si="160"/>
        <v>54.520096361100549</v>
      </c>
      <c r="AL267" s="67">
        <f t="shared" si="160"/>
        <v>52.910052910052912</v>
      </c>
      <c r="AM267" s="67">
        <f t="shared" si="160"/>
        <v>35.752592062924563</v>
      </c>
      <c r="AN267" s="67">
        <f t="shared" ref="J267:BH272" si="166">AN92/AN$175</f>
        <v>55.671537926235217</v>
      </c>
      <c r="AO267" s="67">
        <f t="shared" si="166"/>
        <v>67.037836609476201</v>
      </c>
      <c r="AP267" s="67">
        <f t="shared" si="166"/>
        <v>88.853897199415144</v>
      </c>
      <c r="AQ267" s="67">
        <f t="shared" si="166"/>
        <v>109.27743086529884</v>
      </c>
      <c r="AR267" s="67">
        <f t="shared" si="166"/>
        <v>87.450808919982521</v>
      </c>
      <c r="AS267" s="67">
        <f t="shared" si="166"/>
        <v>75.155679622074302</v>
      </c>
      <c r="AT267" s="67">
        <f t="shared" si="166"/>
        <v>58.400295265211426</v>
      </c>
      <c r="AU267" s="67">
        <f t="shared" si="166"/>
        <v>57.963960231980117</v>
      </c>
      <c r="AV267" s="67">
        <f t="shared" si="166"/>
        <v>57.400574005740054</v>
      </c>
      <c r="AW267" s="67">
        <f t="shared" si="166"/>
        <v>51.149074639007516</v>
      </c>
      <c r="AX267" s="67">
        <f t="shared" si="166"/>
        <v>119</v>
      </c>
      <c r="AY267" s="67">
        <f t="shared" si="166"/>
        <v>106.63275288593231</v>
      </c>
      <c r="AZ267" s="67">
        <f t="shared" si="166"/>
        <v>306.40668523676885</v>
      </c>
      <c r="BA267" s="67">
        <f t="shared" si="166"/>
        <v>100.50251256281408</v>
      </c>
      <c r="BB267" s="67">
        <f t="shared" si="166"/>
        <v>108.1576535288726</v>
      </c>
      <c r="BC267" s="67">
        <f t="shared" si="166"/>
        <v>215.02612867300607</v>
      </c>
      <c r="BD267" s="67">
        <f t="shared" si="166"/>
        <v>79.462603424264771</v>
      </c>
      <c r="BE267" s="67">
        <f t="shared" si="166"/>
        <v>524.21606957631843</v>
      </c>
      <c r="BF267" s="67">
        <f t="shared" si="166"/>
        <v>131.16801998750782</v>
      </c>
      <c r="BG267" s="67">
        <f t="shared" si="166"/>
        <v>67.124063025852834</v>
      </c>
      <c r="BH267" s="67">
        <f t="shared" si="166"/>
        <v>67.30916322472082</v>
      </c>
    </row>
    <row r="268" spans="1:60" s="67" customFormat="1" x14ac:dyDescent="0.25">
      <c r="A268" s="67" t="str">
        <f t="shared" ref="A268:E268" si="167">A93</f>
        <v>Commerce</v>
      </c>
      <c r="B268" s="67" t="str">
        <f t="shared" si="167"/>
        <v>NIST</v>
      </c>
      <c r="C268" s="67" t="str">
        <f t="shared" si="167"/>
        <v>ARRA</v>
      </c>
      <c r="D268" s="67" t="str">
        <f t="shared" si="167"/>
        <v>One-year</v>
      </c>
      <c r="E268" s="67" t="str">
        <f t="shared" si="167"/>
        <v>Subprograms</v>
      </c>
      <c r="F268" s="67" t="s">
        <v>90</v>
      </c>
      <c r="H268" s="67" t="str">
        <f t="shared" si="147"/>
        <v>American Recovery and Reinvestment Act of 2009</v>
      </c>
      <c r="I268" s="67">
        <f t="shared" si="134"/>
        <v>0</v>
      </c>
      <c r="J268" s="67">
        <f t="shared" si="166"/>
        <v>0</v>
      </c>
      <c r="K268" s="67">
        <f t="shared" si="166"/>
        <v>0</v>
      </c>
      <c r="L268" s="67">
        <f t="shared" si="166"/>
        <v>0</v>
      </c>
      <c r="M268" s="67">
        <f t="shared" si="166"/>
        <v>0</v>
      </c>
      <c r="N268" s="67">
        <f t="shared" si="166"/>
        <v>0</v>
      </c>
      <c r="O268" s="67">
        <f t="shared" si="166"/>
        <v>0</v>
      </c>
      <c r="P268" s="67">
        <f t="shared" si="166"/>
        <v>0</v>
      </c>
      <c r="Q268" s="67">
        <f t="shared" si="166"/>
        <v>0</v>
      </c>
      <c r="R268" s="67">
        <f t="shared" si="166"/>
        <v>0</v>
      </c>
      <c r="S268" s="67">
        <f t="shared" si="166"/>
        <v>0</v>
      </c>
      <c r="T268" s="67">
        <f t="shared" si="166"/>
        <v>0</v>
      </c>
      <c r="U268" s="67">
        <f t="shared" si="166"/>
        <v>0</v>
      </c>
      <c r="V268" s="67">
        <f t="shared" si="166"/>
        <v>0</v>
      </c>
      <c r="W268" s="67">
        <f t="shared" si="166"/>
        <v>0</v>
      </c>
      <c r="X268" s="67">
        <f t="shared" si="166"/>
        <v>0</v>
      </c>
      <c r="Y268" s="67">
        <f t="shared" si="166"/>
        <v>0</v>
      </c>
      <c r="Z268" s="67">
        <f t="shared" si="166"/>
        <v>0</v>
      </c>
      <c r="AA268" s="67">
        <f t="shared" si="166"/>
        <v>0</v>
      </c>
      <c r="AB268" s="67">
        <f t="shared" si="166"/>
        <v>0</v>
      </c>
      <c r="AC268" s="67">
        <f t="shared" si="166"/>
        <v>0</v>
      </c>
      <c r="AD268" s="67">
        <f t="shared" si="166"/>
        <v>0</v>
      </c>
      <c r="AE268" s="67">
        <f t="shared" si="166"/>
        <v>0</v>
      </c>
      <c r="AF268" s="67">
        <f t="shared" si="166"/>
        <v>0</v>
      </c>
      <c r="AG268" s="67">
        <f t="shared" si="166"/>
        <v>0</v>
      </c>
      <c r="AH268" s="67">
        <f t="shared" si="166"/>
        <v>0</v>
      </c>
      <c r="AI268" s="67">
        <f t="shared" si="166"/>
        <v>0</v>
      </c>
      <c r="AJ268" s="67">
        <f t="shared" si="166"/>
        <v>0</v>
      </c>
      <c r="AK268" s="67">
        <f t="shared" si="166"/>
        <v>0</v>
      </c>
      <c r="AL268" s="67">
        <f t="shared" si="166"/>
        <v>0</v>
      </c>
      <c r="AM268" s="67">
        <f t="shared" si="166"/>
        <v>0</v>
      </c>
      <c r="AN268" s="67">
        <f t="shared" si="166"/>
        <v>0</v>
      </c>
      <c r="AO268" s="67">
        <f t="shared" si="166"/>
        <v>0</v>
      </c>
      <c r="AP268" s="67">
        <f t="shared" si="166"/>
        <v>0</v>
      </c>
      <c r="AQ268" s="67">
        <f t="shared" si="166"/>
        <v>646.74397859054409</v>
      </c>
      <c r="AR268" s="67">
        <f t="shared" si="166"/>
        <v>0</v>
      </c>
      <c r="AS268" s="67">
        <f t="shared" si="166"/>
        <v>0</v>
      </c>
      <c r="AT268" s="67">
        <f t="shared" si="166"/>
        <v>0</v>
      </c>
      <c r="AU268" s="67">
        <f t="shared" si="166"/>
        <v>0</v>
      </c>
      <c r="AV268" s="67">
        <f t="shared" si="166"/>
        <v>0</v>
      </c>
      <c r="AW268" s="67">
        <f t="shared" si="166"/>
        <v>0</v>
      </c>
      <c r="AX268" s="67">
        <f t="shared" si="166"/>
        <v>0</v>
      </c>
      <c r="AY268" s="67">
        <f t="shared" si="166"/>
        <v>0</v>
      </c>
      <c r="AZ268" s="67">
        <f t="shared" si="166"/>
        <v>0</v>
      </c>
      <c r="BA268" s="67">
        <f t="shared" si="166"/>
        <v>0</v>
      </c>
      <c r="BB268" s="67">
        <f t="shared" si="166"/>
        <v>0</v>
      </c>
      <c r="BC268" s="67">
        <f t="shared" si="166"/>
        <v>0</v>
      </c>
      <c r="BD268" s="67">
        <f t="shared" si="166"/>
        <v>0</v>
      </c>
      <c r="BE268" s="67">
        <f t="shared" si="166"/>
        <v>0</v>
      </c>
      <c r="BF268" s="67">
        <f t="shared" si="166"/>
        <v>0</v>
      </c>
      <c r="BG268" s="67">
        <f t="shared" si="166"/>
        <v>0</v>
      </c>
      <c r="BH268" s="67">
        <f t="shared" si="166"/>
        <v>0</v>
      </c>
    </row>
    <row r="269" spans="1:60" s="67" customFormat="1" x14ac:dyDescent="0.25">
      <c r="A269" s="67" t="str">
        <f t="shared" ref="A269:E269" si="168">A94</f>
        <v>DHS</v>
      </c>
      <c r="B269" s="67" t="str">
        <f t="shared" si="168"/>
        <v>S&amp;T</v>
      </c>
      <c r="C269" s="67" t="str">
        <f t="shared" si="168"/>
        <v>S&amp;T</v>
      </c>
      <c r="D269" s="67" t="str">
        <f t="shared" si="168"/>
        <v>Steady</v>
      </c>
      <c r="E269" s="67" t="str">
        <f t="shared" si="168"/>
        <v>Subprograms</v>
      </c>
      <c r="F269" s="67" t="s">
        <v>90</v>
      </c>
      <c r="H269" s="67" t="str">
        <f t="shared" si="147"/>
        <v>Science and Technology Directorate</v>
      </c>
      <c r="I269" s="67">
        <f t="shared" si="134"/>
        <v>0</v>
      </c>
      <c r="J269" s="67">
        <f t="shared" si="166"/>
        <v>0</v>
      </c>
      <c r="K269" s="67">
        <f t="shared" si="166"/>
        <v>0</v>
      </c>
      <c r="L269" s="67">
        <f t="shared" si="166"/>
        <v>0</v>
      </c>
      <c r="M269" s="67">
        <f t="shared" si="166"/>
        <v>0</v>
      </c>
      <c r="N269" s="67">
        <f t="shared" si="166"/>
        <v>0</v>
      </c>
      <c r="O269" s="67">
        <f t="shared" si="166"/>
        <v>0</v>
      </c>
      <c r="P269" s="67">
        <f t="shared" si="166"/>
        <v>0</v>
      </c>
      <c r="Q269" s="67">
        <f t="shared" si="166"/>
        <v>0</v>
      </c>
      <c r="R269" s="67">
        <f t="shared" si="166"/>
        <v>0</v>
      </c>
      <c r="S269" s="67">
        <f t="shared" si="166"/>
        <v>0</v>
      </c>
      <c r="T269" s="67">
        <f t="shared" si="166"/>
        <v>0</v>
      </c>
      <c r="U269" s="67">
        <f t="shared" si="166"/>
        <v>0</v>
      </c>
      <c r="V269" s="67">
        <f t="shared" si="166"/>
        <v>0</v>
      </c>
      <c r="W269" s="67">
        <f t="shared" si="166"/>
        <v>0</v>
      </c>
      <c r="X269" s="67">
        <f t="shared" si="166"/>
        <v>0</v>
      </c>
      <c r="Y269" s="67">
        <f t="shared" si="166"/>
        <v>0</v>
      </c>
      <c r="Z269" s="67">
        <f t="shared" si="166"/>
        <v>0</v>
      </c>
      <c r="AA269" s="67">
        <f t="shared" si="166"/>
        <v>0</v>
      </c>
      <c r="AB269" s="67">
        <f t="shared" si="166"/>
        <v>0</v>
      </c>
      <c r="AC269" s="67">
        <f t="shared" si="166"/>
        <v>0</v>
      </c>
      <c r="AD269" s="67">
        <f t="shared" si="166"/>
        <v>0</v>
      </c>
      <c r="AE269" s="67">
        <f t="shared" si="166"/>
        <v>0</v>
      </c>
      <c r="AF269" s="67">
        <f t="shared" si="166"/>
        <v>0</v>
      </c>
      <c r="AG269" s="67">
        <f t="shared" si="166"/>
        <v>0</v>
      </c>
      <c r="AH269" s="67">
        <f t="shared" si="166"/>
        <v>0</v>
      </c>
      <c r="AI269" s="67">
        <f t="shared" si="166"/>
        <v>966.78768320559357</v>
      </c>
      <c r="AJ269" s="67">
        <f t="shared" si="166"/>
        <v>1007.4132909716707</v>
      </c>
      <c r="AK269" s="67">
        <f t="shared" si="166"/>
        <v>701.15379738810702</v>
      </c>
      <c r="AL269" s="67">
        <f t="shared" si="166"/>
        <v>1069.275255321767</v>
      </c>
      <c r="AM269" s="67">
        <f t="shared" si="166"/>
        <v>1242.9984507210106</v>
      </c>
      <c r="AN269" s="67">
        <f t="shared" si="166"/>
        <v>1485.7341684064022</v>
      </c>
      <c r="AO269" s="67">
        <f t="shared" si="166"/>
        <v>962.39063742756503</v>
      </c>
      <c r="AP269" s="67">
        <f t="shared" si="166"/>
        <v>933.5282870318299</v>
      </c>
      <c r="AQ269" s="67">
        <f t="shared" si="166"/>
        <v>1040.3657448706513</v>
      </c>
      <c r="AR269" s="67">
        <f t="shared" si="166"/>
        <v>1100.2087888062965</v>
      </c>
      <c r="AS269" s="67">
        <f t="shared" si="166"/>
        <v>888.53124328967147</v>
      </c>
      <c r="AT269" s="67">
        <f t="shared" si="166"/>
        <v>709.69102604660975</v>
      </c>
      <c r="AU269" s="67">
        <f t="shared" si="166"/>
        <v>822.52174813587408</v>
      </c>
      <c r="AV269" s="67">
        <f t="shared" si="166"/>
        <v>1250.5934809348093</v>
      </c>
      <c r="AW269" s="67">
        <f t="shared" si="166"/>
        <v>1123.2031726662599</v>
      </c>
      <c r="AX269" s="67">
        <f t="shared" si="166"/>
        <v>776.65300000000002</v>
      </c>
      <c r="AY269" s="67">
        <f t="shared" si="166"/>
        <v>764.76814713363342</v>
      </c>
      <c r="AZ269" s="67">
        <f t="shared" si="166"/>
        <v>807.74469311305359</v>
      </c>
      <c r="BA269" s="67">
        <f t="shared" si="166"/>
        <v>777.26841755949556</v>
      </c>
      <c r="BB269" s="67">
        <f t="shared" si="166"/>
        <v>675.77910174152157</v>
      </c>
      <c r="BC269" s="67">
        <f t="shared" si="166"/>
        <v>655.83654587509636</v>
      </c>
      <c r="BD269" s="67">
        <f t="shared" si="166"/>
        <v>767.55468173998531</v>
      </c>
      <c r="BE269" s="67">
        <f t="shared" si="166"/>
        <v>787.606319317003</v>
      </c>
      <c r="BF269" s="67">
        <f t="shared" si="166"/>
        <v>579.03966271080583</v>
      </c>
      <c r="BG269" s="67">
        <f t="shared" si="166"/>
        <v>567.25868135230235</v>
      </c>
      <c r="BH269" s="67">
        <f t="shared" si="166"/>
        <v>580.35337310692989</v>
      </c>
    </row>
    <row r="270" spans="1:60" s="67" customFormat="1" x14ac:dyDescent="0.25">
      <c r="A270" s="67" t="str">
        <f t="shared" ref="A270:E270" si="169">A95</f>
        <v>DHS</v>
      </c>
      <c r="B270" s="67" t="str">
        <f t="shared" si="169"/>
        <v>DNDO</v>
      </c>
      <c r="C270" s="67" t="str">
        <f t="shared" si="169"/>
        <v>DNDO</v>
      </c>
      <c r="D270" s="67" t="str">
        <f t="shared" si="169"/>
        <v>Steady</v>
      </c>
      <c r="E270" s="67" t="str">
        <f t="shared" si="169"/>
        <v>Subprograms</v>
      </c>
      <c r="F270" s="67" t="s">
        <v>90</v>
      </c>
      <c r="H270" s="67" t="str">
        <f t="shared" si="147"/>
        <v>Domestic Nuclear Detection Office</v>
      </c>
      <c r="I270" s="67">
        <f t="shared" si="134"/>
        <v>0</v>
      </c>
      <c r="J270" s="67">
        <f t="shared" si="166"/>
        <v>0</v>
      </c>
      <c r="K270" s="67">
        <f t="shared" si="166"/>
        <v>0</v>
      </c>
      <c r="L270" s="67">
        <f t="shared" si="166"/>
        <v>0</v>
      </c>
      <c r="M270" s="67">
        <f t="shared" si="166"/>
        <v>0</v>
      </c>
      <c r="N270" s="67">
        <f t="shared" si="166"/>
        <v>0</v>
      </c>
      <c r="O270" s="67">
        <f t="shared" si="166"/>
        <v>0</v>
      </c>
      <c r="P270" s="67">
        <f t="shared" si="166"/>
        <v>0</v>
      </c>
      <c r="Q270" s="67">
        <f t="shared" si="166"/>
        <v>0</v>
      </c>
      <c r="R270" s="67">
        <f t="shared" si="166"/>
        <v>0</v>
      </c>
      <c r="S270" s="67">
        <f t="shared" si="166"/>
        <v>0</v>
      </c>
      <c r="T270" s="67">
        <f t="shared" si="166"/>
        <v>0</v>
      </c>
      <c r="U270" s="67">
        <f t="shared" si="166"/>
        <v>0</v>
      </c>
      <c r="V270" s="67">
        <f t="shared" si="166"/>
        <v>0</v>
      </c>
      <c r="W270" s="67">
        <f t="shared" si="166"/>
        <v>0</v>
      </c>
      <c r="X270" s="67">
        <f t="shared" si="166"/>
        <v>0</v>
      </c>
      <c r="Y270" s="67">
        <f t="shared" si="166"/>
        <v>0</v>
      </c>
      <c r="Z270" s="67">
        <f t="shared" si="166"/>
        <v>0</v>
      </c>
      <c r="AA270" s="67">
        <f t="shared" si="166"/>
        <v>0</v>
      </c>
      <c r="AB270" s="67">
        <f t="shared" si="166"/>
        <v>0</v>
      </c>
      <c r="AC270" s="67">
        <f t="shared" si="166"/>
        <v>0</v>
      </c>
      <c r="AD270" s="67">
        <f t="shared" si="166"/>
        <v>0</v>
      </c>
      <c r="AE270" s="67">
        <f t="shared" si="166"/>
        <v>0</v>
      </c>
      <c r="AF270" s="67">
        <f t="shared" si="166"/>
        <v>0</v>
      </c>
      <c r="AG270" s="67">
        <f t="shared" si="166"/>
        <v>0</v>
      </c>
      <c r="AH270" s="67">
        <f t="shared" si="166"/>
        <v>0</v>
      </c>
      <c r="AI270" s="67">
        <f t="shared" si="166"/>
        <v>0</v>
      </c>
      <c r="AJ270" s="67">
        <f t="shared" si="166"/>
        <v>0</v>
      </c>
      <c r="AK270" s="67">
        <f t="shared" si="166"/>
        <v>0</v>
      </c>
      <c r="AL270" s="67">
        <f t="shared" si="166"/>
        <v>0</v>
      </c>
      <c r="AM270" s="67">
        <f t="shared" si="166"/>
        <v>0</v>
      </c>
      <c r="AN270" s="67">
        <f t="shared" si="166"/>
        <v>0</v>
      </c>
      <c r="AO270" s="67">
        <f t="shared" si="166"/>
        <v>699.92046358368373</v>
      </c>
      <c r="AP270" s="67">
        <f t="shared" si="166"/>
        <v>545.49544483185241</v>
      </c>
      <c r="AQ270" s="67">
        <f t="shared" si="166"/>
        <v>573.14897413024084</v>
      </c>
      <c r="AR270" s="67">
        <f t="shared" si="166"/>
        <v>418.71119370354177</v>
      </c>
      <c r="AS270" s="67">
        <f t="shared" si="166"/>
        <v>366.91432252523089</v>
      </c>
      <c r="AT270" s="67">
        <f t="shared" si="166"/>
        <v>305.81039755351679</v>
      </c>
      <c r="AU270" s="67">
        <f t="shared" si="166"/>
        <v>313.77485501242751</v>
      </c>
      <c r="AV270" s="67">
        <f t="shared" si="166"/>
        <v>295.20090200902001</v>
      </c>
      <c r="AW270" s="67">
        <f t="shared" si="166"/>
        <v>312.96827333740089</v>
      </c>
      <c r="AX270" s="67">
        <f t="shared" si="166"/>
        <v>347.036</v>
      </c>
      <c r="AY270" s="67">
        <f t="shared" si="166"/>
        <v>125.99099980434359</v>
      </c>
      <c r="AZ270" s="67">
        <f t="shared" si="166"/>
        <v>129.43233118816639</v>
      </c>
      <c r="BA270" s="67">
        <f t="shared" si="166"/>
        <v>0</v>
      </c>
      <c r="BB270" s="67">
        <f t="shared" si="166"/>
        <v>0</v>
      </c>
      <c r="BC270" s="67">
        <f t="shared" si="166"/>
        <v>0</v>
      </c>
      <c r="BD270" s="67">
        <f t="shared" si="166"/>
        <v>0</v>
      </c>
      <c r="BE270" s="67">
        <f t="shared" si="166"/>
        <v>0</v>
      </c>
      <c r="BF270" s="67">
        <f t="shared" si="166"/>
        <v>0</v>
      </c>
      <c r="BG270" s="67">
        <f t="shared" si="166"/>
        <v>0</v>
      </c>
      <c r="BH270" s="67">
        <f t="shared" si="166"/>
        <v>0</v>
      </c>
    </row>
    <row r="271" spans="1:60" s="67" customFormat="1" x14ac:dyDescent="0.25">
      <c r="A271" s="67" t="str">
        <f t="shared" ref="A271:E271" si="170">A96</f>
        <v>DHS</v>
      </c>
      <c r="B271" s="67" t="str">
        <f t="shared" si="170"/>
        <v>CWMD R&amp;D</v>
      </c>
      <c r="C271" s="67" t="str">
        <f t="shared" si="170"/>
        <v>CWMD R&amp;D</v>
      </c>
      <c r="D271" s="67" t="str">
        <f t="shared" si="170"/>
        <v>Steady</v>
      </c>
      <c r="E271" s="67" t="str">
        <f t="shared" si="170"/>
        <v>Subprograms</v>
      </c>
      <c r="F271" s="67" t="s">
        <v>90</v>
      </c>
      <c r="H271" s="67" t="str">
        <f t="shared" si="147"/>
        <v>Countering Weapons of Mass Destruction R&amp;D</v>
      </c>
      <c r="I271" s="67">
        <f t="shared" si="134"/>
        <v>0</v>
      </c>
      <c r="J271" s="67">
        <f t="shared" si="166"/>
        <v>0</v>
      </c>
      <c r="K271" s="67">
        <f t="shared" si="166"/>
        <v>0</v>
      </c>
      <c r="L271" s="67">
        <f t="shared" si="166"/>
        <v>0</v>
      </c>
      <c r="M271" s="67">
        <f t="shared" si="166"/>
        <v>0</v>
      </c>
      <c r="N271" s="67">
        <f t="shared" si="166"/>
        <v>0</v>
      </c>
      <c r="O271" s="67">
        <f t="shared" si="166"/>
        <v>0</v>
      </c>
      <c r="P271" s="67">
        <f t="shared" si="166"/>
        <v>0</v>
      </c>
      <c r="Q271" s="67">
        <f t="shared" si="166"/>
        <v>0</v>
      </c>
      <c r="R271" s="67">
        <f t="shared" si="166"/>
        <v>0</v>
      </c>
      <c r="S271" s="67">
        <f t="shared" si="166"/>
        <v>0</v>
      </c>
      <c r="T271" s="67">
        <f t="shared" si="166"/>
        <v>0</v>
      </c>
      <c r="U271" s="67">
        <f t="shared" si="166"/>
        <v>0</v>
      </c>
      <c r="V271" s="67">
        <f t="shared" si="166"/>
        <v>0</v>
      </c>
      <c r="W271" s="67">
        <f t="shared" si="166"/>
        <v>0</v>
      </c>
      <c r="X271" s="67">
        <f t="shared" si="166"/>
        <v>0</v>
      </c>
      <c r="Y271" s="67">
        <f t="shared" si="166"/>
        <v>0</v>
      </c>
      <c r="Z271" s="67">
        <f t="shared" si="166"/>
        <v>0</v>
      </c>
      <c r="AA271" s="67">
        <f t="shared" si="166"/>
        <v>0</v>
      </c>
      <c r="AB271" s="67">
        <f t="shared" si="166"/>
        <v>0</v>
      </c>
      <c r="AC271" s="67">
        <f t="shared" si="166"/>
        <v>0</v>
      </c>
      <c r="AD271" s="67">
        <f t="shared" si="166"/>
        <v>0</v>
      </c>
      <c r="AE271" s="67">
        <f t="shared" si="166"/>
        <v>0</v>
      </c>
      <c r="AF271" s="67">
        <f t="shared" si="166"/>
        <v>0</v>
      </c>
      <c r="AG271" s="67">
        <f t="shared" si="166"/>
        <v>0</v>
      </c>
      <c r="AH271" s="67">
        <f t="shared" si="166"/>
        <v>0</v>
      </c>
      <c r="AI271" s="67">
        <f t="shared" si="166"/>
        <v>0</v>
      </c>
      <c r="AJ271" s="67">
        <f t="shared" si="166"/>
        <v>0</v>
      </c>
      <c r="AK271" s="67">
        <f t="shared" si="166"/>
        <v>0</v>
      </c>
      <c r="AL271" s="67">
        <f t="shared" si="166"/>
        <v>0</v>
      </c>
      <c r="AM271" s="67">
        <f t="shared" si="166"/>
        <v>0</v>
      </c>
      <c r="AN271" s="67">
        <f t="shared" si="166"/>
        <v>0</v>
      </c>
      <c r="AO271" s="67">
        <f t="shared" si="166"/>
        <v>0</v>
      </c>
      <c r="AP271" s="67">
        <f t="shared" si="166"/>
        <v>0</v>
      </c>
      <c r="AQ271" s="67">
        <f t="shared" si="166"/>
        <v>0</v>
      </c>
      <c r="AR271" s="67">
        <f t="shared" si="166"/>
        <v>0</v>
      </c>
      <c r="AS271" s="67">
        <f t="shared" si="166"/>
        <v>0</v>
      </c>
      <c r="AT271" s="67">
        <f t="shared" si="166"/>
        <v>0</v>
      </c>
      <c r="AU271" s="67">
        <f t="shared" si="166"/>
        <v>0</v>
      </c>
      <c r="AV271" s="67">
        <f t="shared" si="166"/>
        <v>0</v>
      </c>
      <c r="AW271" s="67">
        <f t="shared" si="166"/>
        <v>0</v>
      </c>
      <c r="AX271" s="67">
        <f t="shared" si="166"/>
        <v>0</v>
      </c>
      <c r="AY271" s="67">
        <f t="shared" si="166"/>
        <v>0</v>
      </c>
      <c r="AZ271" s="67">
        <f t="shared" si="166"/>
        <v>0</v>
      </c>
      <c r="BA271" s="67">
        <f t="shared" si="166"/>
        <v>412.34189817009582</v>
      </c>
      <c r="BB271" s="67">
        <f t="shared" si="166"/>
        <v>396.24106324472967</v>
      </c>
      <c r="BC271" s="67">
        <f t="shared" si="166"/>
        <v>344.62177674976442</v>
      </c>
      <c r="BD271" s="67">
        <f t="shared" si="166"/>
        <v>382.56737937249125</v>
      </c>
      <c r="BE271" s="67">
        <f t="shared" si="166"/>
        <v>343.89212479055294</v>
      </c>
      <c r="BF271" s="67">
        <f t="shared" si="166"/>
        <v>319.6759837601499</v>
      </c>
      <c r="BG271" s="67">
        <f t="shared" si="166"/>
        <v>313.17194431696498</v>
      </c>
      <c r="BH271" s="67">
        <f t="shared" si="166"/>
        <v>0</v>
      </c>
    </row>
    <row r="272" spans="1:60" s="67" customFormat="1" x14ac:dyDescent="0.25">
      <c r="A272" s="67" t="str">
        <f t="shared" ref="A272:E272" si="171">A97</f>
        <v>VA</v>
      </c>
      <c r="B272" s="67" t="str">
        <f t="shared" si="171"/>
        <v>Medical and Prosthetic Research</v>
      </c>
      <c r="C272" s="67" t="str">
        <f t="shared" si="171"/>
        <v>Medical and Prosthetic Research</v>
      </c>
      <c r="D272" s="67" t="str">
        <f t="shared" si="171"/>
        <v>Steady</v>
      </c>
      <c r="E272" s="67" t="str">
        <f t="shared" si="171"/>
        <v>Subprograms</v>
      </c>
      <c r="F272" s="67" t="s">
        <v>90</v>
      </c>
      <c r="I272" s="67">
        <f t="shared" si="134"/>
        <v>0</v>
      </c>
      <c r="J272" s="67">
        <f t="shared" si="166"/>
        <v>0</v>
      </c>
      <c r="K272" s="67">
        <f t="shared" si="166"/>
        <v>0</v>
      </c>
      <c r="L272" s="67">
        <f t="shared" si="166"/>
        <v>0</v>
      </c>
      <c r="M272" s="67">
        <f t="shared" si="166"/>
        <v>0</v>
      </c>
      <c r="N272" s="67">
        <f t="shared" si="166"/>
        <v>0</v>
      </c>
      <c r="O272" s="67">
        <f t="shared" si="166"/>
        <v>0</v>
      </c>
      <c r="P272" s="67">
        <f t="shared" si="166"/>
        <v>0</v>
      </c>
      <c r="Q272" s="67">
        <f t="shared" si="166"/>
        <v>0</v>
      </c>
      <c r="R272" s="67">
        <f t="shared" si="166"/>
        <v>0</v>
      </c>
      <c r="S272" s="67">
        <f t="shared" si="166"/>
        <v>0</v>
      </c>
      <c r="T272" s="67">
        <f t="shared" si="166"/>
        <v>0</v>
      </c>
      <c r="U272" s="67">
        <f t="shared" si="166"/>
        <v>0</v>
      </c>
      <c r="V272" s="67">
        <f t="shared" si="166"/>
        <v>0</v>
      </c>
      <c r="W272" s="67">
        <f t="shared" si="166"/>
        <v>0</v>
      </c>
      <c r="X272" s="67">
        <f t="shared" si="166"/>
        <v>0</v>
      </c>
      <c r="Y272" s="67">
        <f t="shared" si="166"/>
        <v>0</v>
      </c>
      <c r="Z272" s="67">
        <f t="shared" si="166"/>
        <v>0</v>
      </c>
      <c r="AA272" s="67">
        <f t="shared" si="166"/>
        <v>0</v>
      </c>
      <c r="AB272" s="67">
        <f t="shared" si="166"/>
        <v>0</v>
      </c>
      <c r="AC272" s="67">
        <f t="shared" si="166"/>
        <v>0</v>
      </c>
      <c r="AD272" s="67">
        <f t="shared" si="166"/>
        <v>0</v>
      </c>
      <c r="AE272" s="67">
        <f t="shared" si="166"/>
        <v>0</v>
      </c>
      <c r="AF272" s="67">
        <f t="shared" si="166"/>
        <v>0</v>
      </c>
      <c r="AG272" s="67">
        <f t="shared" si="166"/>
        <v>0</v>
      </c>
      <c r="AH272" s="67">
        <f t="shared" si="166"/>
        <v>0</v>
      </c>
      <c r="AI272" s="67">
        <f t="shared" si="166"/>
        <v>0</v>
      </c>
      <c r="AJ272" s="67">
        <f t="shared" si="166"/>
        <v>1000.7942811755362</v>
      </c>
      <c r="AK272" s="67">
        <f t="shared" si="166"/>
        <v>1014.3273741600102</v>
      </c>
      <c r="AL272" s="67">
        <f t="shared" si="166"/>
        <v>1065.5838562815306</v>
      </c>
      <c r="AM272" s="67">
        <f t="shared" si="166"/>
        <v>884.28077702300084</v>
      </c>
      <c r="AN272" s="67">
        <f t="shared" ref="J272:BH277" si="172">AN97/AN$175</f>
        <v>891.90443052655996</v>
      </c>
      <c r="AO272" s="67">
        <f t="shared" si="172"/>
        <v>930.57607090103397</v>
      </c>
      <c r="AP272" s="67">
        <f t="shared" si="172"/>
        <v>539.87178045214262</v>
      </c>
      <c r="AQ272" s="67">
        <f t="shared" si="172"/>
        <v>568.6886708296164</v>
      </c>
      <c r="AR272" s="67">
        <f t="shared" si="172"/>
        <v>635.11149978137303</v>
      </c>
      <c r="AS272" s="67">
        <f t="shared" si="172"/>
        <v>622.54455658149016</v>
      </c>
      <c r="AT272" s="67">
        <f t="shared" si="172"/>
        <v>612.67531371928715</v>
      </c>
      <c r="AU272" s="67">
        <f t="shared" si="172"/>
        <v>602.63566694283338</v>
      </c>
      <c r="AV272" s="67">
        <f t="shared" si="172"/>
        <v>600.31160311603116</v>
      </c>
      <c r="AW272" s="67">
        <f t="shared" si="172"/>
        <v>598.4472239170226</v>
      </c>
      <c r="AX272" s="67">
        <f t="shared" si="172"/>
        <v>630.73500000000001</v>
      </c>
      <c r="AY272" s="67">
        <f t="shared" si="172"/>
        <v>658.74192917237326</v>
      </c>
      <c r="AZ272" s="67">
        <f t="shared" si="172"/>
        <v>693.74891941216026</v>
      </c>
      <c r="BA272" s="67">
        <f t="shared" si="172"/>
        <v>738.59865364558641</v>
      </c>
      <c r="BB272" s="67">
        <f t="shared" si="172"/>
        <v>687.44271310724105</v>
      </c>
      <c r="BC272" s="67">
        <f t="shared" si="172"/>
        <v>698.20011993489254</v>
      </c>
      <c r="BD272" s="67">
        <f t="shared" si="172"/>
        <v>722.53624969279929</v>
      </c>
      <c r="BE272" s="67">
        <f t="shared" si="172"/>
        <v>730.87050187504985</v>
      </c>
      <c r="BF272" s="67">
        <f t="shared" si="172"/>
        <v>736.25858838226111</v>
      </c>
      <c r="BG272" s="67">
        <f t="shared" si="172"/>
        <v>715.15985926265876</v>
      </c>
      <c r="BH272" s="67">
        <f t="shared" si="172"/>
        <v>721.27887410126971</v>
      </c>
    </row>
    <row r="273" spans="1:60" s="67" customFormat="1" x14ac:dyDescent="0.25">
      <c r="A273" s="67" t="str">
        <f t="shared" ref="A273:E273" si="173">A98</f>
        <v>Education</v>
      </c>
      <c r="B273" s="67" t="str">
        <f t="shared" si="173"/>
        <v>Institute for Education Sci</v>
      </c>
      <c r="C273" s="67" t="str">
        <f t="shared" si="173"/>
        <v>Institute for Education Sci</v>
      </c>
      <c r="D273" s="67" t="str">
        <f t="shared" si="173"/>
        <v>Steady</v>
      </c>
      <c r="E273" s="67" t="str">
        <f t="shared" si="173"/>
        <v>Subprograms</v>
      </c>
      <c r="F273" s="67" t="s">
        <v>90</v>
      </c>
      <c r="I273" s="67">
        <f t="shared" si="134"/>
        <v>0</v>
      </c>
      <c r="J273" s="67">
        <f t="shared" si="172"/>
        <v>0</v>
      </c>
      <c r="K273" s="67">
        <f t="shared" si="172"/>
        <v>0</v>
      </c>
      <c r="L273" s="67">
        <f t="shared" si="172"/>
        <v>0</v>
      </c>
      <c r="M273" s="67">
        <f t="shared" si="172"/>
        <v>0</v>
      </c>
      <c r="N273" s="67">
        <f t="shared" si="172"/>
        <v>0</v>
      </c>
      <c r="O273" s="67">
        <f t="shared" si="172"/>
        <v>0</v>
      </c>
      <c r="P273" s="67">
        <f t="shared" si="172"/>
        <v>0</v>
      </c>
      <c r="Q273" s="67">
        <f t="shared" si="172"/>
        <v>0</v>
      </c>
      <c r="R273" s="67">
        <f t="shared" si="172"/>
        <v>0</v>
      </c>
      <c r="S273" s="67">
        <f t="shared" si="172"/>
        <v>0</v>
      </c>
      <c r="T273" s="67">
        <f t="shared" si="172"/>
        <v>0</v>
      </c>
      <c r="U273" s="67">
        <f t="shared" si="172"/>
        <v>0</v>
      </c>
      <c r="V273" s="67">
        <f t="shared" si="172"/>
        <v>0</v>
      </c>
      <c r="W273" s="67">
        <f t="shared" si="172"/>
        <v>0</v>
      </c>
      <c r="X273" s="67">
        <f t="shared" si="172"/>
        <v>0</v>
      </c>
      <c r="Y273" s="67">
        <f t="shared" si="172"/>
        <v>0</v>
      </c>
      <c r="Z273" s="67">
        <f t="shared" si="172"/>
        <v>0</v>
      </c>
      <c r="AA273" s="67">
        <f t="shared" si="172"/>
        <v>0</v>
      </c>
      <c r="AB273" s="67">
        <f t="shared" si="172"/>
        <v>0</v>
      </c>
      <c r="AC273" s="67">
        <f t="shared" si="172"/>
        <v>0</v>
      </c>
      <c r="AD273" s="67">
        <f t="shared" si="172"/>
        <v>0</v>
      </c>
      <c r="AE273" s="67">
        <f t="shared" si="172"/>
        <v>0</v>
      </c>
      <c r="AF273" s="67">
        <f t="shared" si="172"/>
        <v>0</v>
      </c>
      <c r="AG273" s="67">
        <f t="shared" si="172"/>
        <v>0</v>
      </c>
      <c r="AH273" s="67">
        <f t="shared" si="172"/>
        <v>0</v>
      </c>
      <c r="AI273" s="67">
        <f t="shared" si="172"/>
        <v>0</v>
      </c>
      <c r="AJ273" s="67">
        <f t="shared" si="172"/>
        <v>0</v>
      </c>
      <c r="AK273" s="67">
        <f t="shared" si="172"/>
        <v>568.02332952960569</v>
      </c>
      <c r="AL273" s="67">
        <f t="shared" si="172"/>
        <v>585.70198105081829</v>
      </c>
      <c r="AM273" s="67">
        <f t="shared" si="172"/>
        <v>623.28685496365154</v>
      </c>
      <c r="AN273" s="67">
        <f t="shared" si="172"/>
        <v>599.62885641382513</v>
      </c>
      <c r="AO273" s="67">
        <f t="shared" si="172"/>
        <v>587.43324622202022</v>
      </c>
      <c r="AP273" s="67">
        <f t="shared" si="172"/>
        <v>614.10415026431224</v>
      </c>
      <c r="AQ273" s="67">
        <f t="shared" si="172"/>
        <v>688.00178412132027</v>
      </c>
      <c r="AR273" s="67">
        <f t="shared" si="172"/>
        <v>720.37603847835601</v>
      </c>
      <c r="AS273" s="67">
        <f t="shared" si="172"/>
        <v>653.62465106291597</v>
      </c>
      <c r="AT273" s="67">
        <f t="shared" si="172"/>
        <v>626.02973742486552</v>
      </c>
      <c r="AU273" s="67">
        <f t="shared" si="172"/>
        <v>582.65534382767191</v>
      </c>
      <c r="AV273" s="67">
        <f t="shared" si="172"/>
        <v>591.36428864288632</v>
      </c>
      <c r="AW273" s="67">
        <f t="shared" si="172"/>
        <v>583.62314419361394</v>
      </c>
      <c r="AX273" s="67">
        <f t="shared" si="172"/>
        <v>618.01499999999999</v>
      </c>
      <c r="AY273" s="67">
        <f t="shared" si="172"/>
        <v>592.12189395421649</v>
      </c>
      <c r="AZ273" s="67">
        <f t="shared" si="172"/>
        <v>589.24406877341278</v>
      </c>
      <c r="BA273" s="67">
        <f t="shared" si="172"/>
        <v>583.54223949938375</v>
      </c>
      <c r="BB273" s="67">
        <f t="shared" si="172"/>
        <v>571.4592117323557</v>
      </c>
      <c r="BC273" s="67">
        <f t="shared" si="172"/>
        <v>550.38293497815471</v>
      </c>
      <c r="BD273" s="67">
        <f t="shared" si="172"/>
        <v>624.23199803391503</v>
      </c>
      <c r="BE273" s="67">
        <f t="shared" si="172"/>
        <v>644.6979972871618</v>
      </c>
      <c r="BF273" s="67">
        <f t="shared" si="172"/>
        <v>619.23016864459714</v>
      </c>
      <c r="BG273" s="67">
        <f t="shared" si="172"/>
        <v>606.63148233134473</v>
      </c>
      <c r="BH273" s="67">
        <f t="shared" si="172"/>
        <v>94.844729998470257</v>
      </c>
    </row>
    <row r="274" spans="1:60" s="67" customFormat="1" x14ac:dyDescent="0.25">
      <c r="A274" s="67" t="str">
        <f t="shared" ref="A274:E274" si="174">A99</f>
        <v>Interior</v>
      </c>
      <c r="B274" s="67" t="str">
        <f t="shared" si="174"/>
        <v>BOEM</v>
      </c>
      <c r="C274" s="67" t="str">
        <f t="shared" si="174"/>
        <v>BOEM-OEM</v>
      </c>
      <c r="D274" s="67" t="str">
        <f t="shared" si="174"/>
        <v>Steady</v>
      </c>
      <c r="E274" s="67" t="str">
        <f t="shared" si="174"/>
        <v>Subprograms</v>
      </c>
      <c r="F274" s="67" t="s">
        <v>90</v>
      </c>
      <c r="H274" s="67" t="str">
        <f t="shared" si="147"/>
        <v>Ocean Energy Management</v>
      </c>
      <c r="I274" s="67">
        <f t="shared" si="134"/>
        <v>0</v>
      </c>
      <c r="J274" s="67">
        <f t="shared" si="172"/>
        <v>0</v>
      </c>
      <c r="K274" s="67">
        <f t="shared" si="172"/>
        <v>0</v>
      </c>
      <c r="L274" s="67">
        <f t="shared" si="172"/>
        <v>0</v>
      </c>
      <c r="M274" s="67">
        <f t="shared" si="172"/>
        <v>0</v>
      </c>
      <c r="N274" s="67">
        <f t="shared" si="172"/>
        <v>0</v>
      </c>
      <c r="O274" s="67">
        <f t="shared" si="172"/>
        <v>0</v>
      </c>
      <c r="P274" s="67">
        <f t="shared" si="172"/>
        <v>0</v>
      </c>
      <c r="Q274" s="67">
        <f t="shared" si="172"/>
        <v>0</v>
      </c>
      <c r="R274" s="67">
        <f t="shared" si="172"/>
        <v>0</v>
      </c>
      <c r="S274" s="67">
        <f t="shared" si="172"/>
        <v>0</v>
      </c>
      <c r="T274" s="67">
        <f t="shared" si="172"/>
        <v>0</v>
      </c>
      <c r="U274" s="67">
        <f t="shared" si="172"/>
        <v>0</v>
      </c>
      <c r="V274" s="67">
        <f t="shared" si="172"/>
        <v>0</v>
      </c>
      <c r="W274" s="67">
        <f t="shared" si="172"/>
        <v>0</v>
      </c>
      <c r="X274" s="67">
        <f t="shared" si="172"/>
        <v>0</v>
      </c>
      <c r="Y274" s="67">
        <f t="shared" si="172"/>
        <v>0</v>
      </c>
      <c r="Z274" s="67">
        <f t="shared" si="172"/>
        <v>0</v>
      </c>
      <c r="AA274" s="67">
        <f t="shared" si="172"/>
        <v>0</v>
      </c>
      <c r="AB274" s="67">
        <f t="shared" si="172"/>
        <v>0</v>
      </c>
      <c r="AC274" s="67">
        <f t="shared" si="172"/>
        <v>0</v>
      </c>
      <c r="AD274" s="67">
        <f t="shared" si="172"/>
        <v>0</v>
      </c>
      <c r="AE274" s="67">
        <f t="shared" si="172"/>
        <v>0</v>
      </c>
      <c r="AF274" s="67">
        <f t="shared" si="172"/>
        <v>0</v>
      </c>
      <c r="AG274" s="67">
        <f t="shared" si="172"/>
        <v>0</v>
      </c>
      <c r="AH274" s="67">
        <f t="shared" si="172"/>
        <v>0</v>
      </c>
      <c r="AI274" s="67">
        <f t="shared" si="172"/>
        <v>0</v>
      </c>
      <c r="AJ274" s="67">
        <f t="shared" si="172"/>
        <v>0</v>
      </c>
      <c r="AK274" s="67">
        <f t="shared" si="172"/>
        <v>0</v>
      </c>
      <c r="AL274" s="67">
        <f t="shared" si="172"/>
        <v>0</v>
      </c>
      <c r="AM274" s="67">
        <f t="shared" si="172"/>
        <v>0</v>
      </c>
      <c r="AN274" s="67">
        <f t="shared" si="172"/>
        <v>0</v>
      </c>
      <c r="AO274" s="67">
        <f t="shared" si="172"/>
        <v>0</v>
      </c>
      <c r="AP274" s="67">
        <f t="shared" si="172"/>
        <v>0</v>
      </c>
      <c r="AQ274" s="67">
        <f t="shared" si="172"/>
        <v>0</v>
      </c>
      <c r="AR274" s="67">
        <f t="shared" si="172"/>
        <v>0</v>
      </c>
      <c r="AS274" s="67">
        <f t="shared" si="172"/>
        <v>0</v>
      </c>
      <c r="AT274" s="67">
        <f t="shared" si="172"/>
        <v>0</v>
      </c>
      <c r="AU274" s="67">
        <f t="shared" si="172"/>
        <v>58.60501242750621</v>
      </c>
      <c r="AV274" s="67">
        <f t="shared" si="172"/>
        <v>70.725707257072571</v>
      </c>
      <c r="AW274" s="67">
        <f t="shared" si="172"/>
        <v>73.644498678055712</v>
      </c>
      <c r="AX274" s="67">
        <f t="shared" si="172"/>
        <v>100.955</v>
      </c>
      <c r="AY274" s="67">
        <f t="shared" si="172"/>
        <v>115.10663275288594</v>
      </c>
      <c r="AZ274" s="67">
        <f t="shared" si="172"/>
        <v>109.65901450389012</v>
      </c>
      <c r="BA274" s="67">
        <f t="shared" si="172"/>
        <v>122.73632312505926</v>
      </c>
      <c r="BB274" s="67">
        <f t="shared" si="172"/>
        <v>150.73418881759852</v>
      </c>
      <c r="BC274" s="67">
        <f t="shared" si="172"/>
        <v>188.43484965304549</v>
      </c>
      <c r="BD274" s="67">
        <f t="shared" si="172"/>
        <v>172.98435323994431</v>
      </c>
      <c r="BE274" s="67">
        <f t="shared" si="172"/>
        <v>168.48480012766296</v>
      </c>
      <c r="BF274" s="67">
        <f t="shared" si="172"/>
        <v>115.73547782635853</v>
      </c>
      <c r="BG274" s="67">
        <f t="shared" si="172"/>
        <v>139.36056294936515</v>
      </c>
      <c r="BH274" s="67">
        <f t="shared" si="172"/>
        <v>153.01896894599969</v>
      </c>
    </row>
    <row r="275" spans="1:60" s="67" customFormat="1" x14ac:dyDescent="0.25">
      <c r="A275" s="67" t="str">
        <f t="shared" ref="A275:E275" si="175">A100</f>
        <v>Interior</v>
      </c>
      <c r="B275" s="67" t="str">
        <f t="shared" si="175"/>
        <v>BSEE</v>
      </c>
      <c r="C275" s="67" t="str">
        <f t="shared" si="175"/>
        <v>BSEE-OSEE</v>
      </c>
      <c r="D275" s="67" t="str">
        <f t="shared" si="175"/>
        <v>Steady</v>
      </c>
      <c r="E275" s="67" t="str">
        <f t="shared" si="175"/>
        <v>Subprograms</v>
      </c>
      <c r="F275" s="67" t="s">
        <v>90</v>
      </c>
      <c r="H275" s="67" t="str">
        <f t="shared" si="147"/>
        <v>Offshore Safety and Environmental Enforcement</v>
      </c>
      <c r="I275" s="67">
        <f t="shared" si="134"/>
        <v>0</v>
      </c>
      <c r="J275" s="67">
        <f t="shared" si="172"/>
        <v>0</v>
      </c>
      <c r="K275" s="67">
        <f t="shared" si="172"/>
        <v>0</v>
      </c>
      <c r="L275" s="67">
        <f t="shared" si="172"/>
        <v>0</v>
      </c>
      <c r="M275" s="67">
        <f t="shared" si="172"/>
        <v>0</v>
      </c>
      <c r="N275" s="67">
        <f t="shared" si="172"/>
        <v>0</v>
      </c>
      <c r="O275" s="67">
        <f t="shared" si="172"/>
        <v>0</v>
      </c>
      <c r="P275" s="67">
        <f t="shared" si="172"/>
        <v>0</v>
      </c>
      <c r="Q275" s="67">
        <f t="shared" si="172"/>
        <v>0</v>
      </c>
      <c r="R275" s="67">
        <f t="shared" si="172"/>
        <v>0</v>
      </c>
      <c r="S275" s="67">
        <f t="shared" si="172"/>
        <v>0</v>
      </c>
      <c r="T275" s="67">
        <f t="shared" si="172"/>
        <v>0</v>
      </c>
      <c r="U275" s="67">
        <f t="shared" si="172"/>
        <v>0</v>
      </c>
      <c r="V275" s="67">
        <f t="shared" si="172"/>
        <v>0</v>
      </c>
      <c r="W275" s="67">
        <f t="shared" si="172"/>
        <v>0</v>
      </c>
      <c r="X275" s="67">
        <f t="shared" si="172"/>
        <v>0</v>
      </c>
      <c r="Y275" s="67">
        <f t="shared" si="172"/>
        <v>0</v>
      </c>
      <c r="Z275" s="67">
        <f t="shared" si="172"/>
        <v>0</v>
      </c>
      <c r="AA275" s="67">
        <f t="shared" si="172"/>
        <v>0</v>
      </c>
      <c r="AB275" s="67">
        <f t="shared" si="172"/>
        <v>0</v>
      </c>
      <c r="AC275" s="67">
        <f t="shared" si="172"/>
        <v>0</v>
      </c>
      <c r="AD275" s="67">
        <f t="shared" si="172"/>
        <v>0</v>
      </c>
      <c r="AE275" s="67">
        <f t="shared" si="172"/>
        <v>0</v>
      </c>
      <c r="AF275" s="67">
        <f t="shared" si="172"/>
        <v>0</v>
      </c>
      <c r="AG275" s="67">
        <f t="shared" si="172"/>
        <v>0</v>
      </c>
      <c r="AH275" s="67">
        <f t="shared" si="172"/>
        <v>0</v>
      </c>
      <c r="AI275" s="67">
        <f t="shared" si="172"/>
        <v>0</v>
      </c>
      <c r="AJ275" s="67">
        <f t="shared" si="172"/>
        <v>0</v>
      </c>
      <c r="AK275" s="67">
        <f t="shared" si="172"/>
        <v>0</v>
      </c>
      <c r="AL275" s="67">
        <f t="shared" si="172"/>
        <v>0</v>
      </c>
      <c r="AM275" s="67">
        <f t="shared" si="172"/>
        <v>0</v>
      </c>
      <c r="AN275" s="67">
        <f t="shared" si="172"/>
        <v>0</v>
      </c>
      <c r="AO275" s="67">
        <f t="shared" si="172"/>
        <v>0</v>
      </c>
      <c r="AP275" s="67">
        <f t="shared" si="172"/>
        <v>0</v>
      </c>
      <c r="AQ275" s="67">
        <f t="shared" si="172"/>
        <v>0</v>
      </c>
      <c r="AR275" s="67">
        <f t="shared" si="172"/>
        <v>0</v>
      </c>
      <c r="AS275" s="67">
        <f t="shared" si="172"/>
        <v>0</v>
      </c>
      <c r="AT275" s="67">
        <f t="shared" si="172"/>
        <v>64.721079827058944</v>
      </c>
      <c r="AU275" s="67">
        <f t="shared" si="172"/>
        <v>60.253728251864125</v>
      </c>
      <c r="AV275" s="67">
        <f t="shared" si="172"/>
        <v>74.47314473144732</v>
      </c>
      <c r="AW275" s="67">
        <f t="shared" si="172"/>
        <v>79.66646329062435</v>
      </c>
      <c r="AX275" s="67">
        <f t="shared" si="172"/>
        <v>94.55</v>
      </c>
      <c r="AY275" s="67">
        <f t="shared" si="172"/>
        <v>86.670905889258464</v>
      </c>
      <c r="AZ275" s="67">
        <f t="shared" si="172"/>
        <v>104.25511478244167</v>
      </c>
      <c r="BA275" s="67">
        <f t="shared" si="172"/>
        <v>115.21854555797857</v>
      </c>
      <c r="BB275" s="67">
        <f t="shared" si="172"/>
        <v>143.76443629697525</v>
      </c>
      <c r="BC275" s="67">
        <f t="shared" si="172"/>
        <v>143.93300779576799</v>
      </c>
      <c r="BD275" s="67">
        <f t="shared" si="172"/>
        <v>180.57589907430165</v>
      </c>
      <c r="BE275" s="67">
        <f t="shared" si="172"/>
        <v>145.55892443947977</v>
      </c>
      <c r="BF275" s="67">
        <f t="shared" si="172"/>
        <v>53.184728294815741</v>
      </c>
      <c r="BG275" s="67">
        <f t="shared" si="172"/>
        <v>123.40905614196116</v>
      </c>
      <c r="BH275" s="67">
        <f t="shared" si="172"/>
        <v>169.36591708734895</v>
      </c>
    </row>
    <row r="276" spans="1:60" s="67" customFormat="1" x14ac:dyDescent="0.25">
      <c r="A276" s="67" t="str">
        <f t="shared" ref="A276:E276" si="176">A101</f>
        <v>Interior</v>
      </c>
      <c r="B276" s="67" t="str">
        <f t="shared" si="176"/>
        <v>NPS</v>
      </c>
      <c r="C276" s="67" t="str">
        <f t="shared" si="176"/>
        <v>NPS-Operation</v>
      </c>
      <c r="D276" s="67" t="str">
        <f t="shared" si="176"/>
        <v>Steady</v>
      </c>
      <c r="E276" s="67" t="str">
        <f t="shared" si="176"/>
        <v>Subprograms</v>
      </c>
      <c r="F276" s="67" t="s">
        <v>90</v>
      </c>
      <c r="I276" s="67">
        <f t="shared" si="134"/>
        <v>0</v>
      </c>
      <c r="J276" s="67">
        <f t="shared" si="172"/>
        <v>0</v>
      </c>
      <c r="K276" s="67">
        <f t="shared" si="172"/>
        <v>0</v>
      </c>
      <c r="L276" s="67">
        <f t="shared" si="172"/>
        <v>0</v>
      </c>
      <c r="M276" s="67">
        <f t="shared" si="172"/>
        <v>0</v>
      </c>
      <c r="N276" s="67">
        <f t="shared" si="172"/>
        <v>0</v>
      </c>
      <c r="O276" s="67">
        <f t="shared" si="172"/>
        <v>0</v>
      </c>
      <c r="P276" s="67">
        <f t="shared" si="172"/>
        <v>0</v>
      </c>
      <c r="Q276" s="67">
        <f t="shared" si="172"/>
        <v>0</v>
      </c>
      <c r="R276" s="67">
        <f t="shared" si="172"/>
        <v>0</v>
      </c>
      <c r="S276" s="67">
        <f t="shared" si="172"/>
        <v>0</v>
      </c>
      <c r="T276" s="67">
        <f t="shared" si="172"/>
        <v>0</v>
      </c>
      <c r="U276" s="67">
        <f t="shared" si="172"/>
        <v>0</v>
      </c>
      <c r="V276" s="67">
        <f t="shared" si="172"/>
        <v>0</v>
      </c>
      <c r="W276" s="67">
        <f t="shared" si="172"/>
        <v>0</v>
      </c>
      <c r="X276" s="67">
        <f t="shared" si="172"/>
        <v>0</v>
      </c>
      <c r="Y276" s="67">
        <f t="shared" si="172"/>
        <v>0</v>
      </c>
      <c r="Z276" s="67">
        <f t="shared" si="172"/>
        <v>0</v>
      </c>
      <c r="AA276" s="67">
        <f t="shared" si="172"/>
        <v>0</v>
      </c>
      <c r="AB276" s="67">
        <f t="shared" si="172"/>
        <v>0</v>
      </c>
      <c r="AC276" s="67">
        <f t="shared" si="172"/>
        <v>0</v>
      </c>
      <c r="AD276" s="67">
        <f t="shared" si="172"/>
        <v>0</v>
      </c>
      <c r="AE276" s="67">
        <f t="shared" si="172"/>
        <v>0</v>
      </c>
      <c r="AF276" s="67">
        <f t="shared" si="172"/>
        <v>0</v>
      </c>
      <c r="AG276" s="67">
        <f t="shared" si="172"/>
        <v>0</v>
      </c>
      <c r="AH276" s="67">
        <f t="shared" si="172"/>
        <v>0</v>
      </c>
      <c r="AI276" s="67">
        <f t="shared" si="172"/>
        <v>0</v>
      </c>
      <c r="AJ276" s="67">
        <f t="shared" si="172"/>
        <v>0</v>
      </c>
      <c r="AK276" s="67">
        <f t="shared" si="172"/>
        <v>0</v>
      </c>
      <c r="AL276" s="67">
        <f t="shared" si="172"/>
        <v>0</v>
      </c>
      <c r="AM276" s="67">
        <f t="shared" si="172"/>
        <v>0</v>
      </c>
      <c r="AN276" s="67">
        <f t="shared" si="172"/>
        <v>0</v>
      </c>
      <c r="AO276" s="67">
        <f t="shared" si="172"/>
        <v>0</v>
      </c>
      <c r="AP276" s="67">
        <f t="shared" si="172"/>
        <v>0</v>
      </c>
      <c r="AQ276" s="67">
        <f t="shared" si="172"/>
        <v>2950.4906333630684</v>
      </c>
      <c r="AR276" s="67">
        <f t="shared" si="172"/>
        <v>2472.4311324879759</v>
      </c>
      <c r="AS276" s="67">
        <f t="shared" si="172"/>
        <v>2428.1286235774105</v>
      </c>
      <c r="AT276" s="67">
        <f t="shared" si="172"/>
        <v>2358.8136665612146</v>
      </c>
      <c r="AU276" s="67">
        <f t="shared" si="172"/>
        <v>2172.1924192212095</v>
      </c>
      <c r="AV276" s="67">
        <f t="shared" si="172"/>
        <v>2292.8874538745386</v>
      </c>
      <c r="AW276" s="67">
        <f t="shared" si="172"/>
        <v>2315.8979052267641</v>
      </c>
      <c r="AX276" s="67">
        <f t="shared" si="172"/>
        <v>2369.596</v>
      </c>
      <c r="AY276" s="67">
        <f t="shared" si="172"/>
        <v>2372.4515750342398</v>
      </c>
      <c r="AZ276" s="67">
        <f t="shared" si="172"/>
        <v>2380.1450389011625</v>
      </c>
      <c r="BA276" s="67">
        <f t="shared" si="172"/>
        <v>2372.9126765904994</v>
      </c>
      <c r="BB276" s="67">
        <f t="shared" si="172"/>
        <v>2536.230980751604</v>
      </c>
      <c r="BC276" s="67">
        <f t="shared" si="172"/>
        <v>2504.4324509551957</v>
      </c>
      <c r="BD276" s="67">
        <f t="shared" si="172"/>
        <v>2366.2029982796757</v>
      </c>
      <c r="BE276" s="67">
        <f t="shared" si="172"/>
        <v>2309.4422724008614</v>
      </c>
      <c r="BF276" s="67">
        <f t="shared" si="172"/>
        <v>1556.8394753279201</v>
      </c>
      <c r="BG276" s="67">
        <f t="shared" si="172"/>
        <v>2079.0301361480801</v>
      </c>
      <c r="BH276" s="67">
        <f t="shared" si="172"/>
        <v>2194.7560042833106</v>
      </c>
    </row>
    <row r="277" spans="1:60" s="67" customFormat="1" x14ac:dyDescent="0.25">
      <c r="A277" s="67" t="str">
        <f t="shared" ref="A277:E277" si="177">A102</f>
        <v>Interior</v>
      </c>
      <c r="B277" s="67" t="str">
        <f t="shared" si="177"/>
        <v>BOEM</v>
      </c>
      <c r="C277" s="67" t="str">
        <f t="shared" si="177"/>
        <v>BOEM-OEM</v>
      </c>
      <c r="D277" s="67" t="str">
        <f t="shared" si="177"/>
        <v>Steady</v>
      </c>
      <c r="E277" s="67" t="str">
        <f t="shared" si="177"/>
        <v>Program</v>
      </c>
      <c r="F277" s="67" t="s">
        <v>90</v>
      </c>
      <c r="I277" s="67">
        <f t="shared" si="134"/>
        <v>0</v>
      </c>
      <c r="J277" s="67">
        <f t="shared" si="172"/>
        <v>0</v>
      </c>
      <c r="K277" s="67">
        <f t="shared" si="172"/>
        <v>0</v>
      </c>
      <c r="L277" s="67">
        <f t="shared" si="172"/>
        <v>0</v>
      </c>
      <c r="M277" s="67">
        <f t="shared" si="172"/>
        <v>0</v>
      </c>
      <c r="N277" s="67">
        <f t="shared" si="172"/>
        <v>0</v>
      </c>
      <c r="O277" s="67">
        <f t="shared" si="172"/>
        <v>0</v>
      </c>
      <c r="P277" s="67">
        <f t="shared" si="172"/>
        <v>0</v>
      </c>
      <c r="Q277" s="67">
        <f t="shared" si="172"/>
        <v>0</v>
      </c>
      <c r="R277" s="67">
        <f t="shared" si="172"/>
        <v>0</v>
      </c>
      <c r="S277" s="67">
        <f t="shared" si="172"/>
        <v>0</v>
      </c>
      <c r="T277" s="67">
        <f t="shared" si="172"/>
        <v>0</v>
      </c>
      <c r="U277" s="67">
        <f t="shared" si="172"/>
        <v>0</v>
      </c>
      <c r="V277" s="67">
        <f t="shared" si="172"/>
        <v>0</v>
      </c>
      <c r="W277" s="67">
        <f t="shared" si="172"/>
        <v>0</v>
      </c>
      <c r="X277" s="67">
        <f t="shared" si="172"/>
        <v>0</v>
      </c>
      <c r="Y277" s="67">
        <f t="shared" si="172"/>
        <v>0</v>
      </c>
      <c r="Z277" s="67">
        <f t="shared" si="172"/>
        <v>0</v>
      </c>
      <c r="AA277" s="67">
        <f t="shared" si="172"/>
        <v>0</v>
      </c>
      <c r="AB277" s="67">
        <f t="shared" si="172"/>
        <v>0</v>
      </c>
      <c r="AC277" s="67">
        <f t="shared" si="172"/>
        <v>0</v>
      </c>
      <c r="AD277" s="67">
        <f t="shared" si="172"/>
        <v>0</v>
      </c>
      <c r="AE277" s="67">
        <f t="shared" si="172"/>
        <v>0</v>
      </c>
      <c r="AF277" s="67">
        <f t="shared" si="172"/>
        <v>0</v>
      </c>
      <c r="AG277" s="67">
        <f t="shared" si="172"/>
        <v>0</v>
      </c>
      <c r="AH277" s="67">
        <f t="shared" si="172"/>
        <v>0</v>
      </c>
      <c r="AI277" s="67">
        <f t="shared" si="172"/>
        <v>0</v>
      </c>
      <c r="AJ277" s="67">
        <f t="shared" si="172"/>
        <v>0</v>
      </c>
      <c r="AK277" s="67">
        <f t="shared" si="172"/>
        <v>0</v>
      </c>
      <c r="AL277" s="67">
        <f t="shared" si="172"/>
        <v>0</v>
      </c>
      <c r="AM277" s="67">
        <f t="shared" si="172"/>
        <v>0</v>
      </c>
      <c r="AN277" s="67">
        <f t="shared" ref="J277:BH282" si="178">AN102/AN$175</f>
        <v>0</v>
      </c>
      <c r="AO277" s="67">
        <f t="shared" si="178"/>
        <v>0</v>
      </c>
      <c r="AP277" s="67">
        <f t="shared" si="178"/>
        <v>0</v>
      </c>
      <c r="AQ277" s="67">
        <f t="shared" si="178"/>
        <v>0</v>
      </c>
      <c r="AR277" s="67">
        <f t="shared" si="178"/>
        <v>0</v>
      </c>
      <c r="AS277" s="67">
        <f t="shared" si="178"/>
        <v>0</v>
      </c>
      <c r="AT277" s="67">
        <f t="shared" si="178"/>
        <v>0</v>
      </c>
      <c r="AU277" s="67">
        <f t="shared" si="178"/>
        <v>58.60501242750621</v>
      </c>
      <c r="AV277" s="67">
        <f t="shared" si="178"/>
        <v>70.725707257072571</v>
      </c>
      <c r="AW277" s="67">
        <f t="shared" si="178"/>
        <v>73.644498678055712</v>
      </c>
      <c r="AX277" s="67">
        <f t="shared" si="178"/>
        <v>100.955</v>
      </c>
      <c r="AY277" s="67">
        <f t="shared" si="178"/>
        <v>115.10663275288594</v>
      </c>
      <c r="AZ277" s="67">
        <f t="shared" si="178"/>
        <v>109.65901450389012</v>
      </c>
      <c r="BA277" s="67">
        <f t="shared" si="178"/>
        <v>122.73632312505926</v>
      </c>
      <c r="BB277" s="67">
        <f t="shared" si="178"/>
        <v>150.73418881759852</v>
      </c>
      <c r="BC277" s="67">
        <f t="shared" si="178"/>
        <v>188.43484965304549</v>
      </c>
      <c r="BD277" s="67">
        <f t="shared" si="178"/>
        <v>172.98435323994431</v>
      </c>
      <c r="BE277" s="67">
        <f t="shared" si="178"/>
        <v>168.48480012766296</v>
      </c>
      <c r="BF277" s="67">
        <f t="shared" si="178"/>
        <v>115.73547782635853</v>
      </c>
      <c r="BG277" s="67">
        <f t="shared" si="178"/>
        <v>139.36056294936515</v>
      </c>
      <c r="BH277" s="67">
        <f t="shared" si="178"/>
        <v>153.01896894599969</v>
      </c>
    </row>
    <row r="278" spans="1:60" s="67" customFormat="1" x14ac:dyDescent="0.25">
      <c r="A278" s="67" t="str">
        <f t="shared" ref="A278:E278" si="179">A103</f>
        <v>Interior</v>
      </c>
      <c r="B278" s="67" t="str">
        <f t="shared" si="179"/>
        <v>BSEE</v>
      </c>
      <c r="C278" s="67" t="str">
        <f t="shared" si="179"/>
        <v>BSEE-OSEE</v>
      </c>
      <c r="D278" s="67" t="str">
        <f t="shared" si="179"/>
        <v>Steady</v>
      </c>
      <c r="E278" s="67" t="str">
        <f t="shared" si="179"/>
        <v>Program</v>
      </c>
      <c r="F278" s="67" t="s">
        <v>90</v>
      </c>
      <c r="I278" s="67">
        <f t="shared" si="134"/>
        <v>0</v>
      </c>
      <c r="J278" s="67">
        <f t="shared" si="178"/>
        <v>0</v>
      </c>
      <c r="K278" s="67">
        <f t="shared" si="178"/>
        <v>0</v>
      </c>
      <c r="L278" s="67">
        <f t="shared" si="178"/>
        <v>0</v>
      </c>
      <c r="M278" s="67">
        <f t="shared" si="178"/>
        <v>0</v>
      </c>
      <c r="N278" s="67">
        <f t="shared" si="178"/>
        <v>0</v>
      </c>
      <c r="O278" s="67">
        <f t="shared" si="178"/>
        <v>0</v>
      </c>
      <c r="P278" s="67">
        <f t="shared" si="178"/>
        <v>0</v>
      </c>
      <c r="Q278" s="67">
        <f t="shared" si="178"/>
        <v>0</v>
      </c>
      <c r="R278" s="67">
        <f t="shared" si="178"/>
        <v>0</v>
      </c>
      <c r="S278" s="67">
        <f t="shared" si="178"/>
        <v>0</v>
      </c>
      <c r="T278" s="67">
        <f t="shared" si="178"/>
        <v>0</v>
      </c>
      <c r="U278" s="67">
        <f t="shared" si="178"/>
        <v>0</v>
      </c>
      <c r="V278" s="67">
        <f t="shared" si="178"/>
        <v>0</v>
      </c>
      <c r="W278" s="67">
        <f t="shared" si="178"/>
        <v>0</v>
      </c>
      <c r="X278" s="67">
        <f t="shared" si="178"/>
        <v>0</v>
      </c>
      <c r="Y278" s="67">
        <f t="shared" si="178"/>
        <v>0</v>
      </c>
      <c r="Z278" s="67">
        <f t="shared" si="178"/>
        <v>0</v>
      </c>
      <c r="AA278" s="67">
        <f t="shared" si="178"/>
        <v>0</v>
      </c>
      <c r="AB278" s="67">
        <f t="shared" si="178"/>
        <v>0</v>
      </c>
      <c r="AC278" s="67">
        <f t="shared" si="178"/>
        <v>0</v>
      </c>
      <c r="AD278" s="67">
        <f t="shared" si="178"/>
        <v>0</v>
      </c>
      <c r="AE278" s="67">
        <f t="shared" si="178"/>
        <v>0</v>
      </c>
      <c r="AF278" s="67">
        <f t="shared" si="178"/>
        <v>0</v>
      </c>
      <c r="AG278" s="67">
        <f t="shared" si="178"/>
        <v>0</v>
      </c>
      <c r="AH278" s="67">
        <f t="shared" si="178"/>
        <v>0</v>
      </c>
      <c r="AI278" s="67">
        <f t="shared" si="178"/>
        <v>0</v>
      </c>
      <c r="AJ278" s="67">
        <f t="shared" si="178"/>
        <v>0</v>
      </c>
      <c r="AK278" s="67">
        <f t="shared" si="178"/>
        <v>0</v>
      </c>
      <c r="AL278" s="67">
        <f t="shared" si="178"/>
        <v>0</v>
      </c>
      <c r="AM278" s="67">
        <f t="shared" si="178"/>
        <v>0</v>
      </c>
      <c r="AN278" s="67">
        <f t="shared" si="178"/>
        <v>0</v>
      </c>
      <c r="AO278" s="67">
        <f t="shared" si="178"/>
        <v>0</v>
      </c>
      <c r="AP278" s="67">
        <f t="shared" si="178"/>
        <v>0</v>
      </c>
      <c r="AQ278" s="67">
        <f t="shared" si="178"/>
        <v>0</v>
      </c>
      <c r="AR278" s="67">
        <f t="shared" si="178"/>
        <v>0</v>
      </c>
      <c r="AS278" s="67">
        <f t="shared" si="178"/>
        <v>0</v>
      </c>
      <c r="AT278" s="67">
        <f t="shared" si="178"/>
        <v>64.721079827058944</v>
      </c>
      <c r="AU278" s="67">
        <f t="shared" si="178"/>
        <v>60.253728251864125</v>
      </c>
      <c r="AV278" s="67">
        <f t="shared" si="178"/>
        <v>74.47314473144732</v>
      </c>
      <c r="AW278" s="67">
        <f t="shared" si="178"/>
        <v>79.66646329062435</v>
      </c>
      <c r="AX278" s="67">
        <f t="shared" si="178"/>
        <v>94.55</v>
      </c>
      <c r="AY278" s="67">
        <f t="shared" si="178"/>
        <v>86.670905889258464</v>
      </c>
      <c r="AZ278" s="67">
        <f t="shared" si="178"/>
        <v>104.25511478244167</v>
      </c>
      <c r="BA278" s="67">
        <f t="shared" si="178"/>
        <v>115.21854555797857</v>
      </c>
      <c r="BB278" s="67">
        <f t="shared" si="178"/>
        <v>143.76443629697525</v>
      </c>
      <c r="BC278" s="67">
        <f t="shared" si="178"/>
        <v>143.93300779576799</v>
      </c>
      <c r="BD278" s="67">
        <f t="shared" si="178"/>
        <v>180.57589907430165</v>
      </c>
      <c r="BE278" s="67">
        <f t="shared" si="178"/>
        <v>145.55892443947977</v>
      </c>
      <c r="BF278" s="67">
        <f t="shared" si="178"/>
        <v>53.184728294815741</v>
      </c>
      <c r="BG278" s="67">
        <f t="shared" si="178"/>
        <v>123.40905614196116</v>
      </c>
      <c r="BH278" s="67">
        <f t="shared" si="178"/>
        <v>169.36591708734895</v>
      </c>
    </row>
    <row r="279" spans="1:60" s="67" customFormat="1" x14ac:dyDescent="0.25">
      <c r="A279" s="67" t="str">
        <f t="shared" ref="A279:E279" si="180">A104</f>
        <v>Interior</v>
      </c>
      <c r="B279" s="67" t="str">
        <f t="shared" si="180"/>
        <v>NPS</v>
      </c>
      <c r="C279" s="67" t="str">
        <f t="shared" si="180"/>
        <v>NPS-Operation</v>
      </c>
      <c r="D279" s="67" t="str">
        <f t="shared" si="180"/>
        <v>Steady</v>
      </c>
      <c r="E279" s="67" t="str">
        <f t="shared" si="180"/>
        <v>Program</v>
      </c>
      <c r="F279" s="67" t="s">
        <v>90</v>
      </c>
      <c r="I279" s="67">
        <f t="shared" si="134"/>
        <v>0</v>
      </c>
      <c r="J279" s="67">
        <f t="shared" si="178"/>
        <v>0</v>
      </c>
      <c r="K279" s="67">
        <f t="shared" si="178"/>
        <v>0</v>
      </c>
      <c r="L279" s="67">
        <f t="shared" si="178"/>
        <v>0</v>
      </c>
      <c r="M279" s="67">
        <f t="shared" si="178"/>
        <v>0</v>
      </c>
      <c r="N279" s="67">
        <f t="shared" si="178"/>
        <v>0</v>
      </c>
      <c r="O279" s="67">
        <f t="shared" si="178"/>
        <v>0</v>
      </c>
      <c r="P279" s="67">
        <f t="shared" si="178"/>
        <v>0</v>
      </c>
      <c r="Q279" s="67">
        <f t="shared" si="178"/>
        <v>0</v>
      </c>
      <c r="R279" s="67">
        <f t="shared" si="178"/>
        <v>0</v>
      </c>
      <c r="S279" s="67">
        <f t="shared" si="178"/>
        <v>0</v>
      </c>
      <c r="T279" s="67">
        <f t="shared" si="178"/>
        <v>0</v>
      </c>
      <c r="U279" s="67">
        <f t="shared" si="178"/>
        <v>0</v>
      </c>
      <c r="V279" s="67">
        <f t="shared" si="178"/>
        <v>0</v>
      </c>
      <c r="W279" s="67">
        <f t="shared" si="178"/>
        <v>0</v>
      </c>
      <c r="X279" s="67">
        <f t="shared" si="178"/>
        <v>0</v>
      </c>
      <c r="Y279" s="67">
        <f t="shared" si="178"/>
        <v>0</v>
      </c>
      <c r="Z279" s="67">
        <f t="shared" si="178"/>
        <v>0</v>
      </c>
      <c r="AA279" s="67">
        <f t="shared" si="178"/>
        <v>0</v>
      </c>
      <c r="AB279" s="67">
        <f t="shared" si="178"/>
        <v>0</v>
      </c>
      <c r="AC279" s="67">
        <f t="shared" si="178"/>
        <v>0</v>
      </c>
      <c r="AD279" s="67">
        <f t="shared" si="178"/>
        <v>0</v>
      </c>
      <c r="AE279" s="67">
        <f t="shared" si="178"/>
        <v>0</v>
      </c>
      <c r="AF279" s="67">
        <f t="shared" si="178"/>
        <v>0</v>
      </c>
      <c r="AG279" s="67">
        <f t="shared" si="178"/>
        <v>0</v>
      </c>
      <c r="AH279" s="67">
        <f t="shared" si="178"/>
        <v>0</v>
      </c>
      <c r="AI279" s="67">
        <f t="shared" si="178"/>
        <v>0</v>
      </c>
      <c r="AJ279" s="67">
        <f t="shared" si="178"/>
        <v>0</v>
      </c>
      <c r="AK279" s="67">
        <f t="shared" si="178"/>
        <v>0</v>
      </c>
      <c r="AL279" s="67">
        <f t="shared" si="178"/>
        <v>0</v>
      </c>
      <c r="AM279" s="67">
        <f t="shared" si="178"/>
        <v>0</v>
      </c>
      <c r="AN279" s="67">
        <f t="shared" si="178"/>
        <v>0</v>
      </c>
      <c r="AO279" s="67">
        <f t="shared" si="178"/>
        <v>0</v>
      </c>
      <c r="AP279" s="67">
        <f t="shared" si="178"/>
        <v>0</v>
      </c>
      <c r="AQ279" s="67">
        <f t="shared" si="178"/>
        <v>2950.4906333630684</v>
      </c>
      <c r="AR279" s="67">
        <f t="shared" si="178"/>
        <v>2472.4311324879759</v>
      </c>
      <c r="AS279" s="67">
        <f t="shared" si="178"/>
        <v>2428.1286235774105</v>
      </c>
      <c r="AT279" s="67">
        <f t="shared" si="178"/>
        <v>2358.8136665612146</v>
      </c>
      <c r="AU279" s="67">
        <f t="shared" si="178"/>
        <v>2172.1924192212095</v>
      </c>
      <c r="AV279" s="67">
        <f t="shared" si="178"/>
        <v>2292.8874538745386</v>
      </c>
      <c r="AW279" s="67">
        <f t="shared" si="178"/>
        <v>2315.8979052267641</v>
      </c>
      <c r="AX279" s="67">
        <f t="shared" si="178"/>
        <v>2369.596</v>
      </c>
      <c r="AY279" s="67">
        <f t="shared" si="178"/>
        <v>2372.4515750342398</v>
      </c>
      <c r="AZ279" s="67">
        <f t="shared" si="178"/>
        <v>2380.1450389011625</v>
      </c>
      <c r="BA279" s="67">
        <f t="shared" si="178"/>
        <v>2372.9126765904994</v>
      </c>
      <c r="BB279" s="67">
        <f t="shared" si="178"/>
        <v>2536.230980751604</v>
      </c>
      <c r="BC279" s="67">
        <f t="shared" si="178"/>
        <v>2504.4324509551957</v>
      </c>
      <c r="BD279" s="67">
        <f t="shared" si="178"/>
        <v>2366.2029982796757</v>
      </c>
      <c r="BE279" s="67">
        <f t="shared" si="178"/>
        <v>2309.4422724008614</v>
      </c>
      <c r="BF279" s="67">
        <f t="shared" si="178"/>
        <v>1556.8394753279201</v>
      </c>
      <c r="BG279" s="67">
        <f t="shared" si="178"/>
        <v>2079.0301361480801</v>
      </c>
      <c r="BH279" s="67">
        <f t="shared" si="178"/>
        <v>2194.7560042833106</v>
      </c>
    </row>
    <row r="280" spans="1:60" s="67" customFormat="1" x14ac:dyDescent="0.25">
      <c r="A280" s="67" t="str">
        <f t="shared" ref="A280:E280" si="181">A105</f>
        <v>Interior</v>
      </c>
      <c r="B280" s="67" t="str">
        <f t="shared" si="181"/>
        <v>USGS</v>
      </c>
      <c r="C280" s="67" t="str">
        <f t="shared" si="181"/>
        <v>USGS</v>
      </c>
      <c r="D280" s="67" t="str">
        <f t="shared" si="181"/>
        <v>Steady</v>
      </c>
      <c r="E280" s="67" t="str">
        <f t="shared" si="181"/>
        <v>Program</v>
      </c>
      <c r="F280" s="67" t="s">
        <v>90</v>
      </c>
      <c r="H280" s="67" t="str">
        <f t="shared" si="147"/>
        <v>U.S. Geological Survey</v>
      </c>
      <c r="I280" s="67">
        <f t="shared" si="134"/>
        <v>0</v>
      </c>
      <c r="J280" s="67">
        <f t="shared" si="178"/>
        <v>0</v>
      </c>
      <c r="K280" s="67">
        <f t="shared" si="178"/>
        <v>0</v>
      </c>
      <c r="L280" s="67">
        <f t="shared" si="178"/>
        <v>0</v>
      </c>
      <c r="M280" s="67">
        <f t="shared" si="178"/>
        <v>0</v>
      </c>
      <c r="N280" s="67">
        <f t="shared" si="178"/>
        <v>0</v>
      </c>
      <c r="O280" s="67">
        <f t="shared" si="178"/>
        <v>0</v>
      </c>
      <c r="P280" s="67">
        <f t="shared" si="178"/>
        <v>0</v>
      </c>
      <c r="Q280" s="67">
        <f t="shared" si="178"/>
        <v>0</v>
      </c>
      <c r="R280" s="67">
        <f t="shared" si="178"/>
        <v>0</v>
      </c>
      <c r="S280" s="67">
        <f t="shared" si="178"/>
        <v>0</v>
      </c>
      <c r="T280" s="67">
        <f t="shared" si="178"/>
        <v>0</v>
      </c>
      <c r="U280" s="67">
        <f t="shared" si="178"/>
        <v>0</v>
      </c>
      <c r="V280" s="67">
        <f t="shared" si="178"/>
        <v>0</v>
      </c>
      <c r="W280" s="67">
        <f t="shared" si="178"/>
        <v>0</v>
      </c>
      <c r="X280" s="67">
        <f t="shared" si="178"/>
        <v>0</v>
      </c>
      <c r="Y280" s="67">
        <f t="shared" si="178"/>
        <v>0</v>
      </c>
      <c r="Z280" s="67">
        <f t="shared" si="178"/>
        <v>0</v>
      </c>
      <c r="AA280" s="67">
        <f t="shared" si="178"/>
        <v>0</v>
      </c>
      <c r="AB280" s="67">
        <f t="shared" si="178"/>
        <v>0</v>
      </c>
      <c r="AC280" s="67">
        <f t="shared" si="178"/>
        <v>0</v>
      </c>
      <c r="AD280" s="67">
        <f t="shared" si="178"/>
        <v>0</v>
      </c>
      <c r="AE280" s="67">
        <f t="shared" si="178"/>
        <v>729.21170197434787</v>
      </c>
      <c r="AF280" s="67">
        <f t="shared" si="178"/>
        <v>805.57927697124967</v>
      </c>
      <c r="AG280" s="67">
        <f t="shared" si="178"/>
        <v>794.32025868128778</v>
      </c>
      <c r="AH280" s="67">
        <f t="shared" si="178"/>
        <v>757.47142266905394</v>
      </c>
      <c r="AI280" s="67">
        <f t="shared" si="178"/>
        <v>743.57940029581823</v>
      </c>
      <c r="AJ280" s="67">
        <f t="shared" si="178"/>
        <v>722.7958697378873</v>
      </c>
      <c r="AK280" s="67">
        <f t="shared" si="178"/>
        <v>661.84861163940661</v>
      </c>
      <c r="AL280" s="67">
        <f t="shared" si="178"/>
        <v>706.28768303186905</v>
      </c>
      <c r="AM280" s="67">
        <f t="shared" si="178"/>
        <v>698.36729829579315</v>
      </c>
      <c r="AN280" s="67">
        <f t="shared" si="178"/>
        <v>713.29157967988874</v>
      </c>
      <c r="AO280" s="67">
        <f t="shared" si="178"/>
        <v>752.18725144869904</v>
      </c>
      <c r="AP280" s="67">
        <f t="shared" si="178"/>
        <v>719.78967495219888</v>
      </c>
      <c r="AQ280" s="67">
        <f t="shared" si="178"/>
        <v>750.25089206066014</v>
      </c>
      <c r="AR280" s="67">
        <f t="shared" si="178"/>
        <v>695.60887625710541</v>
      </c>
      <c r="AS280" s="67">
        <f t="shared" si="178"/>
        <v>697.29976379643551</v>
      </c>
      <c r="AT280" s="67">
        <f t="shared" si="178"/>
        <v>702.14594537593587</v>
      </c>
      <c r="AU280" s="67">
        <f t="shared" si="178"/>
        <v>701.02941176470597</v>
      </c>
      <c r="AV280" s="67">
        <f t="shared" si="178"/>
        <v>704.77347273472731</v>
      </c>
      <c r="AW280" s="67">
        <f t="shared" si="178"/>
        <v>610.61928004881031</v>
      </c>
      <c r="AX280" s="67">
        <f t="shared" si="178"/>
        <v>640.19500000000005</v>
      </c>
      <c r="AY280" s="67">
        <f t="shared" si="178"/>
        <v>650.37663862257875</v>
      </c>
      <c r="AZ280" s="67">
        <f t="shared" si="178"/>
        <v>614.92171741427342</v>
      </c>
      <c r="BA280" s="67">
        <f t="shared" si="178"/>
        <v>626.26623684460026</v>
      </c>
      <c r="BB280" s="67">
        <f t="shared" si="178"/>
        <v>422.28597616865261</v>
      </c>
      <c r="BC280" s="67">
        <f t="shared" si="178"/>
        <v>1377.2217938833205</v>
      </c>
      <c r="BD280" s="67">
        <f t="shared" si="178"/>
        <v>1192.2913082657494</v>
      </c>
      <c r="BE280" s="67">
        <f t="shared" si="178"/>
        <v>1157.1028484800127</v>
      </c>
      <c r="BF280" s="67">
        <f t="shared" si="178"/>
        <v>691.9089631480324</v>
      </c>
      <c r="BG280" s="67">
        <f t="shared" si="178"/>
        <v>1046.6460149915865</v>
      </c>
      <c r="BH280" s="67">
        <f t="shared" si="178"/>
        <v>1136.1128958237725</v>
      </c>
    </row>
    <row r="281" spans="1:60" s="67" customFormat="1" x14ac:dyDescent="0.25">
      <c r="A281" s="67" t="str">
        <f t="shared" ref="A281:E281" si="182">A106</f>
        <v>Interior</v>
      </c>
      <c r="B281" s="67" t="str">
        <f t="shared" si="182"/>
        <v>USGS</v>
      </c>
      <c r="C281" s="67" t="str">
        <f t="shared" si="182"/>
        <v>National Mapping, Geography</v>
      </c>
      <c r="D281" s="67" t="str">
        <f t="shared" si="182"/>
        <v>Steady</v>
      </c>
      <c r="E281" s="67" t="str">
        <f t="shared" si="182"/>
        <v>Subprograms</v>
      </c>
      <c r="F281" s="67" t="s">
        <v>90</v>
      </c>
      <c r="I281" s="67">
        <f t="shared" si="134"/>
        <v>0</v>
      </c>
      <c r="J281" s="67">
        <f t="shared" si="178"/>
        <v>0</v>
      </c>
      <c r="K281" s="67">
        <f t="shared" si="178"/>
        <v>0</v>
      </c>
      <c r="L281" s="67">
        <f t="shared" si="178"/>
        <v>0</v>
      </c>
      <c r="M281" s="67">
        <f t="shared" si="178"/>
        <v>0</v>
      </c>
      <c r="N281" s="67">
        <f t="shared" si="178"/>
        <v>0</v>
      </c>
      <c r="O281" s="67">
        <f t="shared" si="178"/>
        <v>0</v>
      </c>
      <c r="P281" s="67">
        <f t="shared" si="178"/>
        <v>0</v>
      </c>
      <c r="Q281" s="67">
        <f t="shared" si="178"/>
        <v>0</v>
      </c>
      <c r="R281" s="67">
        <f t="shared" si="178"/>
        <v>0</v>
      </c>
      <c r="S281" s="67">
        <f t="shared" si="178"/>
        <v>0</v>
      </c>
      <c r="T281" s="67">
        <f t="shared" si="178"/>
        <v>0</v>
      </c>
      <c r="U281" s="67">
        <f t="shared" si="178"/>
        <v>0</v>
      </c>
      <c r="V281" s="67">
        <f t="shared" si="178"/>
        <v>0</v>
      </c>
      <c r="W281" s="67">
        <f t="shared" si="178"/>
        <v>0</v>
      </c>
      <c r="X281" s="67">
        <f t="shared" si="178"/>
        <v>0</v>
      </c>
      <c r="Y281" s="67">
        <f t="shared" si="178"/>
        <v>0</v>
      </c>
      <c r="Z281" s="67">
        <f t="shared" si="178"/>
        <v>0</v>
      </c>
      <c r="AA281" s="67">
        <f t="shared" si="178"/>
        <v>0</v>
      </c>
      <c r="AB281" s="67">
        <f t="shared" si="178"/>
        <v>0</v>
      </c>
      <c r="AC281" s="67">
        <f t="shared" si="178"/>
        <v>0</v>
      </c>
      <c r="AD281" s="67">
        <f t="shared" si="178"/>
        <v>0</v>
      </c>
      <c r="AE281" s="67">
        <f t="shared" si="178"/>
        <v>38.910505836575879</v>
      </c>
      <c r="AF281" s="67">
        <f t="shared" si="178"/>
        <v>61.201252490748651</v>
      </c>
      <c r="AG281" s="67">
        <f t="shared" si="178"/>
        <v>71.699704765921553</v>
      </c>
      <c r="AH281" s="67">
        <f t="shared" si="178"/>
        <v>63.352155350502692</v>
      </c>
      <c r="AI281" s="67">
        <f t="shared" si="178"/>
        <v>56.474384832593785</v>
      </c>
      <c r="AJ281" s="67">
        <f t="shared" si="178"/>
        <v>47.656870532168391</v>
      </c>
      <c r="AK281" s="67">
        <f t="shared" si="178"/>
        <v>49.4484594903005</v>
      </c>
      <c r="AL281" s="67">
        <f t="shared" si="178"/>
        <v>54.140519256798328</v>
      </c>
      <c r="AM281" s="67">
        <f t="shared" si="178"/>
        <v>56.012394231915152</v>
      </c>
      <c r="AN281" s="67">
        <f t="shared" si="178"/>
        <v>48.71259568545581</v>
      </c>
      <c r="AO281" s="67">
        <f t="shared" si="178"/>
        <v>0</v>
      </c>
      <c r="AP281" s="67">
        <f t="shared" si="178"/>
        <v>0</v>
      </c>
      <c r="AQ281" s="67">
        <f t="shared" si="178"/>
        <v>0</v>
      </c>
      <c r="AR281" s="67">
        <f t="shared" si="178"/>
        <v>0</v>
      </c>
      <c r="AS281" s="67">
        <f t="shared" si="178"/>
        <v>0</v>
      </c>
      <c r="AT281" s="67">
        <f t="shared" si="178"/>
        <v>0</v>
      </c>
      <c r="AU281" s="67">
        <f t="shared" si="178"/>
        <v>0</v>
      </c>
      <c r="AV281" s="67">
        <f t="shared" si="178"/>
        <v>0</v>
      </c>
      <c r="AW281" s="67">
        <f t="shared" si="178"/>
        <v>0</v>
      </c>
      <c r="AX281" s="67">
        <f t="shared" si="178"/>
        <v>0</v>
      </c>
      <c r="AY281" s="67">
        <f t="shared" si="178"/>
        <v>0</v>
      </c>
      <c r="AZ281" s="67">
        <f t="shared" si="178"/>
        <v>0</v>
      </c>
      <c r="BA281" s="67">
        <f t="shared" si="178"/>
        <v>0</v>
      </c>
      <c r="BB281" s="67">
        <f t="shared" si="178"/>
        <v>0</v>
      </c>
      <c r="BC281" s="67">
        <f t="shared" si="178"/>
        <v>0</v>
      </c>
      <c r="BD281" s="67">
        <f t="shared" si="178"/>
        <v>0</v>
      </c>
      <c r="BE281" s="67">
        <f t="shared" si="178"/>
        <v>0</v>
      </c>
      <c r="BF281" s="67">
        <f t="shared" si="178"/>
        <v>0</v>
      </c>
      <c r="BG281" s="67">
        <f t="shared" si="178"/>
        <v>0</v>
      </c>
      <c r="BH281" s="67">
        <f t="shared" si="178"/>
        <v>0</v>
      </c>
    </row>
    <row r="282" spans="1:60" s="67" customFormat="1" x14ac:dyDescent="0.25">
      <c r="A282" s="67" t="str">
        <f t="shared" ref="A282:E282" si="183">A107</f>
        <v>Interior</v>
      </c>
      <c r="B282" s="67" t="str">
        <f t="shared" si="183"/>
        <v>USGS</v>
      </c>
      <c r="C282" s="67" t="str">
        <f t="shared" si="183"/>
        <v>Geological Hazards, Resources, and Processes</v>
      </c>
      <c r="D282" s="67" t="str">
        <f t="shared" si="183"/>
        <v>Steady</v>
      </c>
      <c r="E282" s="67" t="str">
        <f t="shared" si="183"/>
        <v>Subprograms</v>
      </c>
      <c r="F282" s="67" t="s">
        <v>90</v>
      </c>
      <c r="I282" s="67">
        <f t="shared" si="134"/>
        <v>0</v>
      </c>
      <c r="J282" s="67">
        <f t="shared" si="178"/>
        <v>0</v>
      </c>
      <c r="K282" s="67">
        <f t="shared" si="178"/>
        <v>0</v>
      </c>
      <c r="L282" s="67">
        <f t="shared" si="178"/>
        <v>0</v>
      </c>
      <c r="M282" s="67">
        <f t="shared" si="178"/>
        <v>0</v>
      </c>
      <c r="N282" s="67">
        <f t="shared" si="178"/>
        <v>0</v>
      </c>
      <c r="O282" s="67">
        <f t="shared" si="178"/>
        <v>0</v>
      </c>
      <c r="P282" s="67">
        <f t="shared" si="178"/>
        <v>0</v>
      </c>
      <c r="Q282" s="67">
        <f t="shared" si="178"/>
        <v>0</v>
      </c>
      <c r="R282" s="67">
        <f t="shared" si="178"/>
        <v>0</v>
      </c>
      <c r="S282" s="67">
        <f t="shared" si="178"/>
        <v>0</v>
      </c>
      <c r="T282" s="67">
        <f t="shared" si="178"/>
        <v>0</v>
      </c>
      <c r="U282" s="67">
        <f t="shared" si="178"/>
        <v>0</v>
      </c>
      <c r="V282" s="67">
        <f t="shared" si="178"/>
        <v>0</v>
      </c>
      <c r="W282" s="67">
        <f t="shared" si="178"/>
        <v>0</v>
      </c>
      <c r="X282" s="67">
        <f t="shared" si="178"/>
        <v>0</v>
      </c>
      <c r="Y282" s="67">
        <f t="shared" si="178"/>
        <v>0</v>
      </c>
      <c r="Z282" s="67">
        <f t="shared" si="178"/>
        <v>0</v>
      </c>
      <c r="AA282" s="67">
        <f t="shared" si="178"/>
        <v>0</v>
      </c>
      <c r="AB282" s="67">
        <f t="shared" si="178"/>
        <v>0</v>
      </c>
      <c r="AC282" s="67">
        <f t="shared" si="178"/>
        <v>0</v>
      </c>
      <c r="AD282" s="67">
        <f t="shared" si="178"/>
        <v>0</v>
      </c>
      <c r="AE282" s="67">
        <f t="shared" si="178"/>
        <v>305.51952730941059</v>
      </c>
      <c r="AF282" s="67">
        <f t="shared" si="178"/>
        <v>320.23911187019644</v>
      </c>
      <c r="AG282" s="67">
        <f t="shared" si="178"/>
        <v>293.82820188387456</v>
      </c>
      <c r="AH282" s="67">
        <f t="shared" si="178"/>
        <v>287.83914061424048</v>
      </c>
      <c r="AI282" s="67">
        <f t="shared" si="178"/>
        <v>282.37192416296892</v>
      </c>
      <c r="AJ282" s="67">
        <f t="shared" si="178"/>
        <v>277.99841143764894</v>
      </c>
      <c r="AK282" s="67">
        <f t="shared" si="178"/>
        <v>271.3325725878027</v>
      </c>
      <c r="AL282" s="67">
        <f t="shared" si="178"/>
        <v>268.24166359050082</v>
      </c>
      <c r="AM282" s="67">
        <f t="shared" si="178"/>
        <v>260.9939220593493</v>
      </c>
      <c r="AN282" s="67">
        <f t="shared" ref="J282:BH287" si="184">AN107/AN$175</f>
        <v>250.52192066805847</v>
      </c>
      <c r="AO282" s="67">
        <f t="shared" si="184"/>
        <v>0</v>
      </c>
      <c r="AP282" s="67">
        <f t="shared" si="184"/>
        <v>0</v>
      </c>
      <c r="AQ282" s="67">
        <f t="shared" si="184"/>
        <v>0</v>
      </c>
      <c r="AR282" s="67">
        <f t="shared" si="184"/>
        <v>0</v>
      </c>
      <c r="AS282" s="67">
        <f t="shared" si="184"/>
        <v>0</v>
      </c>
      <c r="AT282" s="67">
        <f t="shared" si="184"/>
        <v>0</v>
      </c>
      <c r="AU282" s="67">
        <f t="shared" si="184"/>
        <v>0</v>
      </c>
      <c r="AV282" s="67">
        <f t="shared" si="184"/>
        <v>0</v>
      </c>
      <c r="AW282" s="67">
        <f t="shared" si="184"/>
        <v>0</v>
      </c>
      <c r="AX282" s="67">
        <f t="shared" si="184"/>
        <v>0</v>
      </c>
      <c r="AY282" s="67">
        <f t="shared" si="184"/>
        <v>0</v>
      </c>
      <c r="AZ282" s="67">
        <f t="shared" si="184"/>
        <v>0</v>
      </c>
      <c r="BA282" s="67">
        <f t="shared" si="184"/>
        <v>0</v>
      </c>
      <c r="BB282" s="67">
        <f t="shared" si="184"/>
        <v>0</v>
      </c>
      <c r="BC282" s="67">
        <f t="shared" si="184"/>
        <v>0</v>
      </c>
      <c r="BD282" s="67">
        <f t="shared" si="184"/>
        <v>0</v>
      </c>
      <c r="BE282" s="67">
        <f t="shared" si="184"/>
        <v>0</v>
      </c>
      <c r="BF282" s="67">
        <f t="shared" si="184"/>
        <v>0</v>
      </c>
      <c r="BG282" s="67">
        <f t="shared" si="184"/>
        <v>0</v>
      </c>
      <c r="BH282" s="67">
        <f t="shared" si="184"/>
        <v>0</v>
      </c>
    </row>
    <row r="283" spans="1:60" s="67" customFormat="1" x14ac:dyDescent="0.25">
      <c r="A283" s="67" t="str">
        <f t="shared" ref="A283:E283" si="185">A108</f>
        <v>Interior</v>
      </c>
      <c r="B283" s="67" t="str">
        <f t="shared" si="185"/>
        <v>USGS</v>
      </c>
      <c r="C283" s="67" t="str">
        <f t="shared" si="185"/>
        <v>Water Resources</v>
      </c>
      <c r="D283" s="67" t="str">
        <f t="shared" si="185"/>
        <v>Steady</v>
      </c>
      <c r="E283" s="67" t="str">
        <f t="shared" si="185"/>
        <v>Subprograms</v>
      </c>
      <c r="F283" s="67" t="s">
        <v>90</v>
      </c>
      <c r="I283" s="67">
        <f t="shared" si="134"/>
        <v>0</v>
      </c>
      <c r="J283" s="67">
        <f t="shared" si="184"/>
        <v>0</v>
      </c>
      <c r="K283" s="67">
        <f t="shared" si="184"/>
        <v>0</v>
      </c>
      <c r="L283" s="67">
        <f t="shared" si="184"/>
        <v>0</v>
      </c>
      <c r="M283" s="67">
        <f t="shared" si="184"/>
        <v>0</v>
      </c>
      <c r="N283" s="67">
        <f t="shared" si="184"/>
        <v>0</v>
      </c>
      <c r="O283" s="67">
        <f t="shared" si="184"/>
        <v>0</v>
      </c>
      <c r="P283" s="67">
        <f t="shared" si="184"/>
        <v>0</v>
      </c>
      <c r="Q283" s="67">
        <f t="shared" si="184"/>
        <v>0</v>
      </c>
      <c r="R283" s="67">
        <f t="shared" si="184"/>
        <v>0</v>
      </c>
      <c r="S283" s="67">
        <f t="shared" si="184"/>
        <v>0</v>
      </c>
      <c r="T283" s="67">
        <f t="shared" si="184"/>
        <v>0</v>
      </c>
      <c r="U283" s="67">
        <f t="shared" si="184"/>
        <v>0</v>
      </c>
      <c r="V283" s="67">
        <f t="shared" si="184"/>
        <v>0</v>
      </c>
      <c r="W283" s="67">
        <f t="shared" si="184"/>
        <v>0</v>
      </c>
      <c r="X283" s="67">
        <f t="shared" si="184"/>
        <v>0</v>
      </c>
      <c r="Y283" s="67">
        <f t="shared" si="184"/>
        <v>0</v>
      </c>
      <c r="Z283" s="67">
        <f t="shared" si="184"/>
        <v>0</v>
      </c>
      <c r="AA283" s="67">
        <f t="shared" si="184"/>
        <v>0</v>
      </c>
      <c r="AB283" s="67">
        <f t="shared" si="184"/>
        <v>0</v>
      </c>
      <c r="AC283" s="67">
        <f t="shared" si="184"/>
        <v>0</v>
      </c>
      <c r="AD283" s="67">
        <f t="shared" si="184"/>
        <v>0</v>
      </c>
      <c r="AE283" s="67">
        <f t="shared" si="184"/>
        <v>188.78800979968295</v>
      </c>
      <c r="AF283" s="67">
        <f t="shared" si="184"/>
        <v>194.99003700540848</v>
      </c>
      <c r="AG283" s="67">
        <f t="shared" si="184"/>
        <v>196.82271896527485</v>
      </c>
      <c r="AH283" s="67">
        <f t="shared" si="184"/>
        <v>173.52981682963781</v>
      </c>
      <c r="AI283" s="67">
        <f t="shared" si="184"/>
        <v>169.42315449778135</v>
      </c>
      <c r="AJ283" s="67">
        <f t="shared" si="184"/>
        <v>166.79904686258936</v>
      </c>
      <c r="AK283" s="67">
        <f t="shared" si="184"/>
        <v>161.02447064790161</v>
      </c>
      <c r="AL283" s="67">
        <f t="shared" si="184"/>
        <v>155.03875968992247</v>
      </c>
      <c r="AM283" s="67">
        <f t="shared" si="184"/>
        <v>152.54439280181148</v>
      </c>
      <c r="AN283" s="67">
        <f t="shared" si="184"/>
        <v>146.13778705636744</v>
      </c>
      <c r="AO283" s="67">
        <f t="shared" si="184"/>
        <v>132.93943870014772</v>
      </c>
      <c r="AP283" s="67">
        <f t="shared" si="184"/>
        <v>124.84534922955798</v>
      </c>
      <c r="AQ283" s="67">
        <f t="shared" si="184"/>
        <v>134.3264942016057</v>
      </c>
      <c r="AR283" s="67">
        <f t="shared" si="184"/>
        <v>145.60013117621338</v>
      </c>
      <c r="AS283" s="67">
        <f t="shared" si="184"/>
        <v>141.6952974017608</v>
      </c>
      <c r="AT283" s="67">
        <f t="shared" si="184"/>
        <v>128.24739006643466</v>
      </c>
      <c r="AU283" s="67">
        <f t="shared" si="184"/>
        <v>125.15741507870754</v>
      </c>
      <c r="AV283" s="67">
        <f t="shared" si="184"/>
        <v>125.85895858958588</v>
      </c>
      <c r="AW283" s="67">
        <f t="shared" si="184"/>
        <v>128.30486068741101</v>
      </c>
      <c r="AX283" s="67">
        <f t="shared" si="184"/>
        <v>116.602</v>
      </c>
      <c r="AY283" s="67">
        <f t="shared" si="184"/>
        <v>117.21776560360007</v>
      </c>
      <c r="AZ283" s="67">
        <f t="shared" si="184"/>
        <v>129.22870041302471</v>
      </c>
      <c r="BA283" s="67">
        <f t="shared" si="184"/>
        <v>138.09554293533066</v>
      </c>
      <c r="BB283" s="67">
        <f t="shared" si="184"/>
        <v>143.78309927483184</v>
      </c>
      <c r="BC283" s="67">
        <f t="shared" si="184"/>
        <v>260.80185042405554</v>
      </c>
      <c r="BD283" s="67">
        <f t="shared" si="184"/>
        <v>236.56262800032769</v>
      </c>
      <c r="BE283" s="67">
        <f t="shared" si="184"/>
        <v>230.40931939679245</v>
      </c>
      <c r="BF283" s="67">
        <f t="shared" si="184"/>
        <v>174.7485946283573</v>
      </c>
      <c r="BG283" s="67">
        <f t="shared" si="184"/>
        <v>218.1520575187395</v>
      </c>
      <c r="BH283" s="67">
        <f t="shared" si="184"/>
        <v>223.19259599204531</v>
      </c>
    </row>
    <row r="284" spans="1:60" s="67" customFormat="1" x14ac:dyDescent="0.25">
      <c r="A284" s="67" t="str">
        <f t="shared" ref="A284:E284" si="186">A109</f>
        <v>Interior</v>
      </c>
      <c r="B284" s="67" t="str">
        <f t="shared" si="186"/>
        <v>USGS</v>
      </c>
      <c r="C284" s="67" t="str">
        <f t="shared" si="186"/>
        <v xml:space="preserve">Biological Research </v>
      </c>
      <c r="D284" s="67" t="str">
        <f t="shared" si="186"/>
        <v>Steady</v>
      </c>
      <c r="E284" s="67" t="str">
        <f t="shared" si="186"/>
        <v>Subprograms</v>
      </c>
      <c r="F284" s="67" t="s">
        <v>90</v>
      </c>
      <c r="I284" s="67">
        <f t="shared" si="134"/>
        <v>0</v>
      </c>
      <c r="J284" s="67">
        <f t="shared" si="184"/>
        <v>0</v>
      </c>
      <c r="K284" s="67">
        <f t="shared" si="184"/>
        <v>0</v>
      </c>
      <c r="L284" s="67">
        <f t="shared" si="184"/>
        <v>0</v>
      </c>
      <c r="M284" s="67">
        <f t="shared" si="184"/>
        <v>0</v>
      </c>
      <c r="N284" s="67">
        <f t="shared" si="184"/>
        <v>0</v>
      </c>
      <c r="O284" s="67">
        <f t="shared" si="184"/>
        <v>0</v>
      </c>
      <c r="P284" s="67">
        <f t="shared" si="184"/>
        <v>0</v>
      </c>
      <c r="Q284" s="67">
        <f t="shared" si="184"/>
        <v>0</v>
      </c>
      <c r="R284" s="67">
        <f t="shared" si="184"/>
        <v>0</v>
      </c>
      <c r="S284" s="67">
        <f t="shared" si="184"/>
        <v>0</v>
      </c>
      <c r="T284" s="67">
        <f t="shared" si="184"/>
        <v>0</v>
      </c>
      <c r="U284" s="67">
        <f t="shared" si="184"/>
        <v>0</v>
      </c>
      <c r="V284" s="67">
        <f t="shared" si="184"/>
        <v>0</v>
      </c>
      <c r="W284" s="67">
        <f t="shared" si="184"/>
        <v>0</v>
      </c>
      <c r="X284" s="67">
        <f t="shared" si="184"/>
        <v>0</v>
      </c>
      <c r="Y284" s="67">
        <f t="shared" si="184"/>
        <v>0</v>
      </c>
      <c r="Z284" s="67">
        <f t="shared" si="184"/>
        <v>0</v>
      </c>
      <c r="AA284" s="67">
        <f t="shared" si="184"/>
        <v>0</v>
      </c>
      <c r="AB284" s="67">
        <f t="shared" si="184"/>
        <v>0</v>
      </c>
      <c r="AC284" s="67">
        <f t="shared" si="184"/>
        <v>0</v>
      </c>
      <c r="AD284" s="67">
        <f t="shared" si="184"/>
        <v>0</v>
      </c>
      <c r="AE284" s="67">
        <f t="shared" si="184"/>
        <v>197.43478887447759</v>
      </c>
      <c r="AF284" s="67">
        <f t="shared" si="184"/>
        <v>229.14887560489609</v>
      </c>
      <c r="AG284" s="67">
        <f t="shared" si="184"/>
        <v>233.37550963025444</v>
      </c>
      <c r="AH284" s="67">
        <f t="shared" si="184"/>
        <v>234.12753064316212</v>
      </c>
      <c r="AI284" s="67">
        <f t="shared" si="184"/>
        <v>235.30993680247411</v>
      </c>
      <c r="AJ284" s="67">
        <f t="shared" si="184"/>
        <v>227.69393698702675</v>
      </c>
      <c r="AK284" s="67">
        <f t="shared" si="184"/>
        <v>228.22365918600229</v>
      </c>
      <c r="AL284" s="67">
        <f t="shared" si="184"/>
        <v>222.71440876092041</v>
      </c>
      <c r="AM284" s="67">
        <f t="shared" si="184"/>
        <v>214.51555237754738</v>
      </c>
      <c r="AN284" s="67">
        <f t="shared" si="184"/>
        <v>214.56738575736489</v>
      </c>
      <c r="AO284" s="67">
        <f t="shared" si="184"/>
        <v>0</v>
      </c>
      <c r="AP284" s="67">
        <f t="shared" si="184"/>
        <v>0</v>
      </c>
      <c r="AQ284" s="67">
        <f t="shared" si="184"/>
        <v>0</v>
      </c>
      <c r="AR284" s="67">
        <f t="shared" si="184"/>
        <v>0</v>
      </c>
      <c r="AS284" s="67">
        <f t="shared" si="184"/>
        <v>0</v>
      </c>
      <c r="AT284" s="67">
        <f t="shared" si="184"/>
        <v>0</v>
      </c>
      <c r="AU284" s="67">
        <f t="shared" si="184"/>
        <v>0</v>
      </c>
      <c r="AV284" s="67">
        <f t="shared" si="184"/>
        <v>0</v>
      </c>
      <c r="AW284" s="67">
        <f t="shared" si="184"/>
        <v>0</v>
      </c>
      <c r="AX284" s="67">
        <f t="shared" si="184"/>
        <v>0</v>
      </c>
      <c r="AY284" s="67">
        <f t="shared" si="184"/>
        <v>0</v>
      </c>
      <c r="AZ284" s="67">
        <f t="shared" si="184"/>
        <v>0</v>
      </c>
      <c r="BA284" s="67">
        <f t="shared" si="184"/>
        <v>0</v>
      </c>
      <c r="BB284" s="67">
        <f t="shared" si="184"/>
        <v>0</v>
      </c>
      <c r="BC284" s="67">
        <f t="shared" si="184"/>
        <v>0</v>
      </c>
      <c r="BD284" s="67">
        <f t="shared" si="184"/>
        <v>0</v>
      </c>
      <c r="BE284" s="67">
        <f t="shared" si="184"/>
        <v>0</v>
      </c>
      <c r="BF284" s="67">
        <f t="shared" si="184"/>
        <v>0</v>
      </c>
      <c r="BG284" s="67">
        <f t="shared" si="184"/>
        <v>0</v>
      </c>
      <c r="BH284" s="67">
        <f t="shared" si="184"/>
        <v>0</v>
      </c>
    </row>
    <row r="285" spans="1:60" s="67" customFormat="1" x14ac:dyDescent="0.25">
      <c r="A285" s="67" t="str">
        <f t="shared" ref="A285:E285" si="187">A110</f>
        <v>Interior</v>
      </c>
      <c r="B285" s="67" t="str">
        <f t="shared" si="187"/>
        <v>USGS</v>
      </c>
      <c r="C285" s="67" t="str">
        <f t="shared" si="187"/>
        <v>Enterprise Information</v>
      </c>
      <c r="D285" s="67" t="str">
        <f t="shared" si="187"/>
        <v>Steady</v>
      </c>
      <c r="E285" s="67" t="str">
        <f t="shared" si="187"/>
        <v>Subprograms</v>
      </c>
      <c r="F285" s="67" t="s">
        <v>90</v>
      </c>
      <c r="I285" s="67">
        <f t="shared" si="134"/>
        <v>0</v>
      </c>
      <c r="J285" s="67">
        <f t="shared" si="184"/>
        <v>0</v>
      </c>
      <c r="K285" s="67">
        <f t="shared" si="184"/>
        <v>0</v>
      </c>
      <c r="L285" s="67">
        <f t="shared" si="184"/>
        <v>0</v>
      </c>
      <c r="M285" s="67">
        <f t="shared" si="184"/>
        <v>0</v>
      </c>
      <c r="N285" s="67">
        <f t="shared" si="184"/>
        <v>0</v>
      </c>
      <c r="O285" s="67">
        <f t="shared" si="184"/>
        <v>0</v>
      </c>
      <c r="P285" s="67">
        <f t="shared" si="184"/>
        <v>0</v>
      </c>
      <c r="Q285" s="67">
        <f t="shared" si="184"/>
        <v>0</v>
      </c>
      <c r="R285" s="67">
        <f t="shared" si="184"/>
        <v>0</v>
      </c>
      <c r="S285" s="67">
        <f t="shared" si="184"/>
        <v>0</v>
      </c>
      <c r="T285" s="67">
        <f t="shared" si="184"/>
        <v>0</v>
      </c>
      <c r="U285" s="67">
        <f t="shared" si="184"/>
        <v>0</v>
      </c>
      <c r="V285" s="67">
        <f t="shared" si="184"/>
        <v>0</v>
      </c>
      <c r="W285" s="67">
        <f t="shared" si="184"/>
        <v>0</v>
      </c>
      <c r="X285" s="67">
        <f t="shared" si="184"/>
        <v>0</v>
      </c>
      <c r="Y285" s="67">
        <f t="shared" si="184"/>
        <v>0</v>
      </c>
      <c r="Z285" s="67">
        <f t="shared" si="184"/>
        <v>0</v>
      </c>
      <c r="AA285" s="67">
        <f t="shared" si="184"/>
        <v>0</v>
      </c>
      <c r="AB285" s="67">
        <f t="shared" si="184"/>
        <v>0</v>
      </c>
      <c r="AC285" s="67">
        <f t="shared" si="184"/>
        <v>0</v>
      </c>
      <c r="AD285" s="67">
        <f t="shared" si="184"/>
        <v>0</v>
      </c>
      <c r="AE285" s="67">
        <f t="shared" si="184"/>
        <v>0</v>
      </c>
      <c r="AF285" s="67">
        <f t="shared" si="184"/>
        <v>0</v>
      </c>
      <c r="AG285" s="67">
        <f t="shared" si="184"/>
        <v>0</v>
      </c>
      <c r="AH285" s="67">
        <f t="shared" si="184"/>
        <v>0</v>
      </c>
      <c r="AI285" s="67">
        <f t="shared" si="184"/>
        <v>0</v>
      </c>
      <c r="AJ285" s="67">
        <f t="shared" si="184"/>
        <v>1.3238019592268997</v>
      </c>
      <c r="AK285" s="67">
        <f t="shared" si="184"/>
        <v>1.2679092177000129</v>
      </c>
      <c r="AL285" s="67">
        <f t="shared" si="184"/>
        <v>6.1523317337270829</v>
      </c>
      <c r="AM285" s="67">
        <f t="shared" si="184"/>
        <v>5.9587653438207608</v>
      </c>
      <c r="AN285" s="67">
        <f t="shared" si="184"/>
        <v>5.7991185339828348</v>
      </c>
      <c r="AO285" s="67">
        <f t="shared" si="184"/>
        <v>5.6811725940234066</v>
      </c>
      <c r="AP285" s="67">
        <f t="shared" si="184"/>
        <v>5.6236643797098189</v>
      </c>
      <c r="AQ285" s="67">
        <f t="shared" si="184"/>
        <v>125.41257805530775</v>
      </c>
      <c r="AR285" s="67">
        <f t="shared" si="184"/>
        <v>15.987101005684304</v>
      </c>
      <c r="AS285" s="67">
        <f t="shared" si="184"/>
        <v>49.354734807816193</v>
      </c>
      <c r="AT285" s="67">
        <f t="shared" si="184"/>
        <v>125.11546978804176</v>
      </c>
      <c r="AU285" s="67">
        <f t="shared" si="184"/>
        <v>114.14664457332228</v>
      </c>
      <c r="AV285" s="67">
        <f t="shared" si="184"/>
        <v>101.52829028290283</v>
      </c>
      <c r="AW285" s="67">
        <f t="shared" si="184"/>
        <v>0</v>
      </c>
      <c r="AX285" s="67">
        <f t="shared" si="184"/>
        <v>0</v>
      </c>
      <c r="AY285" s="67">
        <f t="shared" si="184"/>
        <v>0</v>
      </c>
      <c r="AZ285" s="67">
        <f t="shared" si="184"/>
        <v>0</v>
      </c>
      <c r="BA285" s="67">
        <f t="shared" si="184"/>
        <v>0</v>
      </c>
      <c r="BB285" s="67">
        <f t="shared" si="184"/>
        <v>0</v>
      </c>
      <c r="BC285" s="67">
        <f t="shared" si="184"/>
        <v>0</v>
      </c>
      <c r="BD285" s="67">
        <f t="shared" si="184"/>
        <v>0</v>
      </c>
      <c r="BE285" s="67">
        <f t="shared" si="184"/>
        <v>0</v>
      </c>
      <c r="BF285" s="67">
        <f t="shared" si="184"/>
        <v>0</v>
      </c>
      <c r="BG285" s="67">
        <f t="shared" si="184"/>
        <v>0</v>
      </c>
      <c r="BH285" s="67">
        <f t="shared" si="184"/>
        <v>0</v>
      </c>
    </row>
    <row r="286" spans="1:60" s="67" customFormat="1" x14ac:dyDescent="0.25">
      <c r="A286" s="67" t="str">
        <f t="shared" ref="A286:E286" si="188">A111</f>
        <v>Interior</v>
      </c>
      <c r="B286" s="67" t="str">
        <f t="shared" si="188"/>
        <v>USGS</v>
      </c>
      <c r="C286" s="67" t="str">
        <f t="shared" si="188"/>
        <v>Ecosystems</v>
      </c>
      <c r="D286" s="67" t="str">
        <f t="shared" si="188"/>
        <v>Steady</v>
      </c>
      <c r="E286" s="67" t="str">
        <f t="shared" si="188"/>
        <v>Subprograms</v>
      </c>
      <c r="F286" s="67" t="s">
        <v>90</v>
      </c>
      <c r="I286" s="67">
        <f t="shared" si="134"/>
        <v>0</v>
      </c>
      <c r="J286" s="67">
        <f t="shared" si="184"/>
        <v>0</v>
      </c>
      <c r="K286" s="67">
        <f t="shared" si="184"/>
        <v>0</v>
      </c>
      <c r="L286" s="67">
        <f t="shared" si="184"/>
        <v>0</v>
      </c>
      <c r="M286" s="67">
        <f t="shared" si="184"/>
        <v>0</v>
      </c>
      <c r="N286" s="67">
        <f t="shared" si="184"/>
        <v>0</v>
      </c>
      <c r="O286" s="67">
        <f t="shared" si="184"/>
        <v>0</v>
      </c>
      <c r="P286" s="67">
        <f t="shared" si="184"/>
        <v>0</v>
      </c>
      <c r="Q286" s="67">
        <f t="shared" si="184"/>
        <v>0</v>
      </c>
      <c r="R286" s="67">
        <f t="shared" si="184"/>
        <v>0</v>
      </c>
      <c r="S286" s="67">
        <f t="shared" si="184"/>
        <v>0</v>
      </c>
      <c r="T286" s="67">
        <f t="shared" si="184"/>
        <v>0</v>
      </c>
      <c r="U286" s="67">
        <f t="shared" si="184"/>
        <v>0</v>
      </c>
      <c r="V286" s="67">
        <f t="shared" si="184"/>
        <v>0</v>
      </c>
      <c r="W286" s="67">
        <f t="shared" si="184"/>
        <v>0</v>
      </c>
      <c r="X286" s="67">
        <f t="shared" si="184"/>
        <v>0</v>
      </c>
      <c r="Y286" s="67">
        <f t="shared" si="184"/>
        <v>0</v>
      </c>
      <c r="Z286" s="67">
        <f t="shared" si="184"/>
        <v>0</v>
      </c>
      <c r="AA286" s="67">
        <f t="shared" si="184"/>
        <v>0</v>
      </c>
      <c r="AB286" s="67">
        <f t="shared" si="184"/>
        <v>0</v>
      </c>
      <c r="AC286" s="67">
        <f t="shared" si="184"/>
        <v>0</v>
      </c>
      <c r="AD286" s="67">
        <f t="shared" si="184"/>
        <v>0</v>
      </c>
      <c r="AE286" s="67">
        <f t="shared" si="184"/>
        <v>0</v>
      </c>
      <c r="AF286" s="67">
        <f t="shared" si="184"/>
        <v>0</v>
      </c>
      <c r="AG286" s="67">
        <f t="shared" si="184"/>
        <v>0</v>
      </c>
      <c r="AH286" s="67">
        <f t="shared" si="184"/>
        <v>0</v>
      </c>
      <c r="AI286" s="67">
        <f t="shared" si="184"/>
        <v>0</v>
      </c>
      <c r="AJ286" s="67">
        <f t="shared" si="184"/>
        <v>0</v>
      </c>
      <c r="AK286" s="67">
        <f t="shared" si="184"/>
        <v>0</v>
      </c>
      <c r="AL286" s="67">
        <f t="shared" si="184"/>
        <v>0</v>
      </c>
      <c r="AM286" s="67">
        <f t="shared" si="184"/>
        <v>0</v>
      </c>
      <c r="AN286" s="67">
        <f t="shared" si="184"/>
        <v>0</v>
      </c>
      <c r="AO286" s="67">
        <f t="shared" si="184"/>
        <v>0</v>
      </c>
      <c r="AP286" s="67">
        <f t="shared" si="184"/>
        <v>0</v>
      </c>
      <c r="AQ286" s="67">
        <f t="shared" si="184"/>
        <v>0</v>
      </c>
      <c r="AR286" s="67">
        <f t="shared" si="184"/>
        <v>0</v>
      </c>
      <c r="AS286" s="67">
        <f t="shared" si="184"/>
        <v>172.68305776250804</v>
      </c>
      <c r="AT286" s="67">
        <f t="shared" si="184"/>
        <v>165.60265738690288</v>
      </c>
      <c r="AU286" s="67">
        <f t="shared" si="184"/>
        <v>165.94034797017397</v>
      </c>
      <c r="AV286" s="67">
        <f t="shared" si="184"/>
        <v>163.72693726937271</v>
      </c>
      <c r="AW286" s="67">
        <f t="shared" si="184"/>
        <v>221.11246695139312</v>
      </c>
      <c r="AX286" s="67">
        <f t="shared" si="184"/>
        <v>217.44200000000001</v>
      </c>
      <c r="AY286" s="67">
        <f t="shared" si="184"/>
        <v>153.96399921737429</v>
      </c>
      <c r="AZ286" s="67">
        <f t="shared" si="184"/>
        <v>226.91864374219577</v>
      </c>
      <c r="BA286" s="67">
        <f t="shared" si="184"/>
        <v>244.41452545747606</v>
      </c>
      <c r="BB286" s="67">
        <f t="shared" si="184"/>
        <v>253.06160602992804</v>
      </c>
      <c r="BC286" s="67">
        <f t="shared" si="184"/>
        <v>263.15086096119251</v>
      </c>
      <c r="BD286" s="67">
        <f t="shared" si="184"/>
        <v>245.25026624068161</v>
      </c>
      <c r="BE286" s="67">
        <f t="shared" si="184"/>
        <v>238.87098061118647</v>
      </c>
      <c r="BF286" s="67">
        <f t="shared" si="184"/>
        <v>0</v>
      </c>
      <c r="BG286" s="67">
        <f t="shared" si="184"/>
        <v>221.64601499158636</v>
      </c>
      <c r="BH286" s="67">
        <f t="shared" si="184"/>
        <v>235.54153281321709</v>
      </c>
    </row>
    <row r="287" spans="1:60" s="67" customFormat="1" x14ac:dyDescent="0.25">
      <c r="A287" s="67" t="str">
        <f t="shared" ref="A287:E287" si="189">A112</f>
        <v>Interior</v>
      </c>
      <c r="B287" s="67" t="str">
        <f t="shared" si="189"/>
        <v>USGS</v>
      </c>
      <c r="C287" s="67" t="str">
        <f t="shared" si="189"/>
        <v>Climate and Land Use Change</v>
      </c>
      <c r="D287" s="67" t="str">
        <f t="shared" si="189"/>
        <v>Steady</v>
      </c>
      <c r="E287" s="67" t="str">
        <f t="shared" si="189"/>
        <v>Subprograms</v>
      </c>
      <c r="F287" s="67" t="s">
        <v>90</v>
      </c>
      <c r="I287" s="67">
        <f t="shared" si="134"/>
        <v>0</v>
      </c>
      <c r="J287" s="67">
        <f t="shared" si="184"/>
        <v>0</v>
      </c>
      <c r="K287" s="67">
        <f t="shared" si="184"/>
        <v>0</v>
      </c>
      <c r="L287" s="67">
        <f t="shared" si="184"/>
        <v>0</v>
      </c>
      <c r="M287" s="67">
        <f t="shared" si="184"/>
        <v>0</v>
      </c>
      <c r="N287" s="67">
        <f t="shared" si="184"/>
        <v>0</v>
      </c>
      <c r="O287" s="67">
        <f t="shared" si="184"/>
        <v>0</v>
      </c>
      <c r="P287" s="67">
        <f t="shared" si="184"/>
        <v>0</v>
      </c>
      <c r="Q287" s="67">
        <f t="shared" si="184"/>
        <v>0</v>
      </c>
      <c r="R287" s="67">
        <f t="shared" si="184"/>
        <v>0</v>
      </c>
      <c r="S287" s="67">
        <f t="shared" si="184"/>
        <v>0</v>
      </c>
      <c r="T287" s="67">
        <f t="shared" si="184"/>
        <v>0</v>
      </c>
      <c r="U287" s="67">
        <f t="shared" si="184"/>
        <v>0</v>
      </c>
      <c r="V287" s="67">
        <f t="shared" si="184"/>
        <v>0</v>
      </c>
      <c r="W287" s="67">
        <f t="shared" si="184"/>
        <v>0</v>
      </c>
      <c r="X287" s="67">
        <f t="shared" si="184"/>
        <v>0</v>
      </c>
      <c r="Y287" s="67">
        <f t="shared" si="184"/>
        <v>0</v>
      </c>
      <c r="Z287" s="67">
        <f t="shared" si="184"/>
        <v>0</v>
      </c>
      <c r="AA287" s="67">
        <f t="shared" si="184"/>
        <v>0</v>
      </c>
      <c r="AB287" s="67">
        <f t="shared" si="184"/>
        <v>0</v>
      </c>
      <c r="AC287" s="67">
        <f t="shared" si="184"/>
        <v>0</v>
      </c>
      <c r="AD287" s="67">
        <f t="shared" si="184"/>
        <v>0</v>
      </c>
      <c r="AE287" s="67">
        <f t="shared" si="184"/>
        <v>0</v>
      </c>
      <c r="AF287" s="67">
        <f t="shared" si="184"/>
        <v>0</v>
      </c>
      <c r="AG287" s="67">
        <f t="shared" si="184"/>
        <v>0</v>
      </c>
      <c r="AH287" s="67">
        <f t="shared" si="184"/>
        <v>0</v>
      </c>
      <c r="AI287" s="67">
        <f t="shared" si="184"/>
        <v>0</v>
      </c>
      <c r="AJ287" s="67">
        <f t="shared" si="184"/>
        <v>0</v>
      </c>
      <c r="AK287" s="67">
        <f t="shared" si="184"/>
        <v>0</v>
      </c>
      <c r="AL287" s="67">
        <f t="shared" si="184"/>
        <v>0</v>
      </c>
      <c r="AM287" s="67">
        <f t="shared" si="184"/>
        <v>0</v>
      </c>
      <c r="AN287" s="67">
        <f t="shared" ref="J287:BH292" si="190">AN112/AN$175</f>
        <v>0</v>
      </c>
      <c r="AO287" s="67">
        <f t="shared" si="190"/>
        <v>0</v>
      </c>
      <c r="AP287" s="67">
        <f t="shared" si="190"/>
        <v>0</v>
      </c>
      <c r="AQ287" s="67">
        <f t="shared" si="190"/>
        <v>0</v>
      </c>
      <c r="AR287" s="67">
        <f t="shared" si="190"/>
        <v>0</v>
      </c>
      <c r="AS287" s="67">
        <f t="shared" si="190"/>
        <v>148.31543912389949</v>
      </c>
      <c r="AT287" s="67">
        <f t="shared" si="190"/>
        <v>105.44237055784035</v>
      </c>
      <c r="AU287" s="67">
        <f t="shared" si="190"/>
        <v>105.33554266777132</v>
      </c>
      <c r="AV287" s="67">
        <f t="shared" si="190"/>
        <v>106.40016400164002</v>
      </c>
      <c r="AW287" s="67">
        <f t="shared" si="190"/>
        <v>0</v>
      </c>
      <c r="AX287" s="67">
        <f t="shared" si="190"/>
        <v>0</v>
      </c>
      <c r="AY287" s="67">
        <f t="shared" si="190"/>
        <v>77.733320289571509</v>
      </c>
      <c r="AZ287" s="67">
        <f t="shared" si="190"/>
        <v>0</v>
      </c>
      <c r="BA287" s="67">
        <f t="shared" si="190"/>
        <v>0</v>
      </c>
      <c r="BB287" s="67">
        <f t="shared" si="190"/>
        <v>0</v>
      </c>
      <c r="BC287" s="67">
        <f t="shared" si="190"/>
        <v>0</v>
      </c>
      <c r="BD287" s="67">
        <f t="shared" si="190"/>
        <v>0</v>
      </c>
      <c r="BE287" s="67">
        <f t="shared" si="190"/>
        <v>0</v>
      </c>
      <c r="BF287" s="67">
        <f t="shared" si="190"/>
        <v>0</v>
      </c>
      <c r="BG287" s="67">
        <f t="shared" si="190"/>
        <v>0</v>
      </c>
      <c r="BH287" s="67">
        <f t="shared" si="190"/>
        <v>0</v>
      </c>
    </row>
    <row r="288" spans="1:60" s="67" customFormat="1" x14ac:dyDescent="0.25">
      <c r="A288" s="67" t="str">
        <f t="shared" ref="A288:E288" si="191">A113</f>
        <v>Interior</v>
      </c>
      <c r="B288" s="67" t="str">
        <f t="shared" si="191"/>
        <v>USGS</v>
      </c>
      <c r="C288" s="67" t="str">
        <f t="shared" si="191"/>
        <v>Energy, Minerals, and Enviro Health</v>
      </c>
      <c r="D288" s="67" t="str">
        <f t="shared" si="191"/>
        <v>Steady</v>
      </c>
      <c r="E288" s="67" t="str">
        <f t="shared" si="191"/>
        <v>Subprograms</v>
      </c>
      <c r="F288" s="67" t="s">
        <v>90</v>
      </c>
      <c r="I288" s="67">
        <f t="shared" si="134"/>
        <v>0</v>
      </c>
      <c r="J288" s="67">
        <f t="shared" si="190"/>
        <v>0</v>
      </c>
      <c r="K288" s="67">
        <f t="shared" si="190"/>
        <v>0</v>
      </c>
      <c r="L288" s="67">
        <f t="shared" si="190"/>
        <v>0</v>
      </c>
      <c r="M288" s="67">
        <f t="shared" si="190"/>
        <v>0</v>
      </c>
      <c r="N288" s="67">
        <f t="shared" si="190"/>
        <v>0</v>
      </c>
      <c r="O288" s="67">
        <f t="shared" si="190"/>
        <v>0</v>
      </c>
      <c r="P288" s="67">
        <f t="shared" si="190"/>
        <v>0</v>
      </c>
      <c r="Q288" s="67">
        <f t="shared" si="190"/>
        <v>0</v>
      </c>
      <c r="R288" s="67">
        <f t="shared" si="190"/>
        <v>0</v>
      </c>
      <c r="S288" s="67">
        <f t="shared" si="190"/>
        <v>0</v>
      </c>
      <c r="T288" s="67">
        <f t="shared" si="190"/>
        <v>0</v>
      </c>
      <c r="U288" s="67">
        <f t="shared" si="190"/>
        <v>0</v>
      </c>
      <c r="V288" s="67">
        <f t="shared" si="190"/>
        <v>0</v>
      </c>
      <c r="W288" s="67">
        <f t="shared" si="190"/>
        <v>0</v>
      </c>
      <c r="X288" s="67">
        <f t="shared" si="190"/>
        <v>0</v>
      </c>
      <c r="Y288" s="67">
        <f t="shared" si="190"/>
        <v>0</v>
      </c>
      <c r="Z288" s="67">
        <f t="shared" si="190"/>
        <v>0</v>
      </c>
      <c r="AA288" s="67">
        <f t="shared" si="190"/>
        <v>0</v>
      </c>
      <c r="AB288" s="67">
        <f t="shared" si="190"/>
        <v>0</v>
      </c>
      <c r="AC288" s="67">
        <f t="shared" si="190"/>
        <v>0</v>
      </c>
      <c r="AD288" s="67">
        <f t="shared" si="190"/>
        <v>0</v>
      </c>
      <c r="AE288" s="67">
        <f t="shared" si="190"/>
        <v>0</v>
      </c>
      <c r="AF288" s="67">
        <f t="shared" si="190"/>
        <v>0</v>
      </c>
      <c r="AG288" s="67">
        <f t="shared" si="190"/>
        <v>0</v>
      </c>
      <c r="AH288" s="67">
        <f t="shared" si="190"/>
        <v>0</v>
      </c>
      <c r="AI288" s="67">
        <f t="shared" si="190"/>
        <v>0</v>
      </c>
      <c r="AJ288" s="67">
        <f t="shared" si="190"/>
        <v>0</v>
      </c>
      <c r="AK288" s="67">
        <f t="shared" si="190"/>
        <v>0</v>
      </c>
      <c r="AL288" s="67">
        <f t="shared" si="190"/>
        <v>0</v>
      </c>
      <c r="AM288" s="67">
        <f t="shared" si="190"/>
        <v>0</v>
      </c>
      <c r="AN288" s="67">
        <f t="shared" si="190"/>
        <v>0</v>
      </c>
      <c r="AO288" s="67">
        <f t="shared" si="190"/>
        <v>0</v>
      </c>
      <c r="AP288" s="67">
        <f t="shared" si="190"/>
        <v>0</v>
      </c>
      <c r="AQ288" s="67">
        <f t="shared" si="190"/>
        <v>0</v>
      </c>
      <c r="AR288" s="67">
        <f t="shared" si="190"/>
        <v>0</v>
      </c>
      <c r="AS288" s="67">
        <f t="shared" si="190"/>
        <v>106.49774532961133</v>
      </c>
      <c r="AT288" s="67">
        <f t="shared" si="190"/>
        <v>97.301486871243284</v>
      </c>
      <c r="AU288" s="67">
        <f t="shared" si="190"/>
        <v>97.878003314001646</v>
      </c>
      <c r="AV288" s="67">
        <f t="shared" si="190"/>
        <v>96.669741697416967</v>
      </c>
      <c r="AW288" s="67">
        <f t="shared" si="190"/>
        <v>70.92739475289811</v>
      </c>
      <c r="AX288" s="67">
        <f t="shared" si="190"/>
        <v>69.75</v>
      </c>
      <c r="AY288" s="67">
        <f t="shared" si="190"/>
        <v>97.562120915672082</v>
      </c>
      <c r="AZ288" s="67">
        <f t="shared" si="190"/>
        <v>97.385457688982825</v>
      </c>
      <c r="BA288" s="67">
        <f t="shared" si="190"/>
        <v>73.977434341518915</v>
      </c>
      <c r="BB288" s="67">
        <f t="shared" si="190"/>
        <v>75.333839406228805</v>
      </c>
      <c r="BC288" s="67">
        <f t="shared" si="190"/>
        <v>89.28296067848882</v>
      </c>
      <c r="BD288" s="67">
        <f t="shared" si="190"/>
        <v>82.815597607929888</v>
      </c>
      <c r="BE288" s="67">
        <f t="shared" si="190"/>
        <v>80.661453762068135</v>
      </c>
      <c r="BF288" s="67">
        <f t="shared" si="190"/>
        <v>107.02139287945036</v>
      </c>
      <c r="BG288" s="67">
        <f t="shared" si="190"/>
        <v>80.049716995563713</v>
      </c>
      <c r="BH288" s="67">
        <f t="shared" si="190"/>
        <v>84.590790882667889</v>
      </c>
    </row>
    <row r="289" spans="1:60" s="67" customFormat="1" x14ac:dyDescent="0.25">
      <c r="A289" s="67" t="str">
        <f t="shared" ref="A289:E289" si="192">A114</f>
        <v>Interior</v>
      </c>
      <c r="B289" s="67" t="str">
        <f t="shared" si="192"/>
        <v>USGS</v>
      </c>
      <c r="C289" s="67" t="str">
        <f t="shared" si="192"/>
        <v>Natural Hazards</v>
      </c>
      <c r="D289" s="67" t="str">
        <f t="shared" si="192"/>
        <v>Steady</v>
      </c>
      <c r="E289" s="67" t="str">
        <f t="shared" si="192"/>
        <v>Subprograms</v>
      </c>
      <c r="F289" s="67" t="s">
        <v>90</v>
      </c>
      <c r="I289" s="67">
        <f t="shared" si="134"/>
        <v>0</v>
      </c>
      <c r="J289" s="67">
        <f t="shared" si="190"/>
        <v>0</v>
      </c>
      <c r="K289" s="67">
        <f t="shared" si="190"/>
        <v>0</v>
      </c>
      <c r="L289" s="67">
        <f t="shared" si="190"/>
        <v>0</v>
      </c>
      <c r="M289" s="67">
        <f t="shared" si="190"/>
        <v>0</v>
      </c>
      <c r="N289" s="67">
        <f t="shared" si="190"/>
        <v>0</v>
      </c>
      <c r="O289" s="67">
        <f t="shared" si="190"/>
        <v>0</v>
      </c>
      <c r="P289" s="67">
        <f t="shared" si="190"/>
        <v>0</v>
      </c>
      <c r="Q289" s="67">
        <f t="shared" si="190"/>
        <v>0</v>
      </c>
      <c r="R289" s="67">
        <f t="shared" si="190"/>
        <v>0</v>
      </c>
      <c r="S289" s="67">
        <f t="shared" si="190"/>
        <v>0</v>
      </c>
      <c r="T289" s="67">
        <f t="shared" si="190"/>
        <v>0</v>
      </c>
      <c r="U289" s="67">
        <f t="shared" si="190"/>
        <v>0</v>
      </c>
      <c r="V289" s="67">
        <f t="shared" si="190"/>
        <v>0</v>
      </c>
      <c r="W289" s="67">
        <f t="shared" si="190"/>
        <v>0</v>
      </c>
      <c r="X289" s="67">
        <f t="shared" si="190"/>
        <v>0</v>
      </c>
      <c r="Y289" s="67">
        <f t="shared" si="190"/>
        <v>0</v>
      </c>
      <c r="Z289" s="67">
        <f t="shared" si="190"/>
        <v>0</v>
      </c>
      <c r="AA289" s="67">
        <f t="shared" si="190"/>
        <v>0</v>
      </c>
      <c r="AB289" s="67">
        <f t="shared" si="190"/>
        <v>0</v>
      </c>
      <c r="AC289" s="67">
        <f t="shared" si="190"/>
        <v>0</v>
      </c>
      <c r="AD289" s="67">
        <f t="shared" si="190"/>
        <v>0</v>
      </c>
      <c r="AE289" s="67">
        <f t="shared" si="190"/>
        <v>0</v>
      </c>
      <c r="AF289" s="67">
        <f t="shared" si="190"/>
        <v>0</v>
      </c>
      <c r="AG289" s="67">
        <f t="shared" si="190"/>
        <v>0</v>
      </c>
      <c r="AH289" s="67">
        <f t="shared" si="190"/>
        <v>0</v>
      </c>
      <c r="AI289" s="67">
        <f t="shared" si="190"/>
        <v>0</v>
      </c>
      <c r="AJ289" s="67">
        <f t="shared" si="190"/>
        <v>0</v>
      </c>
      <c r="AK289" s="67">
        <f t="shared" si="190"/>
        <v>0</v>
      </c>
      <c r="AL289" s="67">
        <f t="shared" si="190"/>
        <v>0</v>
      </c>
      <c r="AM289" s="67">
        <f t="shared" si="190"/>
        <v>0</v>
      </c>
      <c r="AN289" s="67">
        <f t="shared" si="190"/>
        <v>0</v>
      </c>
      <c r="AO289" s="67">
        <f t="shared" si="190"/>
        <v>127.25826610612431</v>
      </c>
      <c r="AP289" s="67">
        <f t="shared" si="190"/>
        <v>123.72061635361601</v>
      </c>
      <c r="AQ289" s="67">
        <f t="shared" si="190"/>
        <v>118.02854594112398</v>
      </c>
      <c r="AR289" s="67">
        <f t="shared" si="190"/>
        <v>162.97114123305644</v>
      </c>
      <c r="AS289" s="67">
        <f t="shared" si="190"/>
        <v>164.06592226755421</v>
      </c>
      <c r="AT289" s="67">
        <f t="shared" si="190"/>
        <v>117.33312242961088</v>
      </c>
      <c r="AU289" s="67">
        <f t="shared" si="190"/>
        <v>117.39229494614747</v>
      </c>
      <c r="AV289" s="67">
        <f t="shared" si="190"/>
        <v>120.9860598605986</v>
      </c>
      <c r="AW289" s="67">
        <f t="shared" si="190"/>
        <v>113.50518608907871</v>
      </c>
      <c r="AX289" s="67">
        <f t="shared" si="190"/>
        <v>111.62100000000001</v>
      </c>
      <c r="AY289" s="67">
        <f t="shared" si="190"/>
        <v>132.84875758168656</v>
      </c>
      <c r="AZ289" s="67">
        <f t="shared" si="190"/>
        <v>119.08462203438671</v>
      </c>
      <c r="BA289" s="67">
        <f t="shared" si="190"/>
        <v>121.23352612117191</v>
      </c>
      <c r="BB289" s="67">
        <f t="shared" si="190"/>
        <v>126.84785211908095</v>
      </c>
      <c r="BC289" s="67">
        <f t="shared" si="190"/>
        <v>171.55487021331277</v>
      </c>
      <c r="BD289" s="67">
        <f t="shared" si="190"/>
        <v>162.72302777095109</v>
      </c>
      <c r="BE289" s="67">
        <f t="shared" si="190"/>
        <v>158.49038538258995</v>
      </c>
      <c r="BF289" s="67">
        <f t="shared" si="190"/>
        <v>106.59431605246722</v>
      </c>
      <c r="BG289" s="67">
        <f t="shared" si="190"/>
        <v>145.75875783998777</v>
      </c>
      <c r="BH289" s="67">
        <f t="shared" si="190"/>
        <v>160.19504359798074</v>
      </c>
    </row>
    <row r="290" spans="1:60" s="67" customFormat="1" x14ac:dyDescent="0.25">
      <c r="A290" s="67" t="str">
        <f t="shared" ref="A290:E290" si="193">A115</f>
        <v>Interior</v>
      </c>
      <c r="B290" s="67" t="str">
        <f t="shared" si="193"/>
        <v>USGS</v>
      </c>
      <c r="C290" s="67" t="str">
        <f t="shared" si="193"/>
        <v>Core Science Systems</v>
      </c>
      <c r="D290" s="67" t="str">
        <f t="shared" si="193"/>
        <v>Steady</v>
      </c>
      <c r="E290" s="67" t="str">
        <f t="shared" si="193"/>
        <v>Subprograms</v>
      </c>
      <c r="F290" s="67" t="s">
        <v>90</v>
      </c>
      <c r="I290" s="67">
        <f t="shared" si="134"/>
        <v>0</v>
      </c>
      <c r="J290" s="67">
        <f t="shared" si="190"/>
        <v>0</v>
      </c>
      <c r="K290" s="67">
        <f t="shared" si="190"/>
        <v>0</v>
      </c>
      <c r="L290" s="67">
        <f t="shared" si="190"/>
        <v>0</v>
      </c>
      <c r="M290" s="67">
        <f t="shared" si="190"/>
        <v>0</v>
      </c>
      <c r="N290" s="67">
        <f t="shared" si="190"/>
        <v>0</v>
      </c>
      <c r="O290" s="67">
        <f t="shared" si="190"/>
        <v>0</v>
      </c>
      <c r="P290" s="67">
        <f t="shared" si="190"/>
        <v>0</v>
      </c>
      <c r="Q290" s="67">
        <f t="shared" si="190"/>
        <v>0</v>
      </c>
      <c r="R290" s="67">
        <f t="shared" si="190"/>
        <v>0</v>
      </c>
      <c r="S290" s="67">
        <f t="shared" si="190"/>
        <v>0</v>
      </c>
      <c r="T290" s="67">
        <f t="shared" si="190"/>
        <v>0</v>
      </c>
      <c r="U290" s="67">
        <f t="shared" si="190"/>
        <v>0</v>
      </c>
      <c r="V290" s="67">
        <f t="shared" si="190"/>
        <v>0</v>
      </c>
      <c r="W290" s="67">
        <f t="shared" si="190"/>
        <v>0</v>
      </c>
      <c r="X290" s="67">
        <f t="shared" si="190"/>
        <v>0</v>
      </c>
      <c r="Y290" s="67">
        <f t="shared" si="190"/>
        <v>0</v>
      </c>
      <c r="Z290" s="67">
        <f t="shared" si="190"/>
        <v>0</v>
      </c>
      <c r="AA290" s="67">
        <f t="shared" si="190"/>
        <v>0</v>
      </c>
      <c r="AB290" s="67">
        <f t="shared" si="190"/>
        <v>0</v>
      </c>
      <c r="AC290" s="67">
        <f t="shared" si="190"/>
        <v>0</v>
      </c>
      <c r="AD290" s="67">
        <f t="shared" si="190"/>
        <v>0</v>
      </c>
      <c r="AE290" s="67">
        <f t="shared" si="190"/>
        <v>0</v>
      </c>
      <c r="AF290" s="67">
        <f t="shared" si="190"/>
        <v>0</v>
      </c>
      <c r="AG290" s="67">
        <f t="shared" si="190"/>
        <v>0</v>
      </c>
      <c r="AH290" s="67">
        <f t="shared" si="190"/>
        <v>0</v>
      </c>
      <c r="AI290" s="67">
        <f t="shared" si="190"/>
        <v>0</v>
      </c>
      <c r="AJ290" s="67">
        <f t="shared" si="190"/>
        <v>0</v>
      </c>
      <c r="AK290" s="67">
        <f t="shared" si="190"/>
        <v>0</v>
      </c>
      <c r="AL290" s="67">
        <f t="shared" si="190"/>
        <v>0</v>
      </c>
      <c r="AM290" s="67">
        <f t="shared" si="190"/>
        <v>0</v>
      </c>
      <c r="AN290" s="67">
        <f t="shared" si="190"/>
        <v>0</v>
      </c>
      <c r="AO290" s="67">
        <f t="shared" si="190"/>
        <v>65.901602090671517</v>
      </c>
      <c r="AP290" s="67">
        <f t="shared" si="190"/>
        <v>57.361376673040155</v>
      </c>
      <c r="AQ290" s="67">
        <f t="shared" si="190"/>
        <v>98.63068688670829</v>
      </c>
      <c r="AR290" s="67">
        <f t="shared" si="190"/>
        <v>98.945124617402712</v>
      </c>
      <c r="AS290" s="67">
        <f t="shared" si="190"/>
        <v>98.255314580201841</v>
      </c>
      <c r="AT290" s="67">
        <f t="shared" si="190"/>
        <v>87.767584097859313</v>
      </c>
      <c r="AU290" s="67">
        <f t="shared" si="190"/>
        <v>88.835956917978464</v>
      </c>
      <c r="AV290" s="67">
        <f t="shared" si="190"/>
        <v>90.646781467814677</v>
      </c>
      <c r="AW290" s="67">
        <f t="shared" si="190"/>
        <v>76.769371568029285</v>
      </c>
      <c r="AX290" s="67">
        <f t="shared" si="190"/>
        <v>75.495000000000005</v>
      </c>
      <c r="AY290" s="67">
        <f t="shared" si="190"/>
        <v>50.11348072784191</v>
      </c>
      <c r="AZ290" s="67">
        <f t="shared" si="190"/>
        <v>80.091249639804076</v>
      </c>
      <c r="BA290" s="67">
        <f t="shared" si="190"/>
        <v>88.230776524130093</v>
      </c>
      <c r="BB290" s="67">
        <f t="shared" si="190"/>
        <v>119.19252461014914</v>
      </c>
      <c r="BC290" s="67">
        <f t="shared" si="190"/>
        <v>243.816499614495</v>
      </c>
      <c r="BD290" s="67">
        <f t="shared" si="190"/>
        <v>223.82321618743347</v>
      </c>
      <c r="BE290" s="67">
        <f t="shared" si="190"/>
        <v>218.0012766296976</v>
      </c>
      <c r="BF290" s="67">
        <f t="shared" si="190"/>
        <v>128.85774515927545</v>
      </c>
      <c r="BG290" s="67">
        <f t="shared" si="190"/>
        <v>216.62918770078019</v>
      </c>
      <c r="BH290" s="67">
        <f t="shared" si="190"/>
        <v>213.95211870888789</v>
      </c>
    </row>
    <row r="291" spans="1:60" s="67" customFormat="1" x14ac:dyDescent="0.25">
      <c r="A291" s="67" t="str">
        <f t="shared" ref="A291:E291" si="194">A116</f>
        <v>Interior</v>
      </c>
      <c r="B291" s="67" t="str">
        <f t="shared" si="194"/>
        <v>USGS</v>
      </c>
      <c r="C291" s="67" t="str">
        <f t="shared" si="194"/>
        <v>ARRA</v>
      </c>
      <c r="D291" s="67" t="str">
        <f t="shared" si="194"/>
        <v>One-year</v>
      </c>
      <c r="E291" s="67" t="str">
        <f t="shared" si="194"/>
        <v>Subprograms</v>
      </c>
      <c r="F291" s="67" t="s">
        <v>90</v>
      </c>
      <c r="H291" s="67" t="str">
        <f t="shared" si="147"/>
        <v>American Recovery and Reinvestment Act of 2009</v>
      </c>
      <c r="I291" s="67">
        <f t="shared" si="134"/>
        <v>0</v>
      </c>
      <c r="J291" s="67">
        <f t="shared" si="190"/>
        <v>0</v>
      </c>
      <c r="K291" s="67">
        <f t="shared" si="190"/>
        <v>0</v>
      </c>
      <c r="L291" s="67">
        <f t="shared" si="190"/>
        <v>0</v>
      </c>
      <c r="M291" s="67">
        <f t="shared" si="190"/>
        <v>0</v>
      </c>
      <c r="N291" s="67">
        <f t="shared" si="190"/>
        <v>0</v>
      </c>
      <c r="O291" s="67">
        <f t="shared" si="190"/>
        <v>0</v>
      </c>
      <c r="P291" s="67">
        <f t="shared" si="190"/>
        <v>0</v>
      </c>
      <c r="Q291" s="67">
        <f t="shared" si="190"/>
        <v>0</v>
      </c>
      <c r="R291" s="67">
        <f t="shared" si="190"/>
        <v>0</v>
      </c>
      <c r="S291" s="67">
        <f t="shared" si="190"/>
        <v>0</v>
      </c>
      <c r="T291" s="67">
        <f t="shared" si="190"/>
        <v>0</v>
      </c>
      <c r="U291" s="67">
        <f t="shared" si="190"/>
        <v>0</v>
      </c>
      <c r="V291" s="67">
        <f t="shared" si="190"/>
        <v>0</v>
      </c>
      <c r="W291" s="67">
        <f t="shared" si="190"/>
        <v>0</v>
      </c>
      <c r="X291" s="67">
        <f t="shared" si="190"/>
        <v>0</v>
      </c>
      <c r="Y291" s="67">
        <f t="shared" si="190"/>
        <v>0</v>
      </c>
      <c r="Z291" s="67">
        <f t="shared" si="190"/>
        <v>0</v>
      </c>
      <c r="AA291" s="67">
        <f t="shared" si="190"/>
        <v>0</v>
      </c>
      <c r="AB291" s="67">
        <f t="shared" si="190"/>
        <v>0</v>
      </c>
      <c r="AC291" s="67">
        <f t="shared" si="190"/>
        <v>0</v>
      </c>
      <c r="AD291" s="67">
        <f t="shared" si="190"/>
        <v>0</v>
      </c>
      <c r="AE291" s="67">
        <f t="shared" si="190"/>
        <v>0</v>
      </c>
      <c r="AF291" s="67">
        <f t="shared" si="190"/>
        <v>0</v>
      </c>
      <c r="AG291" s="67">
        <f t="shared" si="190"/>
        <v>0</v>
      </c>
      <c r="AH291" s="67">
        <f t="shared" si="190"/>
        <v>0</v>
      </c>
      <c r="AI291" s="67">
        <f t="shared" si="190"/>
        <v>0</v>
      </c>
      <c r="AJ291" s="67">
        <f t="shared" si="190"/>
        <v>0</v>
      </c>
      <c r="AK291" s="67">
        <f t="shared" si="190"/>
        <v>0</v>
      </c>
      <c r="AL291" s="67">
        <f t="shared" si="190"/>
        <v>0</v>
      </c>
      <c r="AM291" s="67">
        <f t="shared" si="190"/>
        <v>0</v>
      </c>
      <c r="AN291" s="67">
        <f t="shared" si="190"/>
        <v>85.82695430294595</v>
      </c>
      <c r="AO291" s="67">
        <f t="shared" si="190"/>
        <v>0</v>
      </c>
      <c r="AP291" s="67">
        <f t="shared" si="190"/>
        <v>0</v>
      </c>
      <c r="AQ291" s="67">
        <f t="shared" si="190"/>
        <v>0</v>
      </c>
      <c r="AR291" s="67">
        <f t="shared" si="190"/>
        <v>0</v>
      </c>
      <c r="AS291" s="67">
        <f t="shared" si="190"/>
        <v>0</v>
      </c>
      <c r="AT291" s="67">
        <f t="shared" si="190"/>
        <v>0</v>
      </c>
      <c r="AU291" s="67">
        <f t="shared" si="190"/>
        <v>0</v>
      </c>
      <c r="AV291" s="67">
        <f t="shared" si="190"/>
        <v>0</v>
      </c>
      <c r="AW291" s="67">
        <f t="shared" si="190"/>
        <v>0</v>
      </c>
      <c r="AX291" s="67">
        <f t="shared" si="190"/>
        <v>0</v>
      </c>
      <c r="AY291" s="67">
        <f t="shared" si="190"/>
        <v>0</v>
      </c>
      <c r="AZ291" s="67">
        <f t="shared" si="190"/>
        <v>0</v>
      </c>
      <c r="BA291" s="67">
        <f t="shared" si="190"/>
        <v>0</v>
      </c>
      <c r="BB291" s="67">
        <f t="shared" si="190"/>
        <v>0</v>
      </c>
      <c r="BC291" s="67">
        <f t="shared" si="190"/>
        <v>0</v>
      </c>
      <c r="BD291" s="67">
        <f t="shared" si="190"/>
        <v>0</v>
      </c>
      <c r="BE291" s="67">
        <f t="shared" si="190"/>
        <v>0</v>
      </c>
      <c r="BF291" s="67">
        <f t="shared" si="190"/>
        <v>0</v>
      </c>
      <c r="BG291" s="67">
        <f t="shared" si="190"/>
        <v>0</v>
      </c>
      <c r="BH291" s="67">
        <f t="shared" si="190"/>
        <v>0</v>
      </c>
    </row>
    <row r="292" spans="1:60" s="67" customFormat="1" x14ac:dyDescent="0.25">
      <c r="A292" s="67" t="str">
        <f t="shared" ref="A292:E292" si="195">A117</f>
        <v>EPA</v>
      </c>
      <c r="B292" s="67" t="str">
        <f t="shared" si="195"/>
        <v>EPA</v>
      </c>
      <c r="C292" s="67" t="str">
        <f t="shared" si="195"/>
        <v>EPA</v>
      </c>
      <c r="D292" s="67" t="str">
        <f t="shared" si="195"/>
        <v>Steady</v>
      </c>
      <c r="E292" s="67" t="str">
        <f t="shared" si="195"/>
        <v>Total</v>
      </c>
      <c r="F292" s="67" t="s">
        <v>90</v>
      </c>
      <c r="H292" s="67" t="str">
        <f t="shared" si="147"/>
        <v>Environmental Protection Agency</v>
      </c>
      <c r="I292" s="67">
        <f t="shared" si="134"/>
        <v>2600.8001488649052</v>
      </c>
      <c r="J292" s="67">
        <f t="shared" si="190"/>
        <v>2685.0904662491303</v>
      </c>
      <c r="K292" s="67">
        <f t="shared" si="190"/>
        <v>8967.375081116159</v>
      </c>
      <c r="L292" s="67">
        <f t="shared" si="190"/>
        <v>16718.257829127393</v>
      </c>
      <c r="M292" s="67">
        <f t="shared" si="190"/>
        <v>15197.077355836849</v>
      </c>
      <c r="N292" s="67">
        <f t="shared" si="190"/>
        <v>12081.280724450193</v>
      </c>
      <c r="O292" s="67">
        <f t="shared" si="190"/>
        <v>7141.0673892554187</v>
      </c>
      <c r="P292" s="67">
        <f t="shared" si="190"/>
        <v>8098.7287948887415</v>
      </c>
      <c r="Q292" s="67">
        <f t="shared" si="190"/>
        <v>7786.970656533671</v>
      </c>
      <c r="R292" s="67">
        <f t="shared" si="190"/>
        <v>8288.1597717546356</v>
      </c>
      <c r="S292" s="67">
        <f t="shared" si="190"/>
        <v>8585.3973575231703</v>
      </c>
      <c r="T292" s="67">
        <f t="shared" si="190"/>
        <v>7066.2314368370298</v>
      </c>
      <c r="U292" s="67">
        <f t="shared" si="190"/>
        <v>10119.019053008866</v>
      </c>
      <c r="V292" s="67">
        <f t="shared" si="190"/>
        <v>9185.8980449479259</v>
      </c>
      <c r="W292" s="67">
        <f t="shared" si="190"/>
        <v>9053.6090621707062</v>
      </c>
      <c r="X292" s="67">
        <f t="shared" si="190"/>
        <v>9254.1646899356165</v>
      </c>
      <c r="Y292" s="67">
        <f t="shared" si="190"/>
        <v>9969.388189105186</v>
      </c>
      <c r="Z292" s="67">
        <f t="shared" si="190"/>
        <v>10642.918927545483</v>
      </c>
      <c r="AA292" s="67">
        <f t="shared" si="190"/>
        <v>10747.581475128645</v>
      </c>
      <c r="AB292" s="67">
        <f t="shared" si="190"/>
        <v>10161.646574088203</v>
      </c>
      <c r="AC292" s="67">
        <f t="shared" si="190"/>
        <v>10820.213687985653</v>
      </c>
      <c r="AD292" s="67">
        <f t="shared" si="190"/>
        <v>9574.655324141977</v>
      </c>
      <c r="AE292" s="67">
        <f t="shared" si="190"/>
        <v>9798.2418215881262</v>
      </c>
      <c r="AF292" s="67">
        <f t="shared" si="190"/>
        <v>10475.377170509537</v>
      </c>
      <c r="AG292" s="67">
        <f t="shared" si="190"/>
        <v>10672.00899761001</v>
      </c>
      <c r="AH292" s="67">
        <f t="shared" si="190"/>
        <v>10236.881972180141</v>
      </c>
      <c r="AI292" s="67">
        <f t="shared" si="190"/>
        <v>10504.235578862445</v>
      </c>
      <c r="AJ292" s="67">
        <f t="shared" si="190"/>
        <v>10722.795869737887</v>
      </c>
      <c r="AK292" s="67">
        <f t="shared" si="190"/>
        <v>10248.510206669203</v>
      </c>
      <c r="AL292" s="67">
        <f t="shared" si="190"/>
        <v>10296.542389565646</v>
      </c>
      <c r="AM292" s="67">
        <f t="shared" si="190"/>
        <v>9568.5853891073766</v>
      </c>
      <c r="AN292" s="67">
        <f t="shared" ref="J292:BH297" si="196">AN117/AN$175</f>
        <v>8834.8411041521686</v>
      </c>
      <c r="AO292" s="67">
        <f t="shared" si="196"/>
        <v>8777.5252812180443</v>
      </c>
      <c r="AP292" s="67">
        <f t="shared" si="196"/>
        <v>8404.368462490158</v>
      </c>
      <c r="AQ292" s="67">
        <f t="shared" si="196"/>
        <v>8699.8215878679748</v>
      </c>
      <c r="AR292" s="67">
        <f t="shared" si="196"/>
        <v>11259.291648447748</v>
      </c>
      <c r="AS292" s="67">
        <f t="shared" si="196"/>
        <v>9321.4515782692724</v>
      </c>
      <c r="AT292" s="67">
        <f t="shared" si="196"/>
        <v>9720.5525677528203</v>
      </c>
      <c r="AU292" s="67">
        <f t="shared" si="196"/>
        <v>8182.477216238608</v>
      </c>
      <c r="AV292" s="67">
        <f t="shared" si="196"/>
        <v>8405.084050840509</v>
      </c>
      <c r="AW292" s="67">
        <f t="shared" si="196"/>
        <v>8277.404921700223</v>
      </c>
      <c r="AX292" s="67">
        <f t="shared" si="196"/>
        <v>8139.8869999999997</v>
      </c>
      <c r="AY292" s="67">
        <f t="shared" si="196"/>
        <v>7883.4748581490903</v>
      </c>
      <c r="AZ292" s="67">
        <f t="shared" si="196"/>
        <v>8476.1194890020179</v>
      </c>
      <c r="BA292" s="67">
        <f t="shared" si="196"/>
        <v>8343.3122214847826</v>
      </c>
      <c r="BB292" s="67">
        <f t="shared" si="196"/>
        <v>8668.2126489459224</v>
      </c>
      <c r="BC292" s="67">
        <f t="shared" si="196"/>
        <v>8034.370770153344</v>
      </c>
      <c r="BD292" s="67">
        <f t="shared" si="196"/>
        <v>7043.2374866879663</v>
      </c>
      <c r="BE292" s="67">
        <f t="shared" si="196"/>
        <v>9432.4383627224124</v>
      </c>
      <c r="BF292" s="67">
        <f t="shared" si="196"/>
        <v>7153.5220174890692</v>
      </c>
      <c r="BG292" s="67">
        <f t="shared" si="196"/>
        <v>6961.5947682423139</v>
      </c>
      <c r="BH292" s="67">
        <f t="shared" si="196"/>
        <v>3212.4827902707666</v>
      </c>
    </row>
    <row r="293" spans="1:60" s="67" customFormat="1" x14ac:dyDescent="0.25">
      <c r="A293" s="67" t="str">
        <f t="shared" ref="A293:E293" si="197">A118</f>
        <v>EPA</v>
      </c>
      <c r="B293" s="67" t="str">
        <f t="shared" si="197"/>
        <v>S&amp;T</v>
      </c>
      <c r="C293" s="67" t="str">
        <f t="shared" si="197"/>
        <v>S&amp;T</v>
      </c>
      <c r="D293" s="67" t="str">
        <f t="shared" si="197"/>
        <v>Steady</v>
      </c>
      <c r="E293" s="67" t="str">
        <f t="shared" si="197"/>
        <v>Program</v>
      </c>
      <c r="F293" s="67" t="s">
        <v>90</v>
      </c>
      <c r="H293" s="67" t="str">
        <f t="shared" si="147"/>
        <v>Science &amp; Technology</v>
      </c>
      <c r="I293" s="67">
        <f t="shared" si="134"/>
        <v>0</v>
      </c>
      <c r="J293" s="67">
        <f t="shared" si="196"/>
        <v>0</v>
      </c>
      <c r="K293" s="67">
        <f t="shared" si="196"/>
        <v>0</v>
      </c>
      <c r="L293" s="67">
        <f t="shared" si="196"/>
        <v>0</v>
      </c>
      <c r="M293" s="67">
        <f t="shared" si="196"/>
        <v>0</v>
      </c>
      <c r="N293" s="67">
        <f t="shared" si="196"/>
        <v>0</v>
      </c>
      <c r="O293" s="67">
        <f t="shared" si="196"/>
        <v>0</v>
      </c>
      <c r="P293" s="67">
        <f t="shared" si="196"/>
        <v>0</v>
      </c>
      <c r="Q293" s="67">
        <f t="shared" si="196"/>
        <v>0</v>
      </c>
      <c r="R293" s="67">
        <f t="shared" si="196"/>
        <v>0</v>
      </c>
      <c r="S293" s="67">
        <f t="shared" si="196"/>
        <v>0</v>
      </c>
      <c r="T293" s="67">
        <f t="shared" si="196"/>
        <v>0</v>
      </c>
      <c r="U293" s="67">
        <f t="shared" si="196"/>
        <v>0</v>
      </c>
      <c r="V293" s="67">
        <f t="shared" si="196"/>
        <v>0</v>
      </c>
      <c r="W293" s="67">
        <f t="shared" si="196"/>
        <v>698.80576044959605</v>
      </c>
      <c r="X293" s="67">
        <f t="shared" si="196"/>
        <v>718.7394103693664</v>
      </c>
      <c r="Y293" s="67">
        <f t="shared" si="196"/>
        <v>750.69523965319809</v>
      </c>
      <c r="Z293" s="67">
        <f t="shared" si="196"/>
        <v>785.98787105011161</v>
      </c>
      <c r="AA293" s="67">
        <f t="shared" si="196"/>
        <v>774.52050522376419</v>
      </c>
      <c r="AB293" s="67">
        <f t="shared" si="196"/>
        <v>897.45154890889671</v>
      </c>
      <c r="AC293" s="67">
        <f t="shared" si="196"/>
        <v>917.96174536760304</v>
      </c>
      <c r="AD293" s="67">
        <f t="shared" si="196"/>
        <v>707.68553828102085</v>
      </c>
      <c r="AE293" s="67">
        <f t="shared" si="196"/>
        <v>771.00446750252206</v>
      </c>
      <c r="AF293" s="67">
        <f t="shared" si="196"/>
        <v>755.76430401366349</v>
      </c>
      <c r="AG293" s="67">
        <f t="shared" si="196"/>
        <v>776.04386334879791</v>
      </c>
      <c r="AH293" s="67">
        <f t="shared" si="196"/>
        <v>705.13703346646469</v>
      </c>
      <c r="AI293" s="67">
        <f t="shared" si="196"/>
        <v>786.60750302541339</v>
      </c>
      <c r="AJ293" s="67">
        <f t="shared" si="196"/>
        <v>792.95737357691291</v>
      </c>
      <c r="AK293" s="67">
        <f t="shared" si="196"/>
        <v>741.72689235450741</v>
      </c>
      <c r="AL293" s="67">
        <f t="shared" si="196"/>
        <v>645.99483204134367</v>
      </c>
      <c r="AM293" s="67">
        <f t="shared" si="196"/>
        <v>619.71159575735908</v>
      </c>
      <c r="AN293" s="67">
        <f t="shared" si="196"/>
        <v>620.50568313616338</v>
      </c>
      <c r="AO293" s="67">
        <f t="shared" si="196"/>
        <v>646.5174411998637</v>
      </c>
      <c r="AP293" s="67">
        <f t="shared" si="196"/>
        <v>622.87706669665965</v>
      </c>
      <c r="AQ293" s="67">
        <f t="shared" si="196"/>
        <v>606.60124888492419</v>
      </c>
      <c r="AR293" s="67">
        <f t="shared" si="196"/>
        <v>554.27415828596418</v>
      </c>
      <c r="AS293" s="67">
        <f t="shared" si="196"/>
        <v>555.93729869014385</v>
      </c>
      <c r="AT293" s="67">
        <f t="shared" si="196"/>
        <v>528.10292101655591</v>
      </c>
      <c r="AU293" s="67">
        <f t="shared" si="196"/>
        <v>511.08119304059653</v>
      </c>
      <c r="AV293" s="67">
        <f t="shared" si="196"/>
        <v>494.0549405494055</v>
      </c>
      <c r="AW293" s="67">
        <f t="shared" si="196"/>
        <v>483.72991661582267</v>
      </c>
      <c r="AX293" s="67">
        <f t="shared" si="196"/>
        <v>474</v>
      </c>
      <c r="AY293" s="67">
        <f t="shared" si="196"/>
        <v>477.89082371355897</v>
      </c>
      <c r="AZ293" s="67">
        <f t="shared" si="196"/>
        <v>474.88137546825482</v>
      </c>
      <c r="BA293" s="67">
        <f t="shared" si="196"/>
        <v>659.01498056319326</v>
      </c>
      <c r="BB293" s="67">
        <f t="shared" si="196"/>
        <v>687.84784601283229</v>
      </c>
      <c r="BC293" s="67">
        <f t="shared" si="196"/>
        <v>537.04703161141094</v>
      </c>
      <c r="BD293" s="67">
        <f t="shared" si="196"/>
        <v>606.98533628246093</v>
      </c>
      <c r="BE293" s="67">
        <f t="shared" si="196"/>
        <v>640.1308545440038</v>
      </c>
      <c r="BF293" s="67">
        <f t="shared" si="196"/>
        <v>591.89803247970019</v>
      </c>
      <c r="BG293" s="67">
        <f t="shared" si="196"/>
        <v>578.30273825914026</v>
      </c>
      <c r="BH293" s="67">
        <f t="shared" si="196"/>
        <v>383.20330426801286</v>
      </c>
    </row>
    <row r="294" spans="1:60" s="67" customFormat="1" x14ac:dyDescent="0.25">
      <c r="A294" s="67" t="str">
        <f t="shared" ref="A294:E294" si="198">A119</f>
        <v>EPA</v>
      </c>
      <c r="B294" s="67" t="str">
        <f t="shared" si="198"/>
        <v>S&amp;T</v>
      </c>
      <c r="C294" s="67" t="str">
        <f t="shared" si="198"/>
        <v>Air, Climate, Energy</v>
      </c>
      <c r="D294" s="67" t="str">
        <f t="shared" si="198"/>
        <v>Steady</v>
      </c>
      <c r="E294" s="67" t="str">
        <f t="shared" si="198"/>
        <v>Subprograms</v>
      </c>
      <c r="F294" s="67" t="s">
        <v>90</v>
      </c>
      <c r="H294" s="67" t="str">
        <f t="shared" si="147"/>
        <v>Research: Air and Energy</v>
      </c>
      <c r="I294" s="67">
        <f t="shared" si="134"/>
        <v>0</v>
      </c>
      <c r="J294" s="67">
        <f t="shared" si="196"/>
        <v>0</v>
      </c>
      <c r="K294" s="67">
        <f t="shared" si="196"/>
        <v>0</v>
      </c>
      <c r="L294" s="67">
        <f t="shared" si="196"/>
        <v>0</v>
      </c>
      <c r="M294" s="67">
        <f t="shared" si="196"/>
        <v>0</v>
      </c>
      <c r="N294" s="67">
        <f t="shared" si="196"/>
        <v>0</v>
      </c>
      <c r="O294" s="67">
        <f t="shared" si="196"/>
        <v>0</v>
      </c>
      <c r="P294" s="67">
        <f t="shared" si="196"/>
        <v>0</v>
      </c>
      <c r="Q294" s="67">
        <f t="shared" si="196"/>
        <v>0</v>
      </c>
      <c r="R294" s="67">
        <f t="shared" si="196"/>
        <v>0</v>
      </c>
      <c r="S294" s="67">
        <f t="shared" si="196"/>
        <v>0</v>
      </c>
      <c r="T294" s="67">
        <f t="shared" si="196"/>
        <v>0</v>
      </c>
      <c r="U294" s="67">
        <f t="shared" si="196"/>
        <v>0</v>
      </c>
      <c r="V294" s="67">
        <f t="shared" si="196"/>
        <v>0</v>
      </c>
      <c r="W294" s="67">
        <f t="shared" si="196"/>
        <v>0</v>
      </c>
      <c r="X294" s="67">
        <f t="shared" si="196"/>
        <v>0</v>
      </c>
      <c r="Y294" s="67">
        <f t="shared" si="196"/>
        <v>0</v>
      </c>
      <c r="Z294" s="67">
        <f t="shared" si="196"/>
        <v>0</v>
      </c>
      <c r="AA294" s="67">
        <f t="shared" si="196"/>
        <v>0</v>
      </c>
      <c r="AB294" s="67">
        <f t="shared" si="196"/>
        <v>0</v>
      </c>
      <c r="AC294" s="67">
        <f t="shared" si="196"/>
        <v>0</v>
      </c>
      <c r="AD294" s="67">
        <f t="shared" si="196"/>
        <v>0</v>
      </c>
      <c r="AE294" s="67">
        <f t="shared" si="196"/>
        <v>0</v>
      </c>
      <c r="AF294" s="67">
        <f t="shared" si="196"/>
        <v>0</v>
      </c>
      <c r="AG294" s="67">
        <f t="shared" si="196"/>
        <v>0</v>
      </c>
      <c r="AH294" s="67">
        <f t="shared" si="196"/>
        <v>0</v>
      </c>
      <c r="AI294" s="67">
        <f t="shared" si="196"/>
        <v>0</v>
      </c>
      <c r="AJ294" s="67">
        <f t="shared" si="196"/>
        <v>128.40879004500928</v>
      </c>
      <c r="AK294" s="67">
        <f t="shared" si="196"/>
        <v>128.0588309877013</v>
      </c>
      <c r="AL294" s="67">
        <f t="shared" si="196"/>
        <v>115.66383659406915</v>
      </c>
      <c r="AM294" s="67">
        <f t="shared" si="196"/>
        <v>115.60004767012276</v>
      </c>
      <c r="AN294" s="67">
        <f t="shared" si="196"/>
        <v>93.94572025052193</v>
      </c>
      <c r="AO294" s="67">
        <f t="shared" si="196"/>
        <v>126.12203158731963</v>
      </c>
      <c r="AP294" s="67">
        <f t="shared" si="196"/>
        <v>134.69351029130581</v>
      </c>
      <c r="AQ294" s="67">
        <f t="shared" si="196"/>
        <v>109.33095450490633</v>
      </c>
      <c r="AR294" s="67">
        <f t="shared" si="196"/>
        <v>95.240489724529965</v>
      </c>
      <c r="AS294" s="67">
        <f t="shared" si="196"/>
        <v>106.75305990981319</v>
      </c>
      <c r="AT294" s="67">
        <f t="shared" si="196"/>
        <v>89.057682168090267</v>
      </c>
      <c r="AU294" s="67">
        <f t="shared" si="196"/>
        <v>108.12748550124275</v>
      </c>
      <c r="AV294" s="67">
        <f t="shared" si="196"/>
        <v>92.329028290282906</v>
      </c>
      <c r="AW294" s="67">
        <f t="shared" si="196"/>
        <v>88.980984340044742</v>
      </c>
      <c r="AX294" s="67">
        <f t="shared" si="196"/>
        <v>85.895799999999994</v>
      </c>
      <c r="AY294" s="67">
        <f t="shared" si="196"/>
        <v>93.280180003913131</v>
      </c>
      <c r="AZ294" s="67">
        <f t="shared" si="196"/>
        <v>73.703774853520329</v>
      </c>
      <c r="BA294" s="67">
        <f t="shared" si="196"/>
        <v>81.44097847729212</v>
      </c>
      <c r="BB294" s="67">
        <f t="shared" si="196"/>
        <v>87.397800183318054</v>
      </c>
      <c r="BC294" s="67">
        <f t="shared" si="196"/>
        <v>65.735457894285958</v>
      </c>
      <c r="BD294" s="67">
        <f t="shared" si="196"/>
        <v>76.515114278692565</v>
      </c>
      <c r="BE294" s="67">
        <f t="shared" si="196"/>
        <v>80.146812415223792</v>
      </c>
      <c r="BF294" s="67">
        <f t="shared" si="196"/>
        <v>78.425983760149904</v>
      </c>
      <c r="BG294" s="67">
        <f t="shared" si="196"/>
        <v>73.428178063331814</v>
      </c>
      <c r="BH294" s="67">
        <f t="shared" si="196"/>
        <v>25.65626434144103</v>
      </c>
    </row>
    <row r="295" spans="1:60" s="67" customFormat="1" x14ac:dyDescent="0.25">
      <c r="A295" s="67" t="str">
        <f t="shared" ref="A295:E295" si="199">A120</f>
        <v>EPA</v>
      </c>
      <c r="B295" s="67" t="str">
        <f t="shared" si="199"/>
        <v>S&amp;T</v>
      </c>
      <c r="C295" s="67" t="str">
        <f t="shared" si="199"/>
        <v>Water</v>
      </c>
      <c r="D295" s="67" t="str">
        <f t="shared" si="199"/>
        <v>Steady</v>
      </c>
      <c r="E295" s="67" t="str">
        <f t="shared" si="199"/>
        <v>Subprograms</v>
      </c>
      <c r="F295" s="67" t="s">
        <v>90</v>
      </c>
      <c r="H295" s="67" t="str">
        <f t="shared" si="147"/>
        <v>Research: Safe and Sustainable Water Resources</v>
      </c>
      <c r="I295" s="67">
        <f t="shared" si="134"/>
        <v>0</v>
      </c>
      <c r="J295" s="67">
        <f t="shared" si="196"/>
        <v>0</v>
      </c>
      <c r="K295" s="67">
        <f t="shared" si="196"/>
        <v>0</v>
      </c>
      <c r="L295" s="67">
        <f t="shared" si="196"/>
        <v>0</v>
      </c>
      <c r="M295" s="67">
        <f t="shared" si="196"/>
        <v>0</v>
      </c>
      <c r="N295" s="67">
        <f t="shared" si="196"/>
        <v>0</v>
      </c>
      <c r="O295" s="67">
        <f t="shared" si="196"/>
        <v>0</v>
      </c>
      <c r="P295" s="67">
        <f t="shared" si="196"/>
        <v>0</v>
      </c>
      <c r="Q295" s="67">
        <f t="shared" si="196"/>
        <v>0</v>
      </c>
      <c r="R295" s="67">
        <f t="shared" si="196"/>
        <v>0</v>
      </c>
      <c r="S295" s="67">
        <f t="shared" si="196"/>
        <v>0</v>
      </c>
      <c r="T295" s="67">
        <f t="shared" si="196"/>
        <v>0</v>
      </c>
      <c r="U295" s="67">
        <f t="shared" si="196"/>
        <v>0</v>
      </c>
      <c r="V295" s="67">
        <f t="shared" si="196"/>
        <v>0</v>
      </c>
      <c r="W295" s="67">
        <f t="shared" si="196"/>
        <v>0</v>
      </c>
      <c r="X295" s="67">
        <f t="shared" si="196"/>
        <v>0</v>
      </c>
      <c r="Y295" s="67">
        <f t="shared" si="196"/>
        <v>0</v>
      </c>
      <c r="Z295" s="67">
        <f t="shared" si="196"/>
        <v>0</v>
      </c>
      <c r="AA295" s="67">
        <f t="shared" si="196"/>
        <v>0</v>
      </c>
      <c r="AB295" s="67">
        <f t="shared" si="196"/>
        <v>0</v>
      </c>
      <c r="AC295" s="67">
        <f t="shared" si="196"/>
        <v>0</v>
      </c>
      <c r="AD295" s="67">
        <f t="shared" si="196"/>
        <v>0</v>
      </c>
      <c r="AE295" s="67">
        <f t="shared" si="196"/>
        <v>0</v>
      </c>
      <c r="AF295" s="67">
        <f t="shared" si="196"/>
        <v>0</v>
      </c>
      <c r="AG295" s="67">
        <f t="shared" si="196"/>
        <v>0</v>
      </c>
      <c r="AH295" s="67">
        <f t="shared" si="196"/>
        <v>0</v>
      </c>
      <c r="AI295" s="67">
        <f t="shared" si="196"/>
        <v>0</v>
      </c>
      <c r="AJ295" s="67">
        <f t="shared" si="196"/>
        <v>123.11358220810168</v>
      </c>
      <c r="AK295" s="67">
        <f t="shared" si="196"/>
        <v>126.79092177000128</v>
      </c>
      <c r="AL295" s="67">
        <f t="shared" si="196"/>
        <v>129.19896640826875</v>
      </c>
      <c r="AM295" s="67">
        <f t="shared" si="196"/>
        <v>123.94231915147182</v>
      </c>
      <c r="AN295" s="67">
        <f t="shared" si="196"/>
        <v>127.58060774762237</v>
      </c>
      <c r="AO295" s="67">
        <f t="shared" si="196"/>
        <v>126.12203158731963</v>
      </c>
      <c r="AP295" s="67">
        <f t="shared" si="196"/>
        <v>132.10887414239119</v>
      </c>
      <c r="AQ295" s="67">
        <f t="shared" si="196"/>
        <v>125.76494201605709</v>
      </c>
      <c r="AR295" s="67">
        <f t="shared" si="196"/>
        <v>116.13576738084828</v>
      </c>
      <c r="AS295" s="67">
        <f t="shared" si="196"/>
        <v>128.92989048743826</v>
      </c>
      <c r="AT295" s="67">
        <f t="shared" si="196"/>
        <v>107.82389539175365</v>
      </c>
      <c r="AU295" s="67">
        <f t="shared" si="196"/>
        <v>118.9673777961889</v>
      </c>
      <c r="AV295" s="67">
        <f t="shared" si="196"/>
        <v>107.30586305863059</v>
      </c>
      <c r="AW295" s="67">
        <f t="shared" si="196"/>
        <v>105.92180191173479</v>
      </c>
      <c r="AX295" s="67">
        <f t="shared" si="196"/>
        <v>100.1237</v>
      </c>
      <c r="AY295" s="67">
        <f t="shared" si="196"/>
        <v>106.1504597926042</v>
      </c>
      <c r="AZ295" s="67">
        <f t="shared" si="196"/>
        <v>89.058687926231869</v>
      </c>
      <c r="BA295" s="67">
        <f t="shared" si="196"/>
        <v>94.930975632881385</v>
      </c>
      <c r="BB295" s="67">
        <f t="shared" si="196"/>
        <v>99.456461961503209</v>
      </c>
      <c r="BC295" s="67">
        <f t="shared" si="196"/>
        <v>79.430309260687054</v>
      </c>
      <c r="BD295" s="67">
        <f t="shared" si="196"/>
        <v>92.919636274268882</v>
      </c>
      <c r="BE295" s="67">
        <f t="shared" si="196"/>
        <v>92.668156067980533</v>
      </c>
      <c r="BF295" s="67">
        <f t="shared" si="196"/>
        <v>90.678482198625872</v>
      </c>
      <c r="BG295" s="67">
        <f t="shared" si="196"/>
        <v>85.283769313140596</v>
      </c>
      <c r="BH295" s="67">
        <f t="shared" si="196"/>
        <v>60.385497934832493</v>
      </c>
    </row>
    <row r="296" spans="1:60" s="67" customFormat="1" x14ac:dyDescent="0.25">
      <c r="A296" s="67" t="str">
        <f t="shared" ref="A296:E296" si="200">A121</f>
        <v>EPA</v>
      </c>
      <c r="B296" s="67" t="str">
        <f t="shared" si="200"/>
        <v>S&amp;T</v>
      </c>
      <c r="C296" s="67" t="str">
        <f t="shared" si="200"/>
        <v>Sustainable Communities</v>
      </c>
      <c r="D296" s="67" t="str">
        <f t="shared" si="200"/>
        <v>Steady</v>
      </c>
      <c r="E296" s="67" t="str">
        <f t="shared" si="200"/>
        <v>Subprograms</v>
      </c>
      <c r="F296" s="67" t="s">
        <v>90</v>
      </c>
      <c r="H296" s="67" t="str">
        <f t="shared" si="147"/>
        <v>Research: Sustainable Communities</v>
      </c>
      <c r="I296" s="67">
        <f t="shared" si="134"/>
        <v>0</v>
      </c>
      <c r="J296" s="67">
        <f t="shared" si="196"/>
        <v>0</v>
      </c>
      <c r="K296" s="67">
        <f t="shared" si="196"/>
        <v>0</v>
      </c>
      <c r="L296" s="67">
        <f t="shared" si="196"/>
        <v>0</v>
      </c>
      <c r="M296" s="67">
        <f t="shared" si="196"/>
        <v>0</v>
      </c>
      <c r="N296" s="67">
        <f t="shared" si="196"/>
        <v>0</v>
      </c>
      <c r="O296" s="67">
        <f t="shared" si="196"/>
        <v>0</v>
      </c>
      <c r="P296" s="67">
        <f t="shared" si="196"/>
        <v>0</v>
      </c>
      <c r="Q296" s="67">
        <f t="shared" si="196"/>
        <v>0</v>
      </c>
      <c r="R296" s="67">
        <f t="shared" si="196"/>
        <v>0</v>
      </c>
      <c r="S296" s="67">
        <f t="shared" si="196"/>
        <v>0</v>
      </c>
      <c r="T296" s="67">
        <f t="shared" si="196"/>
        <v>0</v>
      </c>
      <c r="U296" s="67">
        <f t="shared" si="196"/>
        <v>0</v>
      </c>
      <c r="V296" s="67">
        <f t="shared" si="196"/>
        <v>0</v>
      </c>
      <c r="W296" s="67">
        <f t="shared" si="196"/>
        <v>0</v>
      </c>
      <c r="X296" s="67">
        <f t="shared" si="196"/>
        <v>0</v>
      </c>
      <c r="Y296" s="67">
        <f t="shared" si="196"/>
        <v>0</v>
      </c>
      <c r="Z296" s="67">
        <f t="shared" si="196"/>
        <v>0</v>
      </c>
      <c r="AA296" s="67">
        <f t="shared" si="196"/>
        <v>0</v>
      </c>
      <c r="AB296" s="67">
        <f t="shared" si="196"/>
        <v>0</v>
      </c>
      <c r="AC296" s="67">
        <f t="shared" si="196"/>
        <v>0</v>
      </c>
      <c r="AD296" s="67">
        <f t="shared" si="196"/>
        <v>0</v>
      </c>
      <c r="AE296" s="67">
        <f t="shared" si="196"/>
        <v>0</v>
      </c>
      <c r="AF296" s="67">
        <f t="shared" si="196"/>
        <v>0</v>
      </c>
      <c r="AG296" s="67">
        <f t="shared" si="196"/>
        <v>0</v>
      </c>
      <c r="AH296" s="67">
        <f t="shared" si="196"/>
        <v>0</v>
      </c>
      <c r="AI296" s="67">
        <f t="shared" si="196"/>
        <v>0</v>
      </c>
      <c r="AJ296" s="67">
        <f t="shared" si="196"/>
        <v>0</v>
      </c>
      <c r="AK296" s="67">
        <f t="shared" si="196"/>
        <v>0</v>
      </c>
      <c r="AL296" s="67">
        <f t="shared" si="196"/>
        <v>0</v>
      </c>
      <c r="AM296" s="67">
        <f t="shared" si="196"/>
        <v>0</v>
      </c>
      <c r="AN296" s="67">
        <f t="shared" si="196"/>
        <v>0</v>
      </c>
      <c r="AO296" s="67">
        <f t="shared" si="196"/>
        <v>213.61208953528009</v>
      </c>
      <c r="AP296" s="67">
        <f t="shared" si="196"/>
        <v>216.43909571476775</v>
      </c>
      <c r="AQ296" s="67">
        <f t="shared" si="196"/>
        <v>193.49353256021408</v>
      </c>
      <c r="AR296" s="67">
        <f t="shared" si="196"/>
        <v>169.12986445124619</v>
      </c>
      <c r="AS296" s="67">
        <f t="shared" si="196"/>
        <v>172.64408417436118</v>
      </c>
      <c r="AT296" s="67">
        <f t="shared" si="196"/>
        <v>145.89001370874195</v>
      </c>
      <c r="AU296" s="67">
        <f t="shared" si="196"/>
        <v>159.84817729908866</v>
      </c>
      <c r="AV296" s="67">
        <f t="shared" si="196"/>
        <v>145.99128741287413</v>
      </c>
      <c r="AW296" s="67">
        <f t="shared" si="196"/>
        <v>133.98139109212931</v>
      </c>
      <c r="AX296" s="67">
        <f t="shared" si="196"/>
        <v>135.0831</v>
      </c>
      <c r="AY296" s="67">
        <f t="shared" si="196"/>
        <v>140.08119741733518</v>
      </c>
      <c r="AZ296" s="67">
        <f t="shared" si="196"/>
        <v>108.26721736624725</v>
      </c>
      <c r="BA296" s="67">
        <f t="shared" si="196"/>
        <v>128.07727315824405</v>
      </c>
      <c r="BB296" s="67">
        <f t="shared" si="196"/>
        <v>131.24747937671862</v>
      </c>
      <c r="BC296" s="67">
        <f t="shared" si="196"/>
        <v>96.562151974642333</v>
      </c>
      <c r="BD296" s="67">
        <f t="shared" si="196"/>
        <v>109.6157942164332</v>
      </c>
      <c r="BE296" s="67">
        <f t="shared" si="196"/>
        <v>109.995212638634</v>
      </c>
      <c r="BF296" s="67">
        <f t="shared" si="196"/>
        <v>107.63351030605872</v>
      </c>
      <c r="BG296" s="67">
        <f t="shared" si="196"/>
        <v>101.34618326449443</v>
      </c>
      <c r="BH296" s="67">
        <f t="shared" si="196"/>
        <v>44.819489062260978</v>
      </c>
    </row>
    <row r="297" spans="1:60" s="67" customFormat="1" x14ac:dyDescent="0.25">
      <c r="A297" s="67" t="str">
        <f t="shared" ref="A297:E297" si="201">A122</f>
        <v>EPA</v>
      </c>
      <c r="B297" s="67" t="str">
        <f t="shared" si="201"/>
        <v>S&amp;T</v>
      </c>
      <c r="C297" s="67" t="str">
        <f t="shared" si="201"/>
        <v>Chem Safety</v>
      </c>
      <c r="D297" s="67" t="str">
        <f t="shared" si="201"/>
        <v>Steady</v>
      </c>
      <c r="E297" s="67" t="str">
        <f t="shared" si="201"/>
        <v>Subprograms</v>
      </c>
      <c r="F297" s="67" t="s">
        <v>90</v>
      </c>
      <c r="H297" s="67" t="str">
        <f t="shared" si="147"/>
        <v>Research: Chemical Safety for Sustainability</v>
      </c>
      <c r="I297" s="67">
        <f t="shared" si="134"/>
        <v>0</v>
      </c>
      <c r="J297" s="67">
        <f t="shared" si="196"/>
        <v>0</v>
      </c>
      <c r="K297" s="67">
        <f t="shared" si="196"/>
        <v>0</v>
      </c>
      <c r="L297" s="67">
        <f t="shared" si="196"/>
        <v>0</v>
      </c>
      <c r="M297" s="67">
        <f t="shared" si="196"/>
        <v>0</v>
      </c>
      <c r="N297" s="67">
        <f t="shared" si="196"/>
        <v>0</v>
      </c>
      <c r="O297" s="67">
        <f t="shared" si="196"/>
        <v>0</v>
      </c>
      <c r="P297" s="67">
        <f t="shared" si="196"/>
        <v>0</v>
      </c>
      <c r="Q297" s="67">
        <f t="shared" si="196"/>
        <v>0</v>
      </c>
      <c r="R297" s="67">
        <f t="shared" si="196"/>
        <v>0</v>
      </c>
      <c r="S297" s="67">
        <f t="shared" si="196"/>
        <v>0</v>
      </c>
      <c r="T297" s="67">
        <f t="shared" si="196"/>
        <v>0</v>
      </c>
      <c r="U297" s="67">
        <f t="shared" si="196"/>
        <v>0</v>
      </c>
      <c r="V297" s="67">
        <f t="shared" si="196"/>
        <v>0</v>
      </c>
      <c r="W297" s="67">
        <f t="shared" si="196"/>
        <v>0</v>
      </c>
      <c r="X297" s="67">
        <f t="shared" si="196"/>
        <v>0</v>
      </c>
      <c r="Y297" s="67">
        <f t="shared" si="196"/>
        <v>0</v>
      </c>
      <c r="Z297" s="67">
        <f t="shared" si="196"/>
        <v>0</v>
      </c>
      <c r="AA297" s="67">
        <f t="shared" si="196"/>
        <v>0</v>
      </c>
      <c r="AB297" s="67">
        <f t="shared" si="196"/>
        <v>0</v>
      </c>
      <c r="AC297" s="67">
        <f t="shared" si="196"/>
        <v>0</v>
      </c>
      <c r="AD297" s="67">
        <f t="shared" si="196"/>
        <v>0</v>
      </c>
      <c r="AE297" s="67">
        <f t="shared" si="196"/>
        <v>0</v>
      </c>
      <c r="AF297" s="67">
        <f t="shared" si="196"/>
        <v>0</v>
      </c>
      <c r="AG297" s="67">
        <f t="shared" si="196"/>
        <v>0</v>
      </c>
      <c r="AH297" s="67">
        <f t="shared" si="196"/>
        <v>0</v>
      </c>
      <c r="AI297" s="67">
        <f t="shared" si="196"/>
        <v>0</v>
      </c>
      <c r="AJ297" s="67">
        <f t="shared" si="196"/>
        <v>0</v>
      </c>
      <c r="AK297" s="67">
        <f t="shared" si="196"/>
        <v>0</v>
      </c>
      <c r="AL297" s="67">
        <f t="shared" si="196"/>
        <v>0</v>
      </c>
      <c r="AM297" s="67">
        <f t="shared" si="196"/>
        <v>0</v>
      </c>
      <c r="AN297" s="67">
        <f t="shared" ref="J297:BH302" si="202">AN122/AN$175</f>
        <v>0</v>
      </c>
      <c r="AO297" s="67">
        <f t="shared" si="202"/>
        <v>88.626292466765136</v>
      </c>
      <c r="AP297" s="67">
        <f t="shared" si="202"/>
        <v>95.842987290518494</v>
      </c>
      <c r="AQ297" s="67">
        <f t="shared" si="202"/>
        <v>145.17172167707403</v>
      </c>
      <c r="AR297" s="67">
        <f t="shared" si="202"/>
        <v>134.55728027984259</v>
      </c>
      <c r="AS297" s="67">
        <f t="shared" si="202"/>
        <v>147.39284947391025</v>
      </c>
      <c r="AT297" s="67">
        <f t="shared" si="202"/>
        <v>137.22545607929979</v>
      </c>
      <c r="AU297" s="67">
        <f t="shared" si="202"/>
        <v>133.93786246893123</v>
      </c>
      <c r="AV297" s="67">
        <f t="shared" si="202"/>
        <v>132.94290692906927</v>
      </c>
      <c r="AW297" s="67">
        <f t="shared" si="202"/>
        <v>115.06670734187512</v>
      </c>
      <c r="AX297" s="67">
        <f t="shared" si="202"/>
        <v>124.3079</v>
      </c>
      <c r="AY297" s="67">
        <f t="shared" si="202"/>
        <v>131.70514576403835</v>
      </c>
      <c r="AZ297" s="67">
        <f t="shared" si="202"/>
        <v>106.82643357986746</v>
      </c>
      <c r="BA297" s="67">
        <f t="shared" si="202"/>
        <v>117.86090831516071</v>
      </c>
      <c r="BB297" s="67">
        <f t="shared" si="202"/>
        <v>123.39963336388634</v>
      </c>
      <c r="BC297" s="67">
        <f t="shared" si="202"/>
        <v>95.277135269425173</v>
      </c>
      <c r="BD297" s="67">
        <f t="shared" si="202"/>
        <v>107.3908413205538</v>
      </c>
      <c r="BE297" s="67">
        <f t="shared" si="202"/>
        <v>105.69536423841058</v>
      </c>
      <c r="BF297" s="67">
        <f t="shared" si="202"/>
        <v>103.4259837601499</v>
      </c>
      <c r="BG297" s="67">
        <f t="shared" si="202"/>
        <v>97.167661006577958</v>
      </c>
      <c r="BH297" s="67">
        <f t="shared" si="202"/>
        <v>70.097904237417779</v>
      </c>
    </row>
    <row r="298" spans="1:60" s="67" customFormat="1" x14ac:dyDescent="0.25">
      <c r="A298" s="67" t="str">
        <f t="shared" ref="A298:E298" si="203">A123</f>
        <v>EPA</v>
      </c>
      <c r="B298" s="67" t="str">
        <f t="shared" si="203"/>
        <v>S&amp;T</v>
      </c>
      <c r="C298" s="67" t="str">
        <f t="shared" si="203"/>
        <v>Other S&amp;T</v>
      </c>
      <c r="D298" s="67" t="str">
        <f t="shared" si="203"/>
        <v>Steady</v>
      </c>
      <c r="E298" s="67" t="str">
        <f t="shared" si="203"/>
        <v>Subprograms</v>
      </c>
      <c r="F298" s="67" t="s">
        <v>90</v>
      </c>
      <c r="I298" s="67">
        <f t="shared" si="134"/>
        <v>0</v>
      </c>
      <c r="J298" s="67">
        <f t="shared" si="202"/>
        <v>0</v>
      </c>
      <c r="K298" s="67">
        <f t="shared" si="202"/>
        <v>0</v>
      </c>
      <c r="L298" s="67">
        <f t="shared" si="202"/>
        <v>0</v>
      </c>
      <c r="M298" s="67">
        <f t="shared" si="202"/>
        <v>0</v>
      </c>
      <c r="N298" s="67">
        <f t="shared" si="202"/>
        <v>0</v>
      </c>
      <c r="O298" s="67">
        <f t="shared" si="202"/>
        <v>0</v>
      </c>
      <c r="P298" s="67">
        <f t="shared" si="202"/>
        <v>0</v>
      </c>
      <c r="Q298" s="67">
        <f t="shared" si="202"/>
        <v>0</v>
      </c>
      <c r="R298" s="67">
        <f t="shared" si="202"/>
        <v>0</v>
      </c>
      <c r="S298" s="67">
        <f t="shared" si="202"/>
        <v>0</v>
      </c>
      <c r="T298" s="67">
        <f t="shared" si="202"/>
        <v>0</v>
      </c>
      <c r="U298" s="67">
        <f t="shared" si="202"/>
        <v>0</v>
      </c>
      <c r="V298" s="67">
        <f t="shared" si="202"/>
        <v>0</v>
      </c>
      <c r="W298" s="67">
        <f t="shared" si="202"/>
        <v>0</v>
      </c>
      <c r="X298" s="67">
        <f t="shared" si="202"/>
        <v>0</v>
      </c>
      <c r="Y298" s="67">
        <f t="shared" si="202"/>
        <v>0</v>
      </c>
      <c r="Z298" s="67">
        <f t="shared" si="202"/>
        <v>0</v>
      </c>
      <c r="AA298" s="67">
        <f t="shared" si="202"/>
        <v>0</v>
      </c>
      <c r="AB298" s="67">
        <f t="shared" si="202"/>
        <v>0</v>
      </c>
      <c r="AC298" s="67">
        <f t="shared" si="202"/>
        <v>0</v>
      </c>
      <c r="AD298" s="67">
        <f t="shared" si="202"/>
        <v>0</v>
      </c>
      <c r="AE298" s="67">
        <f t="shared" si="202"/>
        <v>771.00446750252206</v>
      </c>
      <c r="AF298" s="67">
        <f t="shared" si="202"/>
        <v>755.76430401366349</v>
      </c>
      <c r="AG298" s="67">
        <f t="shared" si="202"/>
        <v>776.04386334879791</v>
      </c>
      <c r="AH298" s="67">
        <f t="shared" si="202"/>
        <v>705.13703346646469</v>
      </c>
      <c r="AI298" s="67">
        <f t="shared" si="202"/>
        <v>786.60750302541339</v>
      </c>
      <c r="AJ298" s="67">
        <f t="shared" si="202"/>
        <v>541.435001323802</v>
      </c>
      <c r="AK298" s="67">
        <f t="shared" si="202"/>
        <v>486.87713959680491</v>
      </c>
      <c r="AL298" s="67">
        <f t="shared" si="202"/>
        <v>401.13202903900577</v>
      </c>
      <c r="AM298" s="67">
        <f t="shared" si="202"/>
        <v>380.16922893576452</v>
      </c>
      <c r="AN298" s="67">
        <f t="shared" si="202"/>
        <v>398.97935513801906</v>
      </c>
      <c r="AO298" s="67">
        <f t="shared" si="202"/>
        <v>92.03499602317919</v>
      </c>
      <c r="AP298" s="67">
        <f t="shared" si="202"/>
        <v>43.792599257676436</v>
      </c>
      <c r="AQ298" s="67">
        <f t="shared" si="202"/>
        <v>32.840098126672608</v>
      </c>
      <c r="AR298" s="67">
        <f t="shared" si="202"/>
        <v>39.210756449497147</v>
      </c>
      <c r="AS298" s="67">
        <f t="shared" si="202"/>
        <v>0.21741464462092497</v>
      </c>
      <c r="AT298" s="67">
        <f t="shared" si="202"/>
        <v>48.105873668670242</v>
      </c>
      <c r="AU298" s="67">
        <f t="shared" si="202"/>
        <v>-9.7997100248549636</v>
      </c>
      <c r="AV298" s="67">
        <f t="shared" si="202"/>
        <v>15.485854858548647</v>
      </c>
      <c r="AW298" s="67">
        <f t="shared" si="202"/>
        <v>39.779031930038713</v>
      </c>
      <c r="AX298" s="67">
        <f t="shared" si="202"/>
        <v>28.589500000000001</v>
      </c>
      <c r="AY298" s="67">
        <f t="shared" si="202"/>
        <v>6.6738407356681693</v>
      </c>
      <c r="AZ298" s="67">
        <f t="shared" si="202"/>
        <v>97.02526174238794</v>
      </c>
      <c r="BA298" s="67">
        <f t="shared" si="202"/>
        <v>236.70484497961502</v>
      </c>
      <c r="BB298" s="67">
        <f t="shared" si="202"/>
        <v>246.34647112740606</v>
      </c>
      <c r="BC298" s="67">
        <f t="shared" si="202"/>
        <v>200.04197721237048</v>
      </c>
      <c r="BD298" s="67">
        <f t="shared" si="202"/>
        <v>220.54395019251248</v>
      </c>
      <c r="BE298" s="67">
        <f t="shared" si="202"/>
        <v>251.62530918375492</v>
      </c>
      <c r="BF298" s="67">
        <f t="shared" si="202"/>
        <v>211.73407245471589</v>
      </c>
      <c r="BG298" s="67">
        <f t="shared" si="202"/>
        <v>221.0769466115955</v>
      </c>
      <c r="BH298" s="67">
        <f t="shared" si="202"/>
        <v>182.24414869206061</v>
      </c>
    </row>
    <row r="299" spans="1:60" s="67" customFormat="1" x14ac:dyDescent="0.25">
      <c r="A299" s="67" t="str">
        <f t="shared" ref="A299:E299" si="204">A124</f>
        <v>EPA</v>
      </c>
      <c r="B299" s="67" t="str">
        <f t="shared" si="204"/>
        <v>EPM</v>
      </c>
      <c r="C299" s="67" t="str">
        <f t="shared" si="204"/>
        <v>EPM</v>
      </c>
      <c r="D299" s="67" t="str">
        <f t="shared" si="204"/>
        <v>Steady</v>
      </c>
      <c r="E299" s="67" t="str">
        <f t="shared" si="204"/>
        <v>Subprograms</v>
      </c>
      <c r="F299" s="67" t="s">
        <v>90</v>
      </c>
      <c r="H299" s="67" t="str">
        <f t="shared" si="147"/>
        <v>Environmental Programs and Management</v>
      </c>
      <c r="I299" s="67">
        <f t="shared" si="134"/>
        <v>0</v>
      </c>
      <c r="J299" s="67">
        <f t="shared" si="202"/>
        <v>0</v>
      </c>
      <c r="K299" s="67">
        <f t="shared" si="202"/>
        <v>0</v>
      </c>
      <c r="L299" s="67">
        <f t="shared" si="202"/>
        <v>0</v>
      </c>
      <c r="M299" s="67">
        <f t="shared" si="202"/>
        <v>0</v>
      </c>
      <c r="N299" s="67">
        <f t="shared" si="202"/>
        <v>0</v>
      </c>
      <c r="O299" s="67">
        <f t="shared" si="202"/>
        <v>0</v>
      </c>
      <c r="P299" s="67">
        <f t="shared" si="202"/>
        <v>0</v>
      </c>
      <c r="Q299" s="67">
        <f t="shared" si="202"/>
        <v>0</v>
      </c>
      <c r="R299" s="67">
        <f t="shared" si="202"/>
        <v>0</v>
      </c>
      <c r="S299" s="67">
        <f t="shared" si="202"/>
        <v>0</v>
      </c>
      <c r="T299" s="67">
        <f t="shared" si="202"/>
        <v>0</v>
      </c>
      <c r="U299" s="67">
        <f t="shared" si="202"/>
        <v>0</v>
      </c>
      <c r="V299" s="67">
        <f t="shared" si="202"/>
        <v>0</v>
      </c>
      <c r="W299" s="67">
        <f t="shared" si="202"/>
        <v>0</v>
      </c>
      <c r="X299" s="67">
        <f t="shared" si="202"/>
        <v>0</v>
      </c>
      <c r="Y299" s="67">
        <f t="shared" si="202"/>
        <v>0</v>
      </c>
      <c r="Z299" s="67">
        <f t="shared" si="202"/>
        <v>0</v>
      </c>
      <c r="AA299" s="67">
        <f t="shared" si="202"/>
        <v>0</v>
      </c>
      <c r="AB299" s="67">
        <f t="shared" si="202"/>
        <v>0</v>
      </c>
      <c r="AC299" s="67">
        <f t="shared" si="202"/>
        <v>0</v>
      </c>
      <c r="AD299" s="67">
        <f t="shared" si="202"/>
        <v>0</v>
      </c>
      <c r="AE299" s="67">
        <f t="shared" si="202"/>
        <v>0</v>
      </c>
      <c r="AF299" s="67">
        <f t="shared" si="202"/>
        <v>0</v>
      </c>
      <c r="AG299" s="67">
        <f t="shared" si="202"/>
        <v>0</v>
      </c>
      <c r="AH299" s="67">
        <f t="shared" si="202"/>
        <v>2869.2962401873024</v>
      </c>
      <c r="AI299" s="67">
        <f t="shared" si="202"/>
        <v>2849.7552776657253</v>
      </c>
      <c r="AJ299" s="67">
        <f t="shared" si="202"/>
        <v>2710.7545671167595</v>
      </c>
      <c r="AK299" s="67">
        <f t="shared" si="202"/>
        <v>2814.3261062507927</v>
      </c>
      <c r="AL299" s="67">
        <f t="shared" si="202"/>
        <v>2850.9388458225671</v>
      </c>
      <c r="AM299" s="67">
        <f t="shared" si="202"/>
        <v>2796.7000357525922</v>
      </c>
      <c r="AN299" s="67">
        <f t="shared" si="202"/>
        <v>2675.2690790999773</v>
      </c>
      <c r="AO299" s="67">
        <f t="shared" si="202"/>
        <v>2611.2805363026932</v>
      </c>
      <c r="AP299" s="67">
        <f t="shared" si="202"/>
        <v>2690.4498931503772</v>
      </c>
      <c r="AQ299" s="67">
        <f t="shared" si="202"/>
        <v>2682.6460749330954</v>
      </c>
      <c r="AR299" s="67">
        <f t="shared" si="202"/>
        <v>3272.6049409707043</v>
      </c>
      <c r="AS299" s="67">
        <f t="shared" si="202"/>
        <v>2959.4910886837019</v>
      </c>
      <c r="AT299" s="67">
        <f t="shared" si="202"/>
        <v>2805.0195085943265</v>
      </c>
      <c r="AU299" s="67">
        <f t="shared" si="202"/>
        <v>2600.8761391880694</v>
      </c>
      <c r="AV299" s="67">
        <f t="shared" si="202"/>
        <v>2689.7796227962276</v>
      </c>
      <c r="AW299" s="67">
        <f t="shared" si="202"/>
        <v>2675.8347569656294</v>
      </c>
      <c r="AX299" s="67">
        <f t="shared" si="202"/>
        <v>2650.7946999999999</v>
      </c>
      <c r="AY299" s="67">
        <f t="shared" si="202"/>
        <v>2562.9025630991978</v>
      </c>
      <c r="AZ299" s="67">
        <f t="shared" si="202"/>
        <v>2495.4365574872731</v>
      </c>
      <c r="BA299" s="67">
        <f t="shared" si="202"/>
        <v>2461.8111311273351</v>
      </c>
      <c r="BB299" s="67">
        <f t="shared" si="202"/>
        <v>2487.4362969752524</v>
      </c>
      <c r="BC299" s="67">
        <f t="shared" si="202"/>
        <v>2204.1094834232845</v>
      </c>
      <c r="BD299" s="67">
        <f t="shared" si="202"/>
        <v>2686.1636765790122</v>
      </c>
      <c r="BE299" s="67">
        <f t="shared" si="202"/>
        <v>2626.6656028085854</v>
      </c>
      <c r="BF299" s="67">
        <f t="shared" si="202"/>
        <v>2481.2617114303562</v>
      </c>
      <c r="BG299" s="67">
        <f t="shared" si="202"/>
        <v>2443.8029677221966</v>
      </c>
      <c r="BH299" s="67">
        <f t="shared" si="202"/>
        <v>1898.4243536790577</v>
      </c>
    </row>
    <row r="300" spans="1:60" s="67" customFormat="1" x14ac:dyDescent="0.25">
      <c r="A300" s="67" t="str">
        <f t="shared" ref="A300:E300" si="205">A125</f>
        <v>DOT</v>
      </c>
      <c r="B300" s="67" t="str">
        <f t="shared" si="205"/>
        <v>FAA</v>
      </c>
      <c r="C300" s="67" t="str">
        <f t="shared" si="205"/>
        <v>RE&amp;D</v>
      </c>
      <c r="D300" s="67" t="str">
        <f t="shared" si="205"/>
        <v>Steady</v>
      </c>
      <c r="E300" s="67" t="str">
        <f t="shared" si="205"/>
        <v>Program</v>
      </c>
      <c r="F300" s="67" t="s">
        <v>90</v>
      </c>
      <c r="H300" s="67" t="str">
        <f t="shared" si="147"/>
        <v>Research, Engineering and Development</v>
      </c>
      <c r="I300" s="67">
        <f t="shared" si="134"/>
        <v>0</v>
      </c>
      <c r="J300" s="67">
        <f t="shared" si="202"/>
        <v>0</v>
      </c>
      <c r="K300" s="67">
        <f t="shared" si="202"/>
        <v>0</v>
      </c>
      <c r="L300" s="67">
        <f t="shared" si="202"/>
        <v>0</v>
      </c>
      <c r="M300" s="67">
        <f t="shared" si="202"/>
        <v>0</v>
      </c>
      <c r="N300" s="67">
        <f t="shared" si="202"/>
        <v>0</v>
      </c>
      <c r="O300" s="67">
        <f t="shared" si="202"/>
        <v>0</v>
      </c>
      <c r="P300" s="67">
        <f t="shared" si="202"/>
        <v>0</v>
      </c>
      <c r="Q300" s="67">
        <f t="shared" si="202"/>
        <v>0</v>
      </c>
      <c r="R300" s="67">
        <f t="shared" si="202"/>
        <v>0</v>
      </c>
      <c r="S300" s="67">
        <f t="shared" si="202"/>
        <v>0</v>
      </c>
      <c r="T300" s="67">
        <f t="shared" si="202"/>
        <v>0</v>
      </c>
      <c r="U300" s="67">
        <f t="shared" si="202"/>
        <v>0</v>
      </c>
      <c r="V300" s="67">
        <f t="shared" si="202"/>
        <v>0</v>
      </c>
      <c r="W300" s="67">
        <f t="shared" si="202"/>
        <v>257.815244116614</v>
      </c>
      <c r="X300" s="67">
        <f t="shared" si="202"/>
        <v>318.53608946119959</v>
      </c>
      <c r="Y300" s="67">
        <f t="shared" si="202"/>
        <v>400.2944544413545</v>
      </c>
      <c r="Z300" s="67">
        <f t="shared" si="202"/>
        <v>431.05649537184809</v>
      </c>
      <c r="AA300" s="67">
        <f t="shared" si="202"/>
        <v>433.96226415094344</v>
      </c>
      <c r="AB300" s="67">
        <f t="shared" si="202"/>
        <v>445.44483442697998</v>
      </c>
      <c r="AC300" s="67">
        <f t="shared" si="202"/>
        <v>446.65271966527195</v>
      </c>
      <c r="AD300" s="67">
        <f t="shared" si="202"/>
        <v>340.27574068641832</v>
      </c>
      <c r="AE300" s="67">
        <f t="shared" si="202"/>
        <v>299.75500792621415</v>
      </c>
      <c r="AF300" s="67">
        <f t="shared" si="202"/>
        <v>283.23370338741819</v>
      </c>
      <c r="AG300" s="67">
        <f t="shared" si="202"/>
        <v>210.88148460565162</v>
      </c>
      <c r="AH300" s="67">
        <f t="shared" si="202"/>
        <v>214.84643988431347</v>
      </c>
      <c r="AI300" s="67">
        <f t="shared" si="202"/>
        <v>254.13473174667203</v>
      </c>
      <c r="AJ300" s="67">
        <f t="shared" si="202"/>
        <v>262.11278792692616</v>
      </c>
      <c r="AK300" s="67">
        <f t="shared" si="202"/>
        <v>186.38265500190187</v>
      </c>
      <c r="AL300" s="67">
        <f t="shared" si="202"/>
        <v>146.42549526270457</v>
      </c>
      <c r="AM300" s="67">
        <f t="shared" si="202"/>
        <v>154.92789893933977</v>
      </c>
      <c r="AN300" s="67">
        <f t="shared" si="202"/>
        <v>158.89584783112969</v>
      </c>
      <c r="AO300" s="67">
        <f t="shared" si="202"/>
        <v>147.71048744460856</v>
      </c>
      <c r="AP300" s="67">
        <f t="shared" si="202"/>
        <v>165.33573276346868</v>
      </c>
      <c r="AQ300" s="67">
        <f t="shared" si="202"/>
        <v>190.67796610169492</v>
      </c>
      <c r="AR300" s="67">
        <f t="shared" si="202"/>
        <v>208.78880629645826</v>
      </c>
      <c r="AS300" s="67">
        <f t="shared" si="202"/>
        <v>182.1558943525875</v>
      </c>
      <c r="AT300" s="67">
        <f t="shared" si="202"/>
        <v>176.69092059474849</v>
      </c>
      <c r="AU300" s="67">
        <f t="shared" si="202"/>
        <v>171.91383595691798</v>
      </c>
      <c r="AV300" s="67">
        <f t="shared" si="202"/>
        <v>135.92455924559246</v>
      </c>
      <c r="AW300" s="67">
        <f t="shared" si="202"/>
        <v>159.39597315436239</v>
      </c>
      <c r="AX300" s="67">
        <f t="shared" si="202"/>
        <v>166</v>
      </c>
      <c r="AY300" s="67">
        <f t="shared" si="202"/>
        <v>172.66679710428488</v>
      </c>
      <c r="AZ300" s="67">
        <f t="shared" si="202"/>
        <v>181.46767841705889</v>
      </c>
      <c r="BA300" s="67">
        <f t="shared" si="202"/>
        <v>187.73110837204894</v>
      </c>
      <c r="BB300" s="67">
        <f t="shared" si="202"/>
        <v>227.77268560953254</v>
      </c>
      <c r="BC300" s="67">
        <f t="shared" si="202"/>
        <v>218.45283988691853</v>
      </c>
      <c r="BD300" s="67">
        <f t="shared" si="202"/>
        <v>229.37658720406327</v>
      </c>
      <c r="BE300" s="67">
        <f t="shared" si="202"/>
        <v>177.93026410276869</v>
      </c>
      <c r="BF300" s="67">
        <f t="shared" si="202"/>
        <v>128.82573391630231</v>
      </c>
      <c r="BG300" s="67">
        <f t="shared" si="202"/>
        <v>175.92167661006579</v>
      </c>
      <c r="BH300" s="67">
        <f t="shared" si="202"/>
        <v>221.81428789964818</v>
      </c>
    </row>
    <row r="301" spans="1:60" s="67" customFormat="1" x14ac:dyDescent="0.25">
      <c r="A301" s="67" t="str">
        <f t="shared" ref="A301:E301" si="206">A126</f>
        <v>DOT</v>
      </c>
      <c r="B301" s="67" t="str">
        <f t="shared" si="206"/>
        <v>FRA</v>
      </c>
      <c r="C301" s="67" t="str">
        <f t="shared" si="206"/>
        <v>Railroad R&amp;D</v>
      </c>
      <c r="D301" s="67" t="str">
        <f t="shared" si="206"/>
        <v>Steady</v>
      </c>
      <c r="E301" s="67" t="str">
        <f t="shared" si="206"/>
        <v>Program</v>
      </c>
      <c r="F301" s="67" t="s">
        <v>90</v>
      </c>
      <c r="H301" s="67" t="str">
        <f t="shared" si="147"/>
        <v>Railroad Research and Development</v>
      </c>
      <c r="I301" s="67">
        <f t="shared" si="134"/>
        <v>0</v>
      </c>
      <c r="J301" s="67">
        <f t="shared" si="202"/>
        <v>0</v>
      </c>
      <c r="K301" s="67">
        <f t="shared" si="202"/>
        <v>0</v>
      </c>
      <c r="L301" s="67">
        <f t="shared" si="202"/>
        <v>0</v>
      </c>
      <c r="M301" s="67">
        <f t="shared" si="202"/>
        <v>0</v>
      </c>
      <c r="N301" s="67">
        <f t="shared" si="202"/>
        <v>0</v>
      </c>
      <c r="O301" s="67">
        <f t="shared" si="202"/>
        <v>0</v>
      </c>
      <c r="P301" s="67">
        <f t="shared" si="202"/>
        <v>0</v>
      </c>
      <c r="Q301" s="67">
        <f t="shared" si="202"/>
        <v>0</v>
      </c>
      <c r="R301" s="67">
        <f t="shared" si="202"/>
        <v>0</v>
      </c>
      <c r="S301" s="67">
        <f t="shared" si="202"/>
        <v>0</v>
      </c>
      <c r="T301" s="67">
        <f t="shared" si="202"/>
        <v>0</v>
      </c>
      <c r="U301" s="67">
        <f t="shared" si="202"/>
        <v>0</v>
      </c>
      <c r="V301" s="67">
        <f t="shared" si="202"/>
        <v>0</v>
      </c>
      <c r="W301" s="67">
        <f t="shared" si="202"/>
        <v>15.806111696522654</v>
      </c>
      <c r="X301" s="67">
        <f t="shared" si="202"/>
        <v>16.096238563198916</v>
      </c>
      <c r="Y301" s="67">
        <f t="shared" si="202"/>
        <v>36.152461966301331</v>
      </c>
      <c r="Z301" s="67">
        <f t="shared" si="202"/>
        <v>35.588892435365466</v>
      </c>
      <c r="AA301" s="67">
        <f t="shared" si="202"/>
        <v>39.295181662248559</v>
      </c>
      <c r="AB301" s="67">
        <f t="shared" si="202"/>
        <v>31.435983518998935</v>
      </c>
      <c r="AC301" s="67">
        <f t="shared" si="202"/>
        <v>41.392707710699341</v>
      </c>
      <c r="AD301" s="67">
        <f t="shared" si="202"/>
        <v>44.001173364623057</v>
      </c>
      <c r="AE301" s="67">
        <f t="shared" si="202"/>
        <v>28.822596915982132</v>
      </c>
      <c r="AF301" s="67">
        <f t="shared" si="202"/>
        <v>29.888983774551665</v>
      </c>
      <c r="AG301" s="67">
        <f t="shared" si="202"/>
        <v>30.929284408828902</v>
      </c>
      <c r="AH301" s="67">
        <f t="shared" si="202"/>
        <v>30.298856906762154</v>
      </c>
      <c r="AI301" s="67">
        <f t="shared" si="202"/>
        <v>33.615705257496302</v>
      </c>
      <c r="AJ301" s="67">
        <f t="shared" si="202"/>
        <v>38.390256817580095</v>
      </c>
      <c r="AK301" s="67">
        <f t="shared" si="202"/>
        <v>36.769367313300371</v>
      </c>
      <c r="AL301" s="67">
        <f t="shared" si="202"/>
        <v>41.835855789344166</v>
      </c>
      <c r="AM301" s="67">
        <f t="shared" si="202"/>
        <v>42.903110475509479</v>
      </c>
      <c r="AN301" s="67">
        <f t="shared" si="202"/>
        <v>63.790303873811183</v>
      </c>
      <c r="AO301" s="67">
        <f t="shared" si="202"/>
        <v>39.768208158163844</v>
      </c>
      <c r="AP301" s="67">
        <f t="shared" si="202"/>
        <v>40.490383533910695</v>
      </c>
      <c r="AQ301" s="67">
        <f t="shared" si="202"/>
        <v>37.912578055307762</v>
      </c>
      <c r="AR301" s="67">
        <f t="shared" si="202"/>
        <v>41.539134236991693</v>
      </c>
      <c r="AS301" s="67">
        <f t="shared" si="202"/>
        <v>37.610049388018041</v>
      </c>
      <c r="AT301" s="67">
        <f t="shared" si="202"/>
        <v>42.180744490140249</v>
      </c>
      <c r="AU301" s="67">
        <f t="shared" si="202"/>
        <v>39.213960231980103</v>
      </c>
      <c r="AV301" s="67">
        <f t="shared" si="202"/>
        <v>36.131611316113158</v>
      </c>
      <c r="AW301" s="67">
        <f t="shared" si="202"/>
        <v>39.760016270083383</v>
      </c>
      <c r="AX301" s="67">
        <f t="shared" si="202"/>
        <v>39.1</v>
      </c>
      <c r="AY301" s="67">
        <f t="shared" si="202"/>
        <v>39.229113676384273</v>
      </c>
      <c r="AZ301" s="67">
        <f t="shared" si="202"/>
        <v>38.997214484679674</v>
      </c>
      <c r="BA301" s="67">
        <f t="shared" si="202"/>
        <v>38.873613349767709</v>
      </c>
      <c r="BB301" s="67">
        <f t="shared" si="202"/>
        <v>39.413382218148492</v>
      </c>
      <c r="BC301" s="67">
        <f t="shared" si="202"/>
        <v>37.693823353036926</v>
      </c>
      <c r="BD301" s="67">
        <f t="shared" si="202"/>
        <v>44.236913246497913</v>
      </c>
      <c r="BE301" s="67">
        <f t="shared" si="202"/>
        <v>39.128700231389132</v>
      </c>
      <c r="BF301" s="67">
        <f t="shared" si="202"/>
        <v>34.353529044347283</v>
      </c>
      <c r="BG301" s="67">
        <f t="shared" si="202"/>
        <v>33.65458161236041</v>
      </c>
      <c r="BH301" s="67">
        <f t="shared" si="202"/>
        <v>32.889704757534041</v>
      </c>
    </row>
    <row r="302" spans="1:60" s="67" customFormat="1" x14ac:dyDescent="0.25">
      <c r="A302" s="67" t="str">
        <f t="shared" ref="A302:E302" si="207">A127</f>
        <v>DOT</v>
      </c>
      <c r="B302" s="67" t="str">
        <f t="shared" si="207"/>
        <v>NHTSA</v>
      </c>
      <c r="C302" s="67" t="str">
        <f t="shared" si="207"/>
        <v>Ops &amp; R</v>
      </c>
      <c r="D302" s="67" t="str">
        <f t="shared" si="207"/>
        <v>Steady</v>
      </c>
      <c r="E302" s="67" t="str">
        <f t="shared" si="207"/>
        <v>Program</v>
      </c>
      <c r="F302" s="67" t="s">
        <v>90</v>
      </c>
      <c r="H302" s="67" t="str">
        <f t="shared" si="147"/>
        <v>Operations and Research</v>
      </c>
      <c r="I302" s="67">
        <f t="shared" si="134"/>
        <v>0</v>
      </c>
      <c r="J302" s="67">
        <f t="shared" si="202"/>
        <v>0</v>
      </c>
      <c r="K302" s="67">
        <f t="shared" si="202"/>
        <v>0</v>
      </c>
      <c r="L302" s="67">
        <f t="shared" si="202"/>
        <v>0</v>
      </c>
      <c r="M302" s="67">
        <f t="shared" si="202"/>
        <v>0</v>
      </c>
      <c r="N302" s="67">
        <f t="shared" si="202"/>
        <v>0</v>
      </c>
      <c r="O302" s="67">
        <f t="shared" si="202"/>
        <v>0</v>
      </c>
      <c r="P302" s="67">
        <f t="shared" si="202"/>
        <v>0</v>
      </c>
      <c r="Q302" s="67">
        <f t="shared" si="202"/>
        <v>0</v>
      </c>
      <c r="R302" s="67">
        <f t="shared" si="202"/>
        <v>0</v>
      </c>
      <c r="S302" s="67">
        <f t="shared" si="202"/>
        <v>0</v>
      </c>
      <c r="T302" s="67">
        <f t="shared" si="202"/>
        <v>0</v>
      </c>
      <c r="U302" s="67">
        <f t="shared" si="202"/>
        <v>0</v>
      </c>
      <c r="V302" s="67">
        <f t="shared" si="202"/>
        <v>0</v>
      </c>
      <c r="W302" s="67">
        <f t="shared" si="202"/>
        <v>52.160168598524763</v>
      </c>
      <c r="X302" s="67">
        <f t="shared" si="202"/>
        <v>28.634361233480178</v>
      </c>
      <c r="Y302" s="67">
        <f t="shared" si="202"/>
        <v>35.007361361033865</v>
      </c>
      <c r="Z302" s="67">
        <f t="shared" si="202"/>
        <v>41.174593041812955</v>
      </c>
      <c r="AA302" s="67">
        <f t="shared" si="202"/>
        <v>49.274910338375179</v>
      </c>
      <c r="AB302" s="67">
        <f t="shared" si="202"/>
        <v>38.608271020906457</v>
      </c>
      <c r="AC302" s="67">
        <f t="shared" si="202"/>
        <v>59.324566646742383</v>
      </c>
      <c r="AD302" s="67">
        <f t="shared" si="202"/>
        <v>48.401290701085365</v>
      </c>
      <c r="AE302" s="67">
        <f t="shared" si="202"/>
        <v>190.22913964548206</v>
      </c>
      <c r="AF302" s="67">
        <f t="shared" si="202"/>
        <v>209.22288642186166</v>
      </c>
      <c r="AG302" s="67">
        <f t="shared" si="202"/>
        <v>226.34612681006607</v>
      </c>
      <c r="AH302" s="67">
        <f t="shared" si="202"/>
        <v>220.35532295827022</v>
      </c>
      <c r="AI302" s="67">
        <f t="shared" si="202"/>
        <v>260.85787279817129</v>
      </c>
      <c r="AJ302" s="67">
        <f t="shared" si="202"/>
        <v>271.37940164151445</v>
      </c>
      <c r="AK302" s="67">
        <f t="shared" si="202"/>
        <v>266.26093571700267</v>
      </c>
      <c r="AL302" s="67">
        <f t="shared" si="202"/>
        <v>276.85492801771875</v>
      </c>
      <c r="AM302" s="67">
        <f t="shared" si="202"/>
        <v>270.52794660946256</v>
      </c>
      <c r="AN302" s="67">
        <f t="shared" ref="J302:BH307" si="208">AN127/AN$175</f>
        <v>271.39874739039669</v>
      </c>
      <c r="AO302" s="67">
        <f t="shared" si="208"/>
        <v>260.19770480627204</v>
      </c>
      <c r="AP302" s="67">
        <f t="shared" si="208"/>
        <v>264.31222584636151</v>
      </c>
      <c r="AQ302" s="67">
        <f t="shared" si="208"/>
        <v>259.81266726137375</v>
      </c>
      <c r="AR302" s="67">
        <f t="shared" si="208"/>
        <v>268.91123742894621</v>
      </c>
      <c r="AS302" s="67">
        <f t="shared" si="208"/>
        <v>263.73845823491519</v>
      </c>
      <c r="AT302" s="67">
        <f t="shared" si="208"/>
        <v>263.20784561847518</v>
      </c>
      <c r="AU302" s="67">
        <f t="shared" si="208"/>
        <v>106.49523612261807</v>
      </c>
      <c r="AV302" s="67">
        <f t="shared" si="208"/>
        <v>263.94013940139399</v>
      </c>
      <c r="AW302" s="67">
        <f t="shared" si="208"/>
        <v>273.03233679072605</v>
      </c>
      <c r="AX302" s="67">
        <f t="shared" si="208"/>
        <v>295.7</v>
      </c>
      <c r="AY302" s="67">
        <f t="shared" si="208"/>
        <v>318.89551946781455</v>
      </c>
      <c r="AZ302" s="67">
        <f t="shared" si="208"/>
        <v>324.72865238689849</v>
      </c>
      <c r="BA302" s="67">
        <f t="shared" si="208"/>
        <v>184.09689959230113</v>
      </c>
      <c r="BB302" s="67">
        <f t="shared" si="208"/>
        <v>183.31805682859763</v>
      </c>
      <c r="BC302" s="67">
        <f t="shared" si="208"/>
        <v>179.9023387304035</v>
      </c>
      <c r="BD302" s="67">
        <f t="shared" si="208"/>
        <v>182.68206766609325</v>
      </c>
      <c r="BE302" s="67">
        <f t="shared" si="208"/>
        <v>177.93026410276869</v>
      </c>
      <c r="BF302" s="67">
        <f t="shared" si="208"/>
        <v>174.10993129294192</v>
      </c>
      <c r="BG302" s="67">
        <f t="shared" si="208"/>
        <v>162.44072204375098</v>
      </c>
      <c r="BH302" s="67">
        <f t="shared" si="208"/>
        <v>160.62413951353832</v>
      </c>
    </row>
    <row r="303" spans="1:60" s="67" customFormat="1" x14ac:dyDescent="0.25">
      <c r="A303" s="67" t="str">
        <f t="shared" ref="A303:E303" si="209">A128</f>
        <v>DOT</v>
      </c>
      <c r="B303" s="67" t="str">
        <f t="shared" si="209"/>
        <v>OS</v>
      </c>
      <c r="C303" s="67" t="str">
        <f t="shared" si="209"/>
        <v>R&amp;T + TransPlan R&amp;D</v>
      </c>
      <c r="D303" s="67" t="str">
        <f t="shared" si="209"/>
        <v>Steady</v>
      </c>
      <c r="E303" s="67" t="str">
        <f t="shared" si="209"/>
        <v>Program</v>
      </c>
      <c r="F303" s="67" t="s">
        <v>90</v>
      </c>
      <c r="H303" s="67" t="str">
        <f t="shared" si="147"/>
        <v>Research and Technology + Trasportation Planning, Research and Development</v>
      </c>
      <c r="I303" s="67">
        <f t="shared" si="134"/>
        <v>0</v>
      </c>
      <c r="J303" s="67">
        <f t="shared" si="208"/>
        <v>0</v>
      </c>
      <c r="K303" s="67">
        <f t="shared" si="208"/>
        <v>0</v>
      </c>
      <c r="L303" s="67">
        <f t="shared" si="208"/>
        <v>0</v>
      </c>
      <c r="M303" s="67">
        <f t="shared" si="208"/>
        <v>0</v>
      </c>
      <c r="N303" s="67">
        <f t="shared" si="208"/>
        <v>0</v>
      </c>
      <c r="O303" s="67">
        <f t="shared" si="208"/>
        <v>0</v>
      </c>
      <c r="P303" s="67">
        <f t="shared" si="208"/>
        <v>0</v>
      </c>
      <c r="Q303" s="67">
        <f t="shared" si="208"/>
        <v>0</v>
      </c>
      <c r="R303" s="67">
        <f t="shared" si="208"/>
        <v>0</v>
      </c>
      <c r="S303" s="67">
        <f t="shared" si="208"/>
        <v>0</v>
      </c>
      <c r="T303" s="67">
        <f t="shared" si="208"/>
        <v>0</v>
      </c>
      <c r="U303" s="67">
        <f t="shared" si="208"/>
        <v>0</v>
      </c>
      <c r="V303" s="67">
        <f t="shared" si="208"/>
        <v>0</v>
      </c>
      <c r="W303" s="67">
        <f t="shared" si="208"/>
        <v>9.6592904812082896</v>
      </c>
      <c r="X303" s="67">
        <f t="shared" si="208"/>
        <v>4.0664181633344629</v>
      </c>
      <c r="Y303" s="67">
        <f t="shared" si="208"/>
        <v>6.7070178308522816</v>
      </c>
      <c r="Z303" s="67">
        <f t="shared" si="208"/>
        <v>7.3412065113309914</v>
      </c>
      <c r="AA303" s="67">
        <f t="shared" si="208"/>
        <v>6.7051302042725709</v>
      </c>
      <c r="AB303" s="67">
        <f t="shared" si="208"/>
        <v>6.1040744697085305</v>
      </c>
      <c r="AC303" s="67">
        <f t="shared" si="208"/>
        <v>5.9772863120143453</v>
      </c>
      <c r="AD303" s="67">
        <f t="shared" si="208"/>
        <v>4.4001173364623059</v>
      </c>
      <c r="AE303" s="67">
        <f t="shared" si="208"/>
        <v>2.8822596915982133</v>
      </c>
      <c r="AF303" s="67">
        <f t="shared" si="208"/>
        <v>5.69313976658127</v>
      </c>
      <c r="AG303" s="67">
        <f t="shared" si="208"/>
        <v>12.652889076339097</v>
      </c>
      <c r="AH303" s="67">
        <f t="shared" si="208"/>
        <v>6.8861038424459444</v>
      </c>
      <c r="AI303" s="67">
        <f t="shared" si="208"/>
        <v>14.790910313298372</v>
      </c>
      <c r="AJ303" s="67">
        <f t="shared" si="208"/>
        <v>19.857029388403497</v>
      </c>
      <c r="AK303" s="67">
        <f t="shared" si="208"/>
        <v>29.161912007100295</v>
      </c>
      <c r="AL303" s="67">
        <f t="shared" si="208"/>
        <v>25.839793281653748</v>
      </c>
      <c r="AM303" s="67">
        <f t="shared" si="208"/>
        <v>22.64330830651889</v>
      </c>
      <c r="AN303" s="67">
        <f t="shared" si="208"/>
        <v>6.9589422407794022</v>
      </c>
      <c r="AO303" s="67">
        <f t="shared" si="208"/>
        <v>9.0898761504374512</v>
      </c>
      <c r="AP303" s="67">
        <f t="shared" si="208"/>
        <v>13.496794511303566</v>
      </c>
      <c r="AQ303" s="67">
        <f t="shared" si="208"/>
        <v>20.071364852809989</v>
      </c>
      <c r="AR303" s="67">
        <f t="shared" si="208"/>
        <v>19.676432006996066</v>
      </c>
      <c r="AS303" s="67">
        <f t="shared" si="208"/>
        <v>10.520721494524372</v>
      </c>
      <c r="AT303" s="67">
        <f t="shared" si="208"/>
        <v>9.4906675102815559</v>
      </c>
      <c r="AU303" s="67">
        <f t="shared" si="208"/>
        <v>10.149130074565038</v>
      </c>
      <c r="AV303" s="67">
        <f t="shared" si="208"/>
        <v>7.1750717507175068</v>
      </c>
      <c r="AW303" s="67">
        <f t="shared" si="208"/>
        <v>6.1012812690665035</v>
      </c>
      <c r="AX303" s="67">
        <f t="shared" si="208"/>
        <v>8.5</v>
      </c>
      <c r="AY303" s="67">
        <f t="shared" si="208"/>
        <v>11.739385638818236</v>
      </c>
      <c r="AZ303" s="67">
        <f t="shared" si="208"/>
        <v>13.447315339544714</v>
      </c>
      <c r="BA303" s="67">
        <f t="shared" si="208"/>
        <v>30.482601687683701</v>
      </c>
      <c r="BB303" s="67">
        <f t="shared" si="208"/>
        <v>74.450962419798358</v>
      </c>
      <c r="BC303" s="67">
        <f t="shared" si="208"/>
        <v>73.279362631714207</v>
      </c>
      <c r="BD303" s="67">
        <f t="shared" si="208"/>
        <v>80.314573605308425</v>
      </c>
      <c r="BE303" s="67">
        <f t="shared" si="208"/>
        <v>55.825420888853415</v>
      </c>
      <c r="BF303" s="67">
        <f t="shared" si="208"/>
        <v>58.557151780137417</v>
      </c>
      <c r="BG303" s="67">
        <f t="shared" si="208"/>
        <v>51.329355973688244</v>
      </c>
      <c r="BH303" s="67">
        <f t="shared" si="208"/>
        <v>51.219213706593244</v>
      </c>
    </row>
    <row r="304" spans="1:60" s="67" customFormat="1" x14ac:dyDescent="0.25">
      <c r="A304" s="67" t="str">
        <f t="shared" ref="A304:E304" si="210">A129</f>
        <v>HHS</v>
      </c>
      <c r="B304" s="67" t="str">
        <f t="shared" si="210"/>
        <v>FDA</v>
      </c>
      <c r="C304" s="67" t="str">
        <f t="shared" si="210"/>
        <v>FDA</v>
      </c>
      <c r="D304" s="67" t="str">
        <f t="shared" si="210"/>
        <v>Steady</v>
      </c>
      <c r="E304" s="67" t="str">
        <f t="shared" si="210"/>
        <v>Program</v>
      </c>
      <c r="F304" s="67" t="s">
        <v>90</v>
      </c>
      <c r="H304" s="67" t="str">
        <f t="shared" si="147"/>
        <v>Food and Drug Administration</v>
      </c>
      <c r="I304" s="67">
        <f t="shared" si="134"/>
        <v>0</v>
      </c>
      <c r="J304" s="67">
        <f t="shared" si="208"/>
        <v>0</v>
      </c>
      <c r="K304" s="67">
        <f t="shared" si="208"/>
        <v>0</v>
      </c>
      <c r="L304" s="67">
        <f t="shared" si="208"/>
        <v>0</v>
      </c>
      <c r="M304" s="67">
        <f t="shared" si="208"/>
        <v>0</v>
      </c>
      <c r="N304" s="67">
        <f t="shared" si="208"/>
        <v>0</v>
      </c>
      <c r="O304" s="67">
        <f t="shared" si="208"/>
        <v>0</v>
      </c>
      <c r="P304" s="67">
        <f t="shared" si="208"/>
        <v>0</v>
      </c>
      <c r="Q304" s="67">
        <f t="shared" si="208"/>
        <v>0</v>
      </c>
      <c r="R304" s="67">
        <f t="shared" si="208"/>
        <v>0</v>
      </c>
      <c r="S304" s="67">
        <f t="shared" si="208"/>
        <v>0</v>
      </c>
      <c r="T304" s="67">
        <f t="shared" si="208"/>
        <v>0</v>
      </c>
      <c r="U304" s="67">
        <f t="shared" si="208"/>
        <v>0</v>
      </c>
      <c r="V304" s="67">
        <f t="shared" si="208"/>
        <v>0</v>
      </c>
      <c r="W304" s="67">
        <f t="shared" si="208"/>
        <v>0</v>
      </c>
      <c r="X304" s="67">
        <f t="shared" si="208"/>
        <v>0</v>
      </c>
      <c r="Y304" s="67">
        <f t="shared" si="208"/>
        <v>0</v>
      </c>
      <c r="Z304" s="67">
        <f t="shared" si="208"/>
        <v>0</v>
      </c>
      <c r="AA304" s="67">
        <f t="shared" si="208"/>
        <v>0</v>
      </c>
      <c r="AB304" s="67">
        <f t="shared" si="208"/>
        <v>0</v>
      </c>
      <c r="AC304" s="67">
        <f t="shared" si="208"/>
        <v>0</v>
      </c>
      <c r="AD304" s="67">
        <f t="shared" si="208"/>
        <v>1286.3009680258142</v>
      </c>
      <c r="AE304" s="67">
        <f t="shared" si="208"/>
        <v>1279.7233030696066</v>
      </c>
      <c r="AF304" s="67">
        <f t="shared" si="208"/>
        <v>1317.9618559635639</v>
      </c>
      <c r="AG304" s="67">
        <f t="shared" si="208"/>
        <v>1379.1649093209614</v>
      </c>
      <c r="AH304" s="67">
        <f t="shared" si="208"/>
        <v>1446.0818069136483</v>
      </c>
      <c r="AI304" s="67">
        <f t="shared" si="208"/>
        <v>1540.9439290036305</v>
      </c>
      <c r="AJ304" s="67">
        <f t="shared" si="208"/>
        <v>1883.7701879798783</v>
      </c>
      <c r="AK304" s="67">
        <f t="shared" si="208"/>
        <v>1577.2790668188159</v>
      </c>
      <c r="AL304" s="67">
        <f t="shared" si="208"/>
        <v>2085.6404577334811</v>
      </c>
      <c r="AM304" s="67">
        <f t="shared" si="208"/>
        <v>2146.347276844238</v>
      </c>
      <c r="AN304" s="67">
        <f t="shared" si="208"/>
        <v>2175.8292739503595</v>
      </c>
      <c r="AO304" s="67">
        <f t="shared" si="208"/>
        <v>2281.5589137597999</v>
      </c>
      <c r="AP304" s="67">
        <f t="shared" si="208"/>
        <v>2553.1436283882576</v>
      </c>
      <c r="AQ304" s="67">
        <f t="shared" si="208"/>
        <v>2299.2863514719002</v>
      </c>
      <c r="AR304" s="67">
        <f t="shared" si="208"/>
        <v>2581.9851333624838</v>
      </c>
      <c r="AS304" s="67">
        <f t="shared" si="208"/>
        <v>2693.7942881683489</v>
      </c>
      <c r="AT304" s="67">
        <f t="shared" si="208"/>
        <v>2642.6236423072864</v>
      </c>
      <c r="AU304" s="67">
        <f t="shared" si="208"/>
        <v>2471.0024855012425</v>
      </c>
      <c r="AV304" s="67">
        <f t="shared" si="208"/>
        <v>2625.0512505125052</v>
      </c>
      <c r="AW304" s="67">
        <f t="shared" si="208"/>
        <v>2639.8210290827737</v>
      </c>
      <c r="AX304" s="67">
        <f t="shared" si="208"/>
        <v>2728</v>
      </c>
      <c r="AY304" s="67">
        <f t="shared" si="208"/>
        <v>2730.3854431618079</v>
      </c>
      <c r="AZ304" s="67">
        <f t="shared" si="208"/>
        <v>2758.6206896551726</v>
      </c>
      <c r="BA304" s="67">
        <f t="shared" si="208"/>
        <v>2986.6312695553238</v>
      </c>
      <c r="BB304" s="67">
        <f t="shared" si="208"/>
        <v>2975.2520623281393</v>
      </c>
      <c r="BC304" s="67">
        <f t="shared" si="208"/>
        <v>2814.1865844255976</v>
      </c>
      <c r="BD304" s="67">
        <f t="shared" si="208"/>
        <v>2758.2534611288606</v>
      </c>
      <c r="BE304" s="67">
        <f t="shared" si="208"/>
        <v>2865.5852549269925</v>
      </c>
      <c r="BF304" s="67">
        <f t="shared" si="208"/>
        <v>2845.0968144909434</v>
      </c>
      <c r="BG304" s="67">
        <f t="shared" si="208"/>
        <v>2734.9319259599206</v>
      </c>
      <c r="BH304" s="67">
        <f t="shared" si="208"/>
        <v>2422.2625057365767</v>
      </c>
    </row>
    <row r="305" spans="1:60" s="67" customFormat="1" x14ac:dyDescent="0.25">
      <c r="A305" s="67" t="str">
        <f t="shared" ref="A305:E305" si="211">A130</f>
        <v>HHS</v>
      </c>
      <c r="B305" s="67" t="str">
        <f t="shared" si="211"/>
        <v>AHQR</v>
      </c>
      <c r="C305" s="67" t="str">
        <f t="shared" si="211"/>
        <v>AHQR</v>
      </c>
      <c r="D305" s="67" t="str">
        <f t="shared" si="211"/>
        <v>Steady</v>
      </c>
      <c r="E305" s="67" t="str">
        <f t="shared" si="211"/>
        <v>Program</v>
      </c>
      <c r="F305" s="67" t="s">
        <v>90</v>
      </c>
      <c r="H305" s="67" t="str">
        <f t="shared" si="147"/>
        <v>Agency for Healthcare Quality and Research</v>
      </c>
      <c r="I305" s="67">
        <f t="shared" si="134"/>
        <v>0</v>
      </c>
      <c r="J305" s="67">
        <f t="shared" si="208"/>
        <v>0</v>
      </c>
      <c r="K305" s="67">
        <f t="shared" si="208"/>
        <v>0</v>
      </c>
      <c r="L305" s="67">
        <f t="shared" si="208"/>
        <v>0</v>
      </c>
      <c r="M305" s="67">
        <f t="shared" si="208"/>
        <v>0</v>
      </c>
      <c r="N305" s="67">
        <f t="shared" si="208"/>
        <v>0</v>
      </c>
      <c r="O305" s="67">
        <f t="shared" si="208"/>
        <v>0</v>
      </c>
      <c r="P305" s="67">
        <f t="shared" si="208"/>
        <v>0</v>
      </c>
      <c r="Q305" s="67">
        <f t="shared" si="208"/>
        <v>0</v>
      </c>
      <c r="R305" s="67">
        <f t="shared" si="208"/>
        <v>0</v>
      </c>
      <c r="S305" s="67">
        <f t="shared" si="208"/>
        <v>0</v>
      </c>
      <c r="T305" s="67">
        <f t="shared" si="208"/>
        <v>0</v>
      </c>
      <c r="U305" s="67">
        <f t="shared" si="208"/>
        <v>0</v>
      </c>
      <c r="V305" s="67">
        <f t="shared" si="208"/>
        <v>0</v>
      </c>
      <c r="W305" s="67">
        <f t="shared" si="208"/>
        <v>0</v>
      </c>
      <c r="X305" s="67">
        <f t="shared" si="208"/>
        <v>0</v>
      </c>
      <c r="Y305" s="67">
        <f t="shared" si="208"/>
        <v>0</v>
      </c>
      <c r="Z305" s="67">
        <f t="shared" si="208"/>
        <v>0</v>
      </c>
      <c r="AA305" s="67">
        <f t="shared" si="208"/>
        <v>0</v>
      </c>
      <c r="AB305" s="67">
        <f t="shared" si="208"/>
        <v>0</v>
      </c>
      <c r="AC305" s="67">
        <f t="shared" si="208"/>
        <v>0</v>
      </c>
      <c r="AD305" s="67">
        <f t="shared" si="208"/>
        <v>95.335875623349963</v>
      </c>
      <c r="AE305" s="67">
        <f t="shared" si="208"/>
        <v>139.78959504251333</v>
      </c>
      <c r="AF305" s="67">
        <f t="shared" si="208"/>
        <v>128.09564474807857</v>
      </c>
      <c r="AG305" s="67">
        <f t="shared" si="208"/>
        <v>198.22859552931251</v>
      </c>
      <c r="AH305" s="67">
        <f t="shared" si="208"/>
        <v>227.24142680071617</v>
      </c>
      <c r="AI305" s="67">
        <f t="shared" si="208"/>
        <v>391.28680919725696</v>
      </c>
      <c r="AJ305" s="67">
        <f t="shared" si="208"/>
        <v>411.70240931956579</v>
      </c>
      <c r="AK305" s="67">
        <f t="shared" si="208"/>
        <v>414.60631418790416</v>
      </c>
      <c r="AL305" s="67">
        <f t="shared" si="208"/>
        <v>374.06176941060664</v>
      </c>
      <c r="AM305" s="67">
        <f t="shared" si="208"/>
        <v>380.16922893576452</v>
      </c>
      <c r="AN305" s="67">
        <f t="shared" si="208"/>
        <v>369.98376246810489</v>
      </c>
      <c r="AO305" s="67">
        <f t="shared" si="208"/>
        <v>380.63856379956826</v>
      </c>
      <c r="AP305" s="67">
        <f t="shared" si="208"/>
        <v>376.78551344055785</v>
      </c>
      <c r="AQ305" s="67">
        <f t="shared" si="208"/>
        <v>414.80820695807313</v>
      </c>
      <c r="AR305" s="67">
        <f t="shared" si="208"/>
        <v>434.03257542632269</v>
      </c>
      <c r="AS305" s="67">
        <f t="shared" si="208"/>
        <v>655.90723641829504</v>
      </c>
      <c r="AT305" s="67">
        <f t="shared" si="208"/>
        <v>427.13592744911944</v>
      </c>
      <c r="AU305" s="67">
        <f t="shared" si="208"/>
        <v>397.75587959662386</v>
      </c>
      <c r="AV305" s="67">
        <f t="shared" si="208"/>
        <v>446.90446904469042</v>
      </c>
      <c r="AW305" s="67">
        <f t="shared" si="208"/>
        <v>450.47793369941019</v>
      </c>
      <c r="AX305" s="67">
        <f t="shared" si="208"/>
        <v>324</v>
      </c>
      <c r="AY305" s="67">
        <f t="shared" si="208"/>
        <v>316.96341224809237</v>
      </c>
      <c r="AZ305" s="67">
        <f t="shared" si="208"/>
        <v>320.81452310056676</v>
      </c>
      <c r="BA305" s="67">
        <f t="shared" si="208"/>
        <v>430.4541575803546</v>
      </c>
      <c r="BB305" s="67">
        <f t="shared" si="208"/>
        <v>406.96608615948674</v>
      </c>
      <c r="BC305" s="67">
        <f t="shared" si="208"/>
        <v>288.70041977212372</v>
      </c>
      <c r="BD305" s="67">
        <f t="shared" si="208"/>
        <v>302.2855738510691</v>
      </c>
      <c r="BE305" s="67">
        <f t="shared" si="208"/>
        <v>298.41219181361203</v>
      </c>
      <c r="BF305" s="67">
        <f t="shared" si="208"/>
        <v>288.10118675827607</v>
      </c>
      <c r="BG305" s="67">
        <f t="shared" si="208"/>
        <v>282.23955943093165</v>
      </c>
      <c r="BH305" s="67">
        <f t="shared" si="208"/>
        <v>0</v>
      </c>
    </row>
    <row r="306" spans="1:60" s="67" customFormat="1" x14ac:dyDescent="0.25">
      <c r="A306" s="67" t="str">
        <f t="shared" ref="A306:E306" si="212">A131</f>
        <v>HHS</v>
      </c>
      <c r="B306" s="67" t="str">
        <f t="shared" si="212"/>
        <v>CDC</v>
      </c>
      <c r="C306" s="67" t="str">
        <f t="shared" si="212"/>
        <v>CDC</v>
      </c>
      <c r="D306" s="67" t="str">
        <f t="shared" si="212"/>
        <v>Steady</v>
      </c>
      <c r="E306" s="67" t="str">
        <f t="shared" si="212"/>
        <v>Program</v>
      </c>
      <c r="F306" s="67" t="s">
        <v>90</v>
      </c>
      <c r="H306" s="67" t="str">
        <f t="shared" ref="H306:H348" si="213">H131</f>
        <v>Centers for Disease Control</v>
      </c>
      <c r="I306" s="67">
        <f t="shared" ref="I306:X348" si="214">I131/I$175</f>
        <v>0</v>
      </c>
      <c r="J306" s="67">
        <f t="shared" si="214"/>
        <v>0</v>
      </c>
      <c r="K306" s="67">
        <f t="shared" si="214"/>
        <v>0</v>
      </c>
      <c r="L306" s="67">
        <f t="shared" si="214"/>
        <v>0</v>
      </c>
      <c r="M306" s="67">
        <f t="shared" si="214"/>
        <v>0</v>
      </c>
      <c r="N306" s="67">
        <f t="shared" si="214"/>
        <v>0</v>
      </c>
      <c r="O306" s="67">
        <f t="shared" si="214"/>
        <v>0</v>
      </c>
      <c r="P306" s="67">
        <f t="shared" si="214"/>
        <v>0</v>
      </c>
      <c r="Q306" s="67">
        <f t="shared" si="214"/>
        <v>0</v>
      </c>
      <c r="R306" s="67">
        <f t="shared" si="214"/>
        <v>0</v>
      </c>
      <c r="S306" s="67">
        <f t="shared" si="214"/>
        <v>0</v>
      </c>
      <c r="T306" s="67">
        <f t="shared" si="214"/>
        <v>0</v>
      </c>
      <c r="U306" s="67">
        <f t="shared" si="214"/>
        <v>0</v>
      </c>
      <c r="V306" s="67">
        <f t="shared" si="214"/>
        <v>0</v>
      </c>
      <c r="W306" s="67">
        <f t="shared" si="214"/>
        <v>0</v>
      </c>
      <c r="X306" s="67">
        <f t="shared" si="214"/>
        <v>0</v>
      </c>
      <c r="Y306" s="67">
        <f t="shared" si="208"/>
        <v>0</v>
      </c>
      <c r="Z306" s="67">
        <f t="shared" si="208"/>
        <v>0</v>
      </c>
      <c r="AA306" s="67">
        <f t="shared" si="208"/>
        <v>0</v>
      </c>
      <c r="AB306" s="67">
        <f t="shared" si="208"/>
        <v>0</v>
      </c>
      <c r="AC306" s="67">
        <f t="shared" si="208"/>
        <v>0</v>
      </c>
      <c r="AD306" s="67">
        <f t="shared" si="208"/>
        <v>0</v>
      </c>
      <c r="AE306" s="67">
        <f t="shared" si="208"/>
        <v>0</v>
      </c>
      <c r="AF306" s="67">
        <f t="shared" si="208"/>
        <v>3393.1113008824368</v>
      </c>
      <c r="AG306" s="67">
        <f t="shared" si="208"/>
        <v>3715.7317587515813</v>
      </c>
      <c r="AH306" s="67">
        <f t="shared" si="208"/>
        <v>4602.0272689712165</v>
      </c>
      <c r="AI306" s="67">
        <f t="shared" si="208"/>
        <v>5650.3697727578328</v>
      </c>
      <c r="AJ306" s="67">
        <f t="shared" si="208"/>
        <v>8679.216309240137</v>
      </c>
      <c r="AK306" s="67">
        <f t="shared" si="208"/>
        <v>8222.7107899074435</v>
      </c>
      <c r="AL306" s="67">
        <f t="shared" si="208"/>
        <v>8876.3381321520865</v>
      </c>
      <c r="AM306" s="67">
        <f t="shared" si="208"/>
        <v>9510.1442021213206</v>
      </c>
      <c r="AN306" s="67">
        <f t="shared" si="208"/>
        <v>9744.003711435862</v>
      </c>
      <c r="AO306" s="67">
        <f t="shared" si="208"/>
        <v>10360.793091694126</v>
      </c>
      <c r="AP306" s="67">
        <f t="shared" si="208"/>
        <v>10358.200427398493</v>
      </c>
      <c r="AQ306" s="67">
        <f t="shared" si="208"/>
        <v>7103.0330062444245</v>
      </c>
      <c r="AR306" s="67">
        <f t="shared" si="208"/>
        <v>7378.2116309575867</v>
      </c>
      <c r="AS306" s="67">
        <f t="shared" si="208"/>
        <v>7098.4303199484639</v>
      </c>
      <c r="AT306" s="67">
        <f t="shared" si="208"/>
        <v>5974.5544658863228</v>
      </c>
      <c r="AU306" s="67">
        <f t="shared" si="208"/>
        <v>5563.6016875673158</v>
      </c>
      <c r="AV306" s="67">
        <f t="shared" si="208"/>
        <v>6009.6350963509631</v>
      </c>
      <c r="AW306" s="67">
        <f t="shared" si="208"/>
        <v>6175.5135245068132</v>
      </c>
      <c r="AX306" s="67">
        <f t="shared" si="208"/>
        <v>7371.7240000000002</v>
      </c>
      <c r="AY306" s="67">
        <f t="shared" si="208"/>
        <v>7029.3513989434559</v>
      </c>
      <c r="AZ306" s="67">
        <f t="shared" si="208"/>
        <v>7973.4569205647867</v>
      </c>
      <c r="BA306" s="67">
        <f t="shared" si="208"/>
        <v>6896.9754432540058</v>
      </c>
      <c r="BB306" s="67">
        <f t="shared" si="208"/>
        <v>7052.4252978918421</v>
      </c>
      <c r="BC306" s="67">
        <f t="shared" si="208"/>
        <v>6013.8781804163455</v>
      </c>
      <c r="BD306" s="67">
        <f t="shared" si="208"/>
        <v>7278.6106332432219</v>
      </c>
      <c r="BE306" s="67">
        <f t="shared" si="208"/>
        <v>6288.9970477938241</v>
      </c>
      <c r="BF306" s="67">
        <f t="shared" si="208"/>
        <v>7200.2576514678331</v>
      </c>
      <c r="BG306" s="67">
        <f t="shared" si="208"/>
        <v>7073.5811534342974</v>
      </c>
      <c r="BH306" s="67">
        <f t="shared" si="208"/>
        <v>3305.032889704758</v>
      </c>
    </row>
    <row r="307" spans="1:60" s="67" customFormat="1" x14ac:dyDescent="0.25">
      <c r="A307" s="67" t="str">
        <f t="shared" ref="A307:E307" si="215">A132</f>
        <v>HHS</v>
      </c>
      <c r="B307" s="67" t="str">
        <f t="shared" si="215"/>
        <v>NIH</v>
      </c>
      <c r="C307" s="67" t="str">
        <f t="shared" si="215"/>
        <v>NIH</v>
      </c>
      <c r="D307" s="67" t="str">
        <f t="shared" si="215"/>
        <v>Steady</v>
      </c>
      <c r="E307" s="67" t="str">
        <f t="shared" si="215"/>
        <v>Program</v>
      </c>
      <c r="F307" s="67" t="s">
        <v>90</v>
      </c>
      <c r="H307" s="67" t="str">
        <f t="shared" si="213"/>
        <v>National Institutes of Health</v>
      </c>
      <c r="I307" s="67">
        <f t="shared" si="214"/>
        <v>7788.9728321548191</v>
      </c>
      <c r="J307" s="67">
        <f t="shared" si="208"/>
        <v>8010.1809324982614</v>
      </c>
      <c r="K307" s="67">
        <f t="shared" si="208"/>
        <v>8254.6333549643095</v>
      </c>
      <c r="L307" s="67">
        <f t="shared" si="208"/>
        <v>8640.7297050775305</v>
      </c>
      <c r="M307" s="67">
        <f t="shared" si="208"/>
        <v>8973.2095639943745</v>
      </c>
      <c r="N307" s="67">
        <f t="shared" si="208"/>
        <v>8871.7593790426909</v>
      </c>
      <c r="O307" s="67">
        <f t="shared" si="208"/>
        <v>8410.4759660697455</v>
      </c>
      <c r="P307" s="67">
        <f t="shared" si="208"/>
        <v>8023.5183961224939</v>
      </c>
      <c r="Q307" s="67">
        <f t="shared" si="208"/>
        <v>8494.7625079164027</v>
      </c>
      <c r="R307" s="67">
        <f t="shared" si="208"/>
        <v>9157.5056042388424</v>
      </c>
      <c r="S307" s="67">
        <f t="shared" si="208"/>
        <v>10154.720962334844</v>
      </c>
      <c r="T307" s="67">
        <f t="shared" si="208"/>
        <v>10148.912246865961</v>
      </c>
      <c r="U307" s="67">
        <f t="shared" si="208"/>
        <v>11663.667232597623</v>
      </c>
      <c r="V307" s="67">
        <f t="shared" si="208"/>
        <v>12181.057920701627</v>
      </c>
      <c r="W307" s="67">
        <f t="shared" si="208"/>
        <v>12547.864418686337</v>
      </c>
      <c r="X307" s="67">
        <f t="shared" si="208"/>
        <v>12836.923076923078</v>
      </c>
      <c r="Y307" s="67">
        <f t="shared" si="208"/>
        <v>13539.569769344022</v>
      </c>
      <c r="Z307" s="67">
        <f t="shared" si="208"/>
        <v>14238.249281838493</v>
      </c>
      <c r="AA307" s="67">
        <f t="shared" si="208"/>
        <v>16148.44222672696</v>
      </c>
      <c r="AB307" s="67">
        <f t="shared" si="208"/>
        <v>16718.713566305509</v>
      </c>
      <c r="AC307" s="67">
        <f t="shared" si="208"/>
        <v>16885.11954572624</v>
      </c>
      <c r="AD307" s="67">
        <f t="shared" si="208"/>
        <v>17494.224112643005</v>
      </c>
      <c r="AE307" s="67">
        <f t="shared" si="208"/>
        <v>18361.209107940627</v>
      </c>
      <c r="AF307" s="67">
        <f t="shared" si="208"/>
        <v>19463.198121263878</v>
      </c>
      <c r="AG307" s="67">
        <f t="shared" si="208"/>
        <v>21972.66413608885</v>
      </c>
      <c r="AH307" s="67">
        <f t="shared" si="208"/>
        <v>24570.426938438231</v>
      </c>
      <c r="AI307" s="67">
        <f t="shared" si="208"/>
        <v>27509.151539599301</v>
      </c>
      <c r="AJ307" s="67">
        <f t="shared" si="208"/>
        <v>30872.891183478954</v>
      </c>
      <c r="AK307" s="67">
        <f t="shared" si="208"/>
        <v>34444.928363129206</v>
      </c>
      <c r="AL307" s="67">
        <f t="shared" si="208"/>
        <v>34498.125999753909</v>
      </c>
      <c r="AM307" s="67">
        <f t="shared" si="208"/>
        <v>34077.412704087714</v>
      </c>
      <c r="AN307" s="67">
        <f t="shared" si="208"/>
        <v>33125.048712595686</v>
      </c>
      <c r="AO307" s="67">
        <f t="shared" si="208"/>
        <v>33153.62345188047</v>
      </c>
      <c r="AP307" s="67">
        <f t="shared" si="208"/>
        <v>33300.044989315036</v>
      </c>
      <c r="AQ307" s="67">
        <f t="shared" si="208"/>
        <v>33559.322033898301</v>
      </c>
      <c r="AR307" s="67">
        <f t="shared" si="208"/>
        <v>33901.837560122432</v>
      </c>
      <c r="AS307" s="67">
        <f t="shared" si="208"/>
        <v>34373.456087610051</v>
      </c>
      <c r="AT307" s="67">
        <f t="shared" si="208"/>
        <v>32542.851418327529</v>
      </c>
      <c r="AU307" s="67">
        <f t="shared" si="208"/>
        <v>30181.712924606461</v>
      </c>
      <c r="AV307" s="67">
        <f t="shared" si="208"/>
        <v>30822.122796227955</v>
      </c>
      <c r="AW307" s="67">
        <f t="shared" si="208"/>
        <v>30823.010982306278</v>
      </c>
      <c r="AX307" s="67">
        <f t="shared" si="208"/>
        <v>32311.349999999995</v>
      </c>
      <c r="AY307" s="67">
        <f t="shared" si="208"/>
        <v>33485.755233809432</v>
      </c>
      <c r="AZ307" s="67">
        <f t="shared" si="208"/>
        <v>35838.391124771864</v>
      </c>
      <c r="BA307" s="67">
        <f t="shared" si="208"/>
        <v>36945.62340001898</v>
      </c>
      <c r="BB307" s="67">
        <f t="shared" si="208"/>
        <v>37997.250229147568</v>
      </c>
      <c r="BC307" s="67">
        <f t="shared" ref="J307:BH312" si="216">BC132/BC$175</f>
        <v>34931.037436820014</v>
      </c>
      <c r="BD307" s="67">
        <f t="shared" si="216"/>
        <v>36830.507086098143</v>
      </c>
      <c r="BE307" s="67">
        <f t="shared" si="216"/>
        <v>37999.680842575595</v>
      </c>
      <c r="BF307" s="67">
        <f t="shared" si="216"/>
        <v>36194.523735165523</v>
      </c>
      <c r="BG307" s="67">
        <f t="shared" si="216"/>
        <v>35185.319718525316</v>
      </c>
      <c r="BH307" s="67">
        <f t="shared" si="216"/>
        <v>21351.613890163684</v>
      </c>
    </row>
    <row r="308" spans="1:60" s="67" customFormat="1" x14ac:dyDescent="0.25">
      <c r="A308" s="67" t="str">
        <f t="shared" ref="A308:E308" si="217">A133</f>
        <v>HHS</v>
      </c>
      <c r="B308" s="67" t="str">
        <f t="shared" si="217"/>
        <v>NIH</v>
      </c>
      <c r="C308" s="67" t="str">
        <f t="shared" si="217"/>
        <v>NCI</v>
      </c>
      <c r="D308" s="67" t="str">
        <f t="shared" si="217"/>
        <v>Steady</v>
      </c>
      <c r="E308" s="67" t="str">
        <f t="shared" si="217"/>
        <v>Subprograms</v>
      </c>
      <c r="F308" s="67" t="s">
        <v>90</v>
      </c>
      <c r="H308" s="67" t="str">
        <f t="shared" si="213"/>
        <v>National Cancer Institute</v>
      </c>
      <c r="I308" s="67">
        <f t="shared" si="214"/>
        <v>2574.1198362486048</v>
      </c>
      <c r="J308" s="67">
        <f t="shared" si="216"/>
        <v>2650.4070981210857</v>
      </c>
      <c r="K308" s="67">
        <f t="shared" si="216"/>
        <v>2644.3867618429595</v>
      </c>
      <c r="L308" s="67">
        <f t="shared" si="216"/>
        <v>2652.4414715719063</v>
      </c>
      <c r="M308" s="67">
        <f t="shared" si="216"/>
        <v>2636.0872011251759</v>
      </c>
      <c r="N308" s="67">
        <f t="shared" si="216"/>
        <v>2586.9831824062094</v>
      </c>
      <c r="O308" s="67">
        <f t="shared" si="216"/>
        <v>2331.1852026390197</v>
      </c>
      <c r="P308" s="67">
        <f t="shared" si="216"/>
        <v>2173.6439744437098</v>
      </c>
      <c r="Q308" s="67">
        <f t="shared" si="216"/>
        <v>2084.9525015832805</v>
      </c>
      <c r="R308" s="67">
        <f t="shared" si="216"/>
        <v>2204.159364173629</v>
      </c>
      <c r="S308" s="67">
        <f t="shared" si="216"/>
        <v>2334.4626306448431</v>
      </c>
      <c r="T308" s="67">
        <f t="shared" si="216"/>
        <v>2320.8659594985534</v>
      </c>
      <c r="U308" s="67">
        <f t="shared" si="216"/>
        <v>2646.3629503867196</v>
      </c>
      <c r="V308" s="67">
        <f t="shared" si="216"/>
        <v>2684.6829892198061</v>
      </c>
      <c r="W308" s="67">
        <f t="shared" si="216"/>
        <v>2757.901299613628</v>
      </c>
      <c r="X308" s="67">
        <f t="shared" si="216"/>
        <v>2769.1155540494751</v>
      </c>
      <c r="Y308" s="67">
        <f t="shared" si="216"/>
        <v>2805.1431375756588</v>
      </c>
      <c r="Z308" s="67">
        <f t="shared" si="216"/>
        <v>3132.1209703159907</v>
      </c>
      <c r="AA308" s="67">
        <f t="shared" si="216"/>
        <v>3089.5852175268988</v>
      </c>
      <c r="AB308" s="67">
        <f t="shared" si="216"/>
        <v>3177.5782084541429</v>
      </c>
      <c r="AC308" s="67">
        <f t="shared" si="216"/>
        <v>2859.8610280932457</v>
      </c>
      <c r="AD308" s="67">
        <f t="shared" si="216"/>
        <v>3297.1545907890877</v>
      </c>
      <c r="AE308" s="67">
        <f t="shared" si="216"/>
        <v>3431.5448911946964</v>
      </c>
      <c r="AF308" s="67">
        <f t="shared" si="216"/>
        <v>3625.5536578422998</v>
      </c>
      <c r="AG308" s="67">
        <f t="shared" si="216"/>
        <v>4112.5362013215235</v>
      </c>
      <c r="AH308" s="67">
        <f t="shared" si="216"/>
        <v>4564.8726070789153</v>
      </c>
      <c r="AI308" s="67">
        <f t="shared" si="216"/>
        <v>5048.3474519295414</v>
      </c>
      <c r="AJ308" s="67">
        <f t="shared" si="216"/>
        <v>5535.1244373841682</v>
      </c>
      <c r="AK308" s="67">
        <f t="shared" si="216"/>
        <v>5822.6803600862177</v>
      </c>
      <c r="AL308" s="67">
        <f t="shared" si="216"/>
        <v>5831.4937861449489</v>
      </c>
      <c r="AM308" s="67">
        <f t="shared" si="216"/>
        <v>5750.5160290787753</v>
      </c>
      <c r="AN308" s="67">
        <f t="shared" si="216"/>
        <v>5559.4479239155644</v>
      </c>
      <c r="AO308" s="67">
        <f t="shared" si="216"/>
        <v>5451.2430405635723</v>
      </c>
      <c r="AP308" s="67">
        <f t="shared" si="216"/>
        <v>5433.187492970419</v>
      </c>
      <c r="AQ308" s="67">
        <f t="shared" si="216"/>
        <v>5538.5046833184651</v>
      </c>
      <c r="AR308" s="67">
        <f t="shared" si="216"/>
        <v>5572.9875382597293</v>
      </c>
      <c r="AS308" s="67">
        <f t="shared" si="216"/>
        <v>5422.0238350869658</v>
      </c>
      <c r="AT308" s="67">
        <f t="shared" si="216"/>
        <v>5338.7767584097855</v>
      </c>
      <c r="AU308" s="67">
        <f t="shared" si="216"/>
        <v>4949.6748135874068</v>
      </c>
      <c r="AV308" s="67">
        <f t="shared" si="216"/>
        <v>5055.7626076260758</v>
      </c>
      <c r="AW308" s="67">
        <f t="shared" si="216"/>
        <v>5036.636160260321</v>
      </c>
      <c r="AX308" s="67">
        <f t="shared" si="216"/>
        <v>5206.2920000000004</v>
      </c>
      <c r="AY308" s="67">
        <f t="shared" si="216"/>
        <v>5537.0328702797888</v>
      </c>
      <c r="AZ308" s="67">
        <f t="shared" si="216"/>
        <v>5729.3247526654504</v>
      </c>
      <c r="BA308" s="67">
        <f t="shared" si="216"/>
        <v>5803.8190954773863</v>
      </c>
      <c r="BB308" s="67">
        <f t="shared" si="216"/>
        <v>5903.2428964252986</v>
      </c>
      <c r="BC308" s="67">
        <f t="shared" si="216"/>
        <v>5602.6728347468515</v>
      </c>
      <c r="BD308" s="67">
        <f t="shared" si="216"/>
        <v>5660.380109773082</v>
      </c>
      <c r="BE308" s="67">
        <f t="shared" si="216"/>
        <v>5766.3767653395034</v>
      </c>
      <c r="BF308" s="67">
        <f t="shared" si="216"/>
        <v>5640.3490006246093</v>
      </c>
      <c r="BG308" s="67">
        <f t="shared" si="216"/>
        <v>5523.3601040232525</v>
      </c>
      <c r="BH308" s="67">
        <f t="shared" si="216"/>
        <v>3465.657029218296</v>
      </c>
    </row>
    <row r="309" spans="1:60" s="67" customFormat="1" x14ac:dyDescent="0.25">
      <c r="A309" s="67" t="str">
        <f t="shared" ref="A309:E309" si="218">A134</f>
        <v>HHS</v>
      </c>
      <c r="B309" s="67" t="str">
        <f t="shared" si="218"/>
        <v>NIH</v>
      </c>
      <c r="C309" s="67" t="str">
        <f t="shared" si="218"/>
        <v>NHLBI</v>
      </c>
      <c r="D309" s="67" t="str">
        <f t="shared" si="218"/>
        <v>Steady</v>
      </c>
      <c r="E309" s="67" t="str">
        <f t="shared" si="218"/>
        <v>Subprograms</v>
      </c>
      <c r="F309" s="67" t="s">
        <v>90</v>
      </c>
      <c r="H309" s="67" t="str">
        <f t="shared" si="213"/>
        <v>National Heart, Lung, and Blood Institute</v>
      </c>
      <c r="I309" s="67">
        <f t="shared" si="214"/>
        <v>1208.1503535541497</v>
      </c>
      <c r="J309" s="67">
        <f t="shared" si="216"/>
        <v>1287.4495476687543</v>
      </c>
      <c r="K309" s="67">
        <f t="shared" si="216"/>
        <v>1287.0246593121351</v>
      </c>
      <c r="L309" s="67">
        <f t="shared" si="216"/>
        <v>1361.839464882943</v>
      </c>
      <c r="M309" s="67">
        <f t="shared" si="216"/>
        <v>1436.0787623066105</v>
      </c>
      <c r="N309" s="67">
        <f t="shared" si="216"/>
        <v>1364.7813712807247</v>
      </c>
      <c r="O309" s="67">
        <f t="shared" si="216"/>
        <v>1295.2238454288406</v>
      </c>
      <c r="P309" s="67">
        <f t="shared" si="216"/>
        <v>131.38797091870455</v>
      </c>
      <c r="Q309" s="67">
        <f t="shared" si="216"/>
        <v>1317.8361832383366</v>
      </c>
      <c r="R309" s="67">
        <f t="shared" si="216"/>
        <v>1436.5987364988789</v>
      </c>
      <c r="S309" s="67">
        <f t="shared" si="216"/>
        <v>1587.988562413725</v>
      </c>
      <c r="T309" s="67">
        <f t="shared" si="216"/>
        <v>1585.9054966248796</v>
      </c>
      <c r="U309" s="67">
        <f t="shared" si="216"/>
        <v>1754.3878513488021</v>
      </c>
      <c r="V309" s="67">
        <f t="shared" si="216"/>
        <v>1764.1805225653206</v>
      </c>
      <c r="W309" s="67">
        <f t="shared" si="216"/>
        <v>1836.159114857745</v>
      </c>
      <c r="X309" s="67">
        <f t="shared" si="216"/>
        <v>1816.9332429684855</v>
      </c>
      <c r="Y309" s="67">
        <f t="shared" si="216"/>
        <v>1843.5170947161787</v>
      </c>
      <c r="Z309" s="67">
        <f t="shared" si="216"/>
        <v>1896.8927545483562</v>
      </c>
      <c r="AA309" s="67">
        <f t="shared" si="216"/>
        <v>1894.2663340090439</v>
      </c>
      <c r="AB309" s="67">
        <f t="shared" si="216"/>
        <v>1950.0686708377843</v>
      </c>
      <c r="AC309" s="67">
        <f t="shared" si="216"/>
        <v>1878.9210998206813</v>
      </c>
      <c r="AD309" s="67">
        <f t="shared" si="216"/>
        <v>1987.307128190085</v>
      </c>
      <c r="AE309" s="67">
        <f t="shared" si="216"/>
        <v>2064.4602968727481</v>
      </c>
      <c r="AF309" s="67">
        <f t="shared" si="216"/>
        <v>2179.1360660404212</v>
      </c>
      <c r="AG309" s="67">
        <f t="shared" si="216"/>
        <v>2520.0463939266133</v>
      </c>
      <c r="AH309" s="67">
        <f t="shared" si="216"/>
        <v>2794.9648808704037</v>
      </c>
      <c r="AI309" s="67">
        <f t="shared" si="216"/>
        <v>3090.6440769127339</v>
      </c>
      <c r="AJ309" s="67">
        <f t="shared" si="216"/>
        <v>3405.7016150383902</v>
      </c>
      <c r="AK309" s="67">
        <f t="shared" si="216"/>
        <v>3542.1998224927102</v>
      </c>
      <c r="AL309" s="67">
        <f t="shared" si="216"/>
        <v>3542.1323981789096</v>
      </c>
      <c r="AM309" s="67">
        <f t="shared" si="216"/>
        <v>3505.1853176021932</v>
      </c>
      <c r="AN309" s="67">
        <f t="shared" si="216"/>
        <v>3388.7230340988172</v>
      </c>
      <c r="AO309" s="67">
        <f t="shared" si="216"/>
        <v>3321.1328258152485</v>
      </c>
      <c r="AP309" s="67">
        <f t="shared" si="216"/>
        <v>3304.9938139691822</v>
      </c>
      <c r="AQ309" s="67">
        <f t="shared" si="216"/>
        <v>3361.5399197145402</v>
      </c>
      <c r="AR309" s="67">
        <f t="shared" si="216"/>
        <v>3381.731526016616</v>
      </c>
      <c r="AS309" s="67">
        <f t="shared" si="216"/>
        <v>3291.0178226325961</v>
      </c>
      <c r="AT309" s="67">
        <f t="shared" si="216"/>
        <v>3240.8541600759254</v>
      </c>
      <c r="AU309" s="67">
        <f t="shared" si="216"/>
        <v>3004.6530654515327</v>
      </c>
      <c r="AV309" s="67">
        <f t="shared" si="216"/>
        <v>3063.3292332923329</v>
      </c>
      <c r="AW309" s="67">
        <f t="shared" si="216"/>
        <v>3046.4358348586534</v>
      </c>
      <c r="AX309" s="67">
        <f t="shared" si="216"/>
        <v>3109.221</v>
      </c>
      <c r="AY309" s="67">
        <f t="shared" si="216"/>
        <v>3140.2162003521817</v>
      </c>
      <c r="AZ309" s="67">
        <f t="shared" si="216"/>
        <v>3249.6407645759296</v>
      </c>
      <c r="BA309" s="67">
        <f t="shared" si="216"/>
        <v>3301.7701716127808</v>
      </c>
      <c r="BB309" s="67">
        <f t="shared" si="216"/>
        <v>3322.8762603116406</v>
      </c>
      <c r="BC309" s="67">
        <f t="shared" si="216"/>
        <v>3130.300693909021</v>
      </c>
      <c r="BD309" s="67">
        <f t="shared" si="216"/>
        <v>3121.4639141476205</v>
      </c>
      <c r="BE309" s="67">
        <f t="shared" si="216"/>
        <v>3190.7763504348518</v>
      </c>
      <c r="BF309" s="67">
        <f t="shared" si="216"/>
        <v>3109.263741411618</v>
      </c>
      <c r="BG309" s="67">
        <f t="shared" si="216"/>
        <v>3046.0035184335325</v>
      </c>
      <c r="BH309" s="67">
        <f t="shared" si="216"/>
        <v>0</v>
      </c>
    </row>
    <row r="310" spans="1:60" s="67" customFormat="1" x14ac:dyDescent="0.25">
      <c r="A310" s="67" t="str">
        <f t="shared" ref="A310:E310" si="219">A135</f>
        <v>HHS</v>
      </c>
      <c r="B310" s="67" t="str">
        <f t="shared" si="219"/>
        <v>NIH</v>
      </c>
      <c r="C310" s="67" t="str">
        <f t="shared" si="219"/>
        <v>NDCR</v>
      </c>
      <c r="D310" s="67" t="str">
        <f t="shared" si="219"/>
        <v>Steady</v>
      </c>
      <c r="E310" s="67" t="str">
        <f t="shared" si="219"/>
        <v>Subprograms</v>
      </c>
      <c r="F310" s="67" t="s">
        <v>90</v>
      </c>
      <c r="H310" s="67" t="str">
        <f t="shared" si="213"/>
        <v>National Institute of Dental and Craniofacial Research</v>
      </c>
      <c r="I310" s="67">
        <f t="shared" si="214"/>
        <v>186.20394491998513</v>
      </c>
      <c r="J310" s="67">
        <f t="shared" si="216"/>
        <v>178.46555323590815</v>
      </c>
      <c r="K310" s="67">
        <f t="shared" si="216"/>
        <v>180.31473069435432</v>
      </c>
      <c r="L310" s="67">
        <f t="shared" si="216"/>
        <v>187.6801459410155</v>
      </c>
      <c r="M310" s="67">
        <f t="shared" si="216"/>
        <v>183.44022503516175</v>
      </c>
      <c r="N310" s="67">
        <f t="shared" si="216"/>
        <v>176.72186287192756</v>
      </c>
      <c r="O310" s="67">
        <f t="shared" si="216"/>
        <v>167.56361922714422</v>
      </c>
      <c r="P310" s="67">
        <f t="shared" si="216"/>
        <v>158.58779466842918</v>
      </c>
      <c r="Q310" s="67">
        <f t="shared" si="216"/>
        <v>167.3886426008022</v>
      </c>
      <c r="R310" s="67">
        <f t="shared" si="216"/>
        <v>180.70919095170166</v>
      </c>
      <c r="S310" s="67">
        <f t="shared" si="216"/>
        <v>198.55649773220273</v>
      </c>
      <c r="T310" s="67">
        <f t="shared" si="216"/>
        <v>190.62873674059787</v>
      </c>
      <c r="U310" s="67">
        <f t="shared" si="216"/>
        <v>222.49575551782681</v>
      </c>
      <c r="V310" s="67">
        <f t="shared" si="216"/>
        <v>230.7637493148182</v>
      </c>
      <c r="W310" s="67">
        <f t="shared" si="216"/>
        <v>229.5556726378644</v>
      </c>
      <c r="X310" s="67">
        <f t="shared" si="216"/>
        <v>230.00508302270418</v>
      </c>
      <c r="Y310" s="67">
        <f t="shared" si="216"/>
        <v>243.60870276460005</v>
      </c>
      <c r="Z310" s="67">
        <f t="shared" si="216"/>
        <v>252.81998084902648</v>
      </c>
      <c r="AA310" s="67">
        <f t="shared" si="216"/>
        <v>251.52190862310931</v>
      </c>
      <c r="AB310" s="67">
        <f t="shared" si="216"/>
        <v>258.69067602624756</v>
      </c>
      <c r="AC310" s="67">
        <f t="shared" si="216"/>
        <v>242.72265391512255</v>
      </c>
      <c r="AD310" s="67">
        <f t="shared" si="216"/>
        <v>268.29422117923144</v>
      </c>
      <c r="AE310" s="67">
        <f t="shared" si="216"/>
        <v>282.20925205361004</v>
      </c>
      <c r="AF310" s="67">
        <f t="shared" si="216"/>
        <v>298.05721605465413</v>
      </c>
      <c r="AG310" s="67">
        <f t="shared" si="216"/>
        <v>329.23239139603538</v>
      </c>
      <c r="AH310" s="67">
        <f t="shared" si="216"/>
        <v>370.21209199834732</v>
      </c>
      <c r="AI310" s="67">
        <f t="shared" si="216"/>
        <v>411.73994890412803</v>
      </c>
      <c r="AJ310" s="67">
        <f t="shared" si="216"/>
        <v>453.61927455652636</v>
      </c>
      <c r="AK310" s="67">
        <f t="shared" si="216"/>
        <v>471.200710029162</v>
      </c>
      <c r="AL310" s="67">
        <f t="shared" si="216"/>
        <v>471.61560231327672</v>
      </c>
      <c r="AM310" s="67">
        <f t="shared" si="216"/>
        <v>466.96341318078896</v>
      </c>
      <c r="AN310" s="67">
        <f t="shared" si="216"/>
        <v>451.56112270934824</v>
      </c>
      <c r="AO310" s="67">
        <f t="shared" si="216"/>
        <v>442.79400068174067</v>
      </c>
      <c r="AP310" s="67">
        <f t="shared" si="216"/>
        <v>440.63997300641103</v>
      </c>
      <c r="AQ310" s="67">
        <f t="shared" si="216"/>
        <v>448.27720785013378</v>
      </c>
      <c r="AR310" s="67">
        <f t="shared" si="216"/>
        <v>450.95867949278534</v>
      </c>
      <c r="AS310" s="67">
        <f t="shared" si="216"/>
        <v>439.03800730083748</v>
      </c>
      <c r="AT310" s="67">
        <f t="shared" si="216"/>
        <v>432.29674153748812</v>
      </c>
      <c r="AU310" s="67">
        <f t="shared" si="216"/>
        <v>400.79018227009112</v>
      </c>
      <c r="AV310" s="67">
        <f t="shared" si="216"/>
        <v>407.83210332103317</v>
      </c>
      <c r="AW310" s="67">
        <f t="shared" si="216"/>
        <v>404.41326011795809</v>
      </c>
      <c r="AX310" s="67">
        <f t="shared" si="216"/>
        <v>412.82100000000003</v>
      </c>
      <c r="AY310" s="67">
        <f t="shared" si="216"/>
        <v>415.57131676775583</v>
      </c>
      <c r="AZ310" s="67">
        <f t="shared" si="216"/>
        <v>430.05955239650376</v>
      </c>
      <c r="BA310" s="67">
        <f t="shared" si="216"/>
        <v>436.75357921683894</v>
      </c>
      <c r="BB310" s="67">
        <f t="shared" si="216"/>
        <v>437.83593033913837</v>
      </c>
      <c r="BC310" s="67">
        <f t="shared" si="216"/>
        <v>413.77537907992803</v>
      </c>
      <c r="BD310" s="67">
        <f t="shared" si="216"/>
        <v>410.58982550995336</v>
      </c>
      <c r="BE310" s="67">
        <f t="shared" si="216"/>
        <v>414.90465171946062</v>
      </c>
      <c r="BF310" s="67">
        <f t="shared" si="216"/>
        <v>406.12351655215491</v>
      </c>
      <c r="BG310" s="67">
        <f t="shared" si="216"/>
        <v>397.86063943705068</v>
      </c>
      <c r="BH310" s="67">
        <f t="shared" si="216"/>
        <v>0</v>
      </c>
    </row>
    <row r="311" spans="1:60" s="67" customFormat="1" x14ac:dyDescent="0.25">
      <c r="A311" s="67" t="str">
        <f t="shared" ref="A311:E311" si="220">A136</f>
        <v>HHS</v>
      </c>
      <c r="B311" s="67" t="str">
        <f t="shared" si="220"/>
        <v>NIH</v>
      </c>
      <c r="C311" s="67" t="str">
        <f t="shared" si="220"/>
        <v>NIDDK</v>
      </c>
      <c r="D311" s="67" t="str">
        <f t="shared" si="220"/>
        <v>Steady</v>
      </c>
      <c r="E311" s="67" t="str">
        <f t="shared" si="220"/>
        <v>Subprograms</v>
      </c>
      <c r="F311" s="67" t="s">
        <v>90</v>
      </c>
      <c r="H311" s="67" t="str">
        <f t="shared" si="213"/>
        <v> National Institute of Diabetes and Digestive and Kidney Diseases</v>
      </c>
      <c r="I311" s="67">
        <f t="shared" si="214"/>
        <v>645.75362858206188</v>
      </c>
      <c r="J311" s="67">
        <f t="shared" si="216"/>
        <v>624.62073764787749</v>
      </c>
      <c r="K311" s="67">
        <f t="shared" si="216"/>
        <v>712.52433484750168</v>
      </c>
      <c r="L311" s="67">
        <f t="shared" si="216"/>
        <v>791.28306476132548</v>
      </c>
      <c r="M311" s="67">
        <f t="shared" si="216"/>
        <v>851.66526019690582</v>
      </c>
      <c r="N311" s="67">
        <f t="shared" si="216"/>
        <v>882.80983182406214</v>
      </c>
      <c r="O311" s="67">
        <f t="shared" si="216"/>
        <v>870.55136663524979</v>
      </c>
      <c r="P311" s="67">
        <f t="shared" si="216"/>
        <v>811.17206433135038</v>
      </c>
      <c r="Q311" s="67">
        <f t="shared" si="216"/>
        <v>872.89845894025757</v>
      </c>
      <c r="R311" s="67">
        <f t="shared" si="216"/>
        <v>945.64092113307515</v>
      </c>
      <c r="S311" s="67">
        <f t="shared" si="216"/>
        <v>1071.9305856832973</v>
      </c>
      <c r="T311" s="67">
        <f t="shared" si="216"/>
        <v>1050.8351012536161</v>
      </c>
      <c r="U311" s="67">
        <f t="shared" si="216"/>
        <v>964.20298056970387</v>
      </c>
      <c r="V311" s="67">
        <f t="shared" si="216"/>
        <v>977.03818746574075</v>
      </c>
      <c r="W311" s="67">
        <f t="shared" si="216"/>
        <v>982.60273972602738</v>
      </c>
      <c r="X311" s="67">
        <f t="shared" si="216"/>
        <v>985.22026431718064</v>
      </c>
      <c r="Y311" s="67">
        <f t="shared" si="216"/>
        <v>1006.4976280058893</v>
      </c>
      <c r="Z311" s="67">
        <f t="shared" si="216"/>
        <v>1051.5879348866899</v>
      </c>
      <c r="AA311" s="67">
        <f t="shared" si="216"/>
        <v>1062.4387961952284</v>
      </c>
      <c r="AB311" s="67">
        <f t="shared" si="216"/>
        <v>1092.7117350831679</v>
      </c>
      <c r="AC311" s="67">
        <f t="shared" si="216"/>
        <v>1086.295576808129</v>
      </c>
      <c r="AD311" s="67">
        <f t="shared" si="216"/>
        <v>1130.2170724552655</v>
      </c>
      <c r="AE311" s="67">
        <f t="shared" si="216"/>
        <v>1175.5252918287938</v>
      </c>
      <c r="AF311" s="67">
        <f t="shared" si="216"/>
        <v>1282.1804725306006</v>
      </c>
      <c r="AG311" s="67">
        <f t="shared" si="216"/>
        <v>1434.7799803177279</v>
      </c>
      <c r="AH311" s="67">
        <f t="shared" si="216"/>
        <v>1609.2494146811737</v>
      </c>
      <c r="AI311" s="67">
        <f t="shared" si="216"/>
        <v>1882.0545919053382</v>
      </c>
      <c r="AJ311" s="67">
        <f t="shared" si="216"/>
        <v>2067.9692877945458</v>
      </c>
      <c r="AK311" s="67">
        <f t="shared" si="216"/>
        <v>2184.2652466083432</v>
      </c>
      <c r="AL311" s="67">
        <f t="shared" si="216"/>
        <v>2241.6672818998404</v>
      </c>
      <c r="AM311" s="67">
        <f t="shared" si="216"/>
        <v>2220.9319508997737</v>
      </c>
      <c r="AN311" s="67">
        <f t="shared" si="216"/>
        <v>2151.3859893296221</v>
      </c>
      <c r="AO311" s="67">
        <f t="shared" si="216"/>
        <v>2108.7012839450063</v>
      </c>
      <c r="AP311" s="67">
        <f t="shared" si="216"/>
        <v>2097.5649533235855</v>
      </c>
      <c r="AQ311" s="67">
        <f t="shared" si="216"/>
        <v>2131.8889384478143</v>
      </c>
      <c r="AR311" s="67">
        <f t="shared" si="216"/>
        <v>2141.4407520769569</v>
      </c>
      <c r="AS311" s="67">
        <f t="shared" si="216"/>
        <v>2082.0377925703242</v>
      </c>
      <c r="AT311" s="67">
        <f t="shared" si="216"/>
        <v>2049.6741537488133</v>
      </c>
      <c r="AU311" s="67">
        <f t="shared" si="216"/>
        <v>1901.061516155758</v>
      </c>
      <c r="AV311" s="67">
        <f t="shared" si="216"/>
        <v>1931.6174661746618</v>
      </c>
      <c r="AW311" s="67">
        <f t="shared" si="216"/>
        <v>1931.1978848891602</v>
      </c>
      <c r="AX311" s="67">
        <f t="shared" si="216"/>
        <v>1963.7929999999999</v>
      </c>
      <c r="AY311" s="67">
        <f t="shared" si="216"/>
        <v>1965.8618665623164</v>
      </c>
      <c r="AZ311" s="67">
        <f t="shared" si="216"/>
        <v>2037.0732878686008</v>
      </c>
      <c r="BA311" s="67">
        <f t="shared" si="216"/>
        <v>2062.682279321134</v>
      </c>
      <c r="BB311" s="67">
        <f t="shared" si="216"/>
        <v>2076.2108157653529</v>
      </c>
      <c r="BC311" s="67">
        <f t="shared" si="216"/>
        <v>1949.7986807161826</v>
      </c>
      <c r="BD311" s="67">
        <f t="shared" si="216"/>
        <v>1923.2251986565088</v>
      </c>
      <c r="BE311" s="67">
        <f t="shared" si="216"/>
        <v>1950.0518630814647</v>
      </c>
      <c r="BF311" s="67">
        <f t="shared" si="216"/>
        <v>1999.3137101811369</v>
      </c>
      <c r="BG311" s="67">
        <f t="shared" si="216"/>
        <v>1958.6362245678447</v>
      </c>
      <c r="BH311" s="67">
        <f t="shared" si="216"/>
        <v>0</v>
      </c>
    </row>
    <row r="312" spans="1:60" s="67" customFormat="1" x14ac:dyDescent="0.25">
      <c r="A312" s="67" t="str">
        <f t="shared" ref="A312:E312" si="221">A137</f>
        <v>HHS</v>
      </c>
      <c r="B312" s="67" t="str">
        <f t="shared" si="221"/>
        <v>NIH</v>
      </c>
      <c r="C312" s="67" t="str">
        <f t="shared" si="221"/>
        <v>NINDS</v>
      </c>
      <c r="D312" s="67" t="str">
        <f t="shared" si="221"/>
        <v>Steady</v>
      </c>
      <c r="E312" s="67" t="str">
        <f t="shared" si="221"/>
        <v>Subprograms</v>
      </c>
      <c r="F312" s="67" t="s">
        <v>90</v>
      </c>
      <c r="H312" s="67" t="str">
        <f t="shared" si="213"/>
        <v>National Institute of Neurological Disorders and Stroke</v>
      </c>
      <c r="I312" s="67">
        <f t="shared" si="214"/>
        <v>530.32378116858945</v>
      </c>
      <c r="J312" s="67">
        <f t="shared" si="216"/>
        <v>502.59568545581072</v>
      </c>
      <c r="K312" s="67">
        <f t="shared" si="216"/>
        <v>504.54250486696952</v>
      </c>
      <c r="L312" s="67">
        <f t="shared" si="216"/>
        <v>542.52964426877463</v>
      </c>
      <c r="M312" s="67">
        <f t="shared" si="216"/>
        <v>597.3699015471168</v>
      </c>
      <c r="N312" s="67">
        <f t="shared" si="216"/>
        <v>626.04398447606729</v>
      </c>
      <c r="O312" s="67">
        <f t="shared" si="216"/>
        <v>595.03534401508011</v>
      </c>
      <c r="P312" s="67">
        <f t="shared" si="216"/>
        <v>585.81405595946239</v>
      </c>
      <c r="Q312" s="67">
        <f t="shared" si="216"/>
        <v>627.11420730420105</v>
      </c>
      <c r="R312" s="67">
        <f t="shared" si="216"/>
        <v>684.49765640921123</v>
      </c>
      <c r="S312" s="67">
        <f t="shared" si="216"/>
        <v>782.65628081246302</v>
      </c>
      <c r="T312" s="67">
        <f t="shared" si="216"/>
        <v>799.85920925747348</v>
      </c>
      <c r="U312" s="67">
        <f t="shared" si="216"/>
        <v>924.79343520090549</v>
      </c>
      <c r="V312" s="67">
        <f t="shared" si="216"/>
        <v>976.96327425543575</v>
      </c>
      <c r="W312" s="67">
        <f t="shared" si="216"/>
        <v>829.45381102915348</v>
      </c>
      <c r="X312" s="67">
        <f t="shared" si="216"/>
        <v>830.92002710945451</v>
      </c>
      <c r="Y312" s="67">
        <f t="shared" si="216"/>
        <v>886.21462457058738</v>
      </c>
      <c r="Z312" s="67">
        <f t="shared" si="216"/>
        <v>922.33961059687192</v>
      </c>
      <c r="AA312" s="67">
        <f t="shared" si="216"/>
        <v>935.72119133011074</v>
      </c>
      <c r="AB312" s="67">
        <f t="shared" si="216"/>
        <v>962.38364108042117</v>
      </c>
      <c r="AC312" s="67">
        <f t="shared" si="216"/>
        <v>937.00687387925871</v>
      </c>
      <c r="AD312" s="67">
        <f t="shared" si="216"/>
        <v>998.6828982106191</v>
      </c>
      <c r="AE312" s="67">
        <f t="shared" si="216"/>
        <v>1046.8468078973917</v>
      </c>
      <c r="AF312" s="67">
        <f t="shared" si="216"/>
        <v>1111.1770566467405</v>
      </c>
      <c r="AG312" s="67">
        <f t="shared" si="216"/>
        <v>1269.0566568255306</v>
      </c>
      <c r="AH312" s="67">
        <f t="shared" si="216"/>
        <v>1417.6780057843273</v>
      </c>
      <c r="AI312" s="67">
        <f t="shared" si="216"/>
        <v>1581.0864595939222</v>
      </c>
      <c r="AJ312" s="67">
        <f t="shared" si="216"/>
        <v>1756.243050039714</v>
      </c>
      <c r="AK312" s="67">
        <f t="shared" si="216"/>
        <v>1846.679345758844</v>
      </c>
      <c r="AL312" s="67">
        <f t="shared" si="216"/>
        <v>1847.1846929986466</v>
      </c>
      <c r="AM312" s="67">
        <f t="shared" si="216"/>
        <v>1834.6418782028366</v>
      </c>
      <c r="AN312" s="67">
        <f t="shared" si="216"/>
        <v>1780.0475527719789</v>
      </c>
      <c r="AO312" s="67">
        <f t="shared" si="216"/>
        <v>1744.7392341779343</v>
      </c>
      <c r="AP312" s="67">
        <f t="shared" si="216"/>
        <v>1745.7125182769093</v>
      </c>
      <c r="AQ312" s="67">
        <f t="shared" si="216"/>
        <v>1773.8481266726137</v>
      </c>
      <c r="AR312" s="67">
        <f t="shared" si="216"/>
        <v>1785.712724092698</v>
      </c>
      <c r="AS312" s="67">
        <f t="shared" si="216"/>
        <v>1738.5398325101999</v>
      </c>
      <c r="AT312" s="67">
        <f t="shared" si="216"/>
        <v>1711.8464620900559</v>
      </c>
      <c r="AU312" s="67">
        <f t="shared" si="216"/>
        <v>1587.0836785418394</v>
      </c>
      <c r="AV312" s="67">
        <f t="shared" si="216"/>
        <v>1628.6428864288644</v>
      </c>
      <c r="AW312" s="67">
        <f t="shared" si="216"/>
        <v>1631.6931055521659</v>
      </c>
      <c r="AX312" s="67">
        <f t="shared" si="216"/>
        <v>1692.8320000000001</v>
      </c>
      <c r="AY312" s="67">
        <f t="shared" si="216"/>
        <v>1740.0586969281942</v>
      </c>
      <c r="AZ312" s="67">
        <f t="shared" si="216"/>
        <v>2101.7664009221016</v>
      </c>
      <c r="BA312" s="67">
        <f t="shared" si="216"/>
        <v>2129.8075282070731</v>
      </c>
      <c r="BB312" s="67">
        <f t="shared" si="216"/>
        <v>2242.5087076076998</v>
      </c>
      <c r="BC312" s="67">
        <f t="shared" ref="J312:BH317" si="222">BC137/BC$175</f>
        <v>2145.121219909192</v>
      </c>
      <c r="BD312" s="67">
        <f t="shared" si="222"/>
        <v>2135.8155156877206</v>
      </c>
      <c r="BE312" s="67">
        <f t="shared" si="222"/>
        <v>2212.5588446501233</v>
      </c>
      <c r="BF312" s="67">
        <f t="shared" si="222"/>
        <v>2100.1912866958155</v>
      </c>
      <c r="BG312" s="67">
        <f t="shared" si="222"/>
        <v>2057.4613737188315</v>
      </c>
      <c r="BH312" s="67">
        <f t="shared" si="222"/>
        <v>0</v>
      </c>
    </row>
    <row r="313" spans="1:60" s="67" customFormat="1" x14ac:dyDescent="0.25">
      <c r="A313" s="67" t="str">
        <f t="shared" ref="A313:E313" si="223">A138</f>
        <v>HHS</v>
      </c>
      <c r="B313" s="67" t="str">
        <f t="shared" si="223"/>
        <v>NIH</v>
      </c>
      <c r="C313" s="67" t="str">
        <f t="shared" si="223"/>
        <v>NIAID</v>
      </c>
      <c r="D313" s="67" t="str">
        <f t="shared" si="223"/>
        <v>Steady</v>
      </c>
      <c r="E313" s="67" t="str">
        <f t="shared" si="223"/>
        <v>Subprograms</v>
      </c>
      <c r="F313" s="67" t="s">
        <v>90</v>
      </c>
      <c r="H313" s="67" t="str">
        <f t="shared" si="213"/>
        <v>National Institute of Allergy and Infectious Diseases</v>
      </c>
      <c r="I313" s="67">
        <f t="shared" si="214"/>
        <v>444.55526609601787</v>
      </c>
      <c r="J313" s="67">
        <f t="shared" si="222"/>
        <v>441.37787056367438</v>
      </c>
      <c r="K313" s="67">
        <f t="shared" si="222"/>
        <v>457.49513303049969</v>
      </c>
      <c r="L313" s="67">
        <f t="shared" si="222"/>
        <v>493.58771663119489</v>
      </c>
      <c r="M313" s="67">
        <f t="shared" si="222"/>
        <v>538.19409282700428</v>
      </c>
      <c r="N313" s="67">
        <f t="shared" si="222"/>
        <v>557.21604139715396</v>
      </c>
      <c r="O313" s="67">
        <f t="shared" si="222"/>
        <v>546.83553251649391</v>
      </c>
      <c r="P313" s="67">
        <f t="shared" si="222"/>
        <v>519.70698391716235</v>
      </c>
      <c r="Q313" s="67">
        <f t="shared" si="222"/>
        <v>589.25269157694743</v>
      </c>
      <c r="R313" s="67">
        <f t="shared" si="222"/>
        <v>651.30629712655389</v>
      </c>
      <c r="S313" s="67">
        <f t="shared" si="222"/>
        <v>731.54210214947739</v>
      </c>
      <c r="T313" s="67">
        <f t="shared" si="222"/>
        <v>707.74156219865006</v>
      </c>
      <c r="U313" s="67">
        <f t="shared" si="222"/>
        <v>1029.0945104697228</v>
      </c>
      <c r="V313" s="67">
        <f t="shared" si="222"/>
        <v>1167.1843595834093</v>
      </c>
      <c r="W313" s="67">
        <f t="shared" si="222"/>
        <v>1300.064980681419</v>
      </c>
      <c r="X313" s="67">
        <f t="shared" si="222"/>
        <v>1411.3470010166047</v>
      </c>
      <c r="Y313" s="67">
        <f t="shared" si="222"/>
        <v>1482.4979551774907</v>
      </c>
      <c r="Z313" s="67">
        <f t="shared" si="222"/>
        <v>1530.61283115225</v>
      </c>
      <c r="AA313" s="67">
        <f t="shared" si="222"/>
        <v>1527.3210665835022</v>
      </c>
      <c r="AB313" s="67">
        <f t="shared" si="222"/>
        <v>1626.0994964138563</v>
      </c>
      <c r="AC313" s="67">
        <f t="shared" si="222"/>
        <v>799.75941422594133</v>
      </c>
      <c r="AD313" s="67">
        <f t="shared" si="222"/>
        <v>1713.8207685538282</v>
      </c>
      <c r="AE313" s="67">
        <f t="shared" si="222"/>
        <v>1811.0087908920596</v>
      </c>
      <c r="AF313" s="67">
        <f t="shared" si="222"/>
        <v>1923.7902077996014</v>
      </c>
      <c r="AG313" s="67">
        <f t="shared" si="222"/>
        <v>2205.9088991986505</v>
      </c>
      <c r="AH313" s="67">
        <f t="shared" si="222"/>
        <v>2476.2952761327642</v>
      </c>
      <c r="AI313" s="67">
        <f t="shared" si="222"/>
        <v>2744.5529111200754</v>
      </c>
      <c r="AJ313" s="67">
        <f t="shared" si="222"/>
        <v>3133.8535875033099</v>
      </c>
      <c r="AK313" s="67">
        <f t="shared" si="222"/>
        <v>4699.786991251427</v>
      </c>
      <c r="AL313" s="67">
        <f t="shared" si="222"/>
        <v>5296.6186784791435</v>
      </c>
      <c r="AM313" s="67">
        <f t="shared" si="222"/>
        <v>5247.0992730306289</v>
      </c>
      <c r="AN313" s="67">
        <f t="shared" si="222"/>
        <v>5120.3908605891911</v>
      </c>
      <c r="AO313" s="67">
        <f t="shared" si="222"/>
        <v>5018.9842063401884</v>
      </c>
      <c r="AP313" s="67">
        <f t="shared" si="222"/>
        <v>5155.0376785513445</v>
      </c>
      <c r="AQ313" s="67">
        <f t="shared" si="222"/>
        <v>5241.3001784121316</v>
      </c>
      <c r="AR313" s="67">
        <f t="shared" si="222"/>
        <v>5263.9112374289471</v>
      </c>
      <c r="AS313" s="67">
        <f t="shared" si="222"/>
        <v>5119.3697659437403</v>
      </c>
      <c r="AT313" s="67">
        <f t="shared" si="222"/>
        <v>4726.7415374881366</v>
      </c>
      <c r="AU313" s="67">
        <f t="shared" si="222"/>
        <v>4382.2473073736528</v>
      </c>
      <c r="AV313" s="67">
        <f t="shared" si="222"/>
        <v>4511.2710127101273</v>
      </c>
      <c r="AW313" s="67">
        <f t="shared" si="222"/>
        <v>4492.1273134024814</v>
      </c>
      <c r="AX313" s="67">
        <f t="shared" si="222"/>
        <v>4749.8969999999999</v>
      </c>
      <c r="AY313" s="67">
        <f t="shared" si="222"/>
        <v>4799.1762864410093</v>
      </c>
      <c r="AZ313" s="67">
        <f t="shared" si="222"/>
        <v>5052.5501873018929</v>
      </c>
      <c r="BA313" s="67">
        <f t="shared" si="222"/>
        <v>5257.5471698113215</v>
      </c>
      <c r="BB313" s="67">
        <f t="shared" si="222"/>
        <v>5386.0632447296057</v>
      </c>
      <c r="BC313" s="67">
        <f t="shared" si="222"/>
        <v>5182.044033239099</v>
      </c>
      <c r="BD313" s="67">
        <f t="shared" si="222"/>
        <v>5179.1431146063742</v>
      </c>
      <c r="BE313" s="67">
        <f t="shared" si="222"/>
        <v>5397.7499401579826</v>
      </c>
      <c r="BF313" s="67">
        <f t="shared" si="222"/>
        <v>5123.5782323547792</v>
      </c>
      <c r="BG313" s="67">
        <f t="shared" si="222"/>
        <v>5018.8557442251804</v>
      </c>
      <c r="BH313" s="67">
        <f t="shared" si="222"/>
        <v>3193.3340982101886</v>
      </c>
    </row>
    <row r="314" spans="1:60" s="67" customFormat="1" x14ac:dyDescent="0.25">
      <c r="A314" s="67" t="str">
        <f t="shared" ref="A314:E314" si="224">A139</f>
        <v>HHS</v>
      </c>
      <c r="B314" s="67" t="str">
        <f t="shared" si="224"/>
        <v>NIH</v>
      </c>
      <c r="C314" s="67" t="str">
        <f t="shared" si="224"/>
        <v>NIGMS</v>
      </c>
      <c r="D314" s="67" t="str">
        <f t="shared" si="224"/>
        <v>Steady</v>
      </c>
      <c r="E314" s="67" t="str">
        <f t="shared" si="224"/>
        <v>Subprograms</v>
      </c>
      <c r="F314" s="67" t="s">
        <v>90</v>
      </c>
      <c r="H314" s="67" t="str">
        <f t="shared" si="213"/>
        <v>National Institute of General Medical Sciences </v>
      </c>
      <c r="I314" s="67">
        <f t="shared" si="214"/>
        <v>697.43208038704881</v>
      </c>
      <c r="J314" s="67">
        <f t="shared" si="222"/>
        <v>651.74669450243573</v>
      </c>
      <c r="K314" s="67">
        <f t="shared" si="222"/>
        <v>665.15249837767692</v>
      </c>
      <c r="L314" s="67">
        <f t="shared" si="222"/>
        <v>701.72088780784429</v>
      </c>
      <c r="M314" s="67">
        <f t="shared" si="222"/>
        <v>780.9507735583685</v>
      </c>
      <c r="N314" s="67">
        <f t="shared" si="222"/>
        <v>808.45536869340231</v>
      </c>
      <c r="O314" s="67">
        <f t="shared" si="222"/>
        <v>79.55702167766259</v>
      </c>
      <c r="P314" s="67">
        <f t="shared" si="222"/>
        <v>748.75963868693543</v>
      </c>
      <c r="Q314" s="67">
        <f t="shared" si="222"/>
        <v>780.69031032298915</v>
      </c>
      <c r="R314" s="67">
        <f t="shared" si="222"/>
        <v>847.64010597106176</v>
      </c>
      <c r="S314" s="67">
        <f t="shared" si="222"/>
        <v>951.01557878130541</v>
      </c>
      <c r="T314" s="67">
        <f t="shared" si="222"/>
        <v>950.10607521697204</v>
      </c>
      <c r="U314" s="67">
        <f t="shared" si="222"/>
        <v>1076.9967930579137</v>
      </c>
      <c r="V314" s="67">
        <f t="shared" si="222"/>
        <v>1155.9948839758817</v>
      </c>
      <c r="W314" s="67">
        <f t="shared" si="222"/>
        <v>1198.1260976466456</v>
      </c>
      <c r="X314" s="67">
        <f t="shared" si="222"/>
        <v>1155.1711284310404</v>
      </c>
      <c r="Y314" s="67">
        <f t="shared" si="222"/>
        <v>1243.2684442990349</v>
      </c>
      <c r="Z314" s="67">
        <f t="shared" si="222"/>
        <v>1303.6131503351421</v>
      </c>
      <c r="AA314" s="67">
        <f t="shared" si="222"/>
        <v>1298.2707001403401</v>
      </c>
      <c r="AB314" s="67">
        <f t="shared" si="222"/>
        <v>1336.0460857622463</v>
      </c>
      <c r="AC314" s="67">
        <f t="shared" si="222"/>
        <v>1310.1882845188284</v>
      </c>
      <c r="AD314" s="67">
        <f t="shared" si="222"/>
        <v>1388.8178351422705</v>
      </c>
      <c r="AE314" s="67">
        <f t="shared" si="222"/>
        <v>1438.8053033578326</v>
      </c>
      <c r="AF314" s="67">
        <f t="shared" si="222"/>
        <v>1517.1463136920011</v>
      </c>
      <c r="AG314" s="67">
        <f t="shared" si="222"/>
        <v>1682.870799943765</v>
      </c>
      <c r="AH314" s="67">
        <f t="shared" si="222"/>
        <v>1865.3353532571273</v>
      </c>
      <c r="AI314" s="67">
        <f t="shared" si="222"/>
        <v>2064.5125722737662</v>
      </c>
      <c r="AJ314" s="67">
        <f t="shared" si="222"/>
        <v>2283.2922954725973</v>
      </c>
      <c r="AK314" s="67">
        <f t="shared" si="222"/>
        <v>2341.8283250919235</v>
      </c>
      <c r="AL314" s="67">
        <f t="shared" si="222"/>
        <v>2343.8390550018457</v>
      </c>
      <c r="AM314" s="67">
        <f t="shared" si="222"/>
        <v>2316.847813133119</v>
      </c>
      <c r="AN314" s="67">
        <f t="shared" si="222"/>
        <v>2244.9756437021574</v>
      </c>
      <c r="AO314" s="67">
        <f t="shared" si="222"/>
        <v>2199.5318713782526</v>
      </c>
      <c r="AP314" s="67">
        <f t="shared" si="222"/>
        <v>2188.8471488021596</v>
      </c>
      <c r="AQ314" s="67">
        <f t="shared" si="222"/>
        <v>2224.1001338090991</v>
      </c>
      <c r="AR314" s="67">
        <f t="shared" si="222"/>
        <v>2239.0282028858769</v>
      </c>
      <c r="AS314" s="67">
        <f t="shared" si="222"/>
        <v>2542.9375134206571</v>
      </c>
      <c r="AT314" s="67">
        <f t="shared" si="222"/>
        <v>2557.7580934303487</v>
      </c>
      <c r="AU314" s="67">
        <f t="shared" si="222"/>
        <v>2373.1296603148303</v>
      </c>
      <c r="AV314" s="67">
        <f t="shared" si="222"/>
        <v>2425.7052070520704</v>
      </c>
      <c r="AW314" s="67">
        <f t="shared" si="222"/>
        <v>2412.3459426479558</v>
      </c>
      <c r="AX314" s="67">
        <f t="shared" si="222"/>
        <v>2508.96</v>
      </c>
      <c r="AY314" s="67">
        <f t="shared" si="222"/>
        <v>2588.6832322441792</v>
      </c>
      <c r="AZ314" s="67">
        <f t="shared" si="222"/>
        <v>2675.4394390548459</v>
      </c>
      <c r="BA314" s="67">
        <f t="shared" si="222"/>
        <v>2675.5285863278659</v>
      </c>
      <c r="BB314" s="67">
        <f t="shared" si="222"/>
        <v>2692.225481209899</v>
      </c>
      <c r="BC314" s="67">
        <f t="shared" si="222"/>
        <v>245.00985179474</v>
      </c>
      <c r="BD314" s="67">
        <f t="shared" si="222"/>
        <v>2533.2784467928241</v>
      </c>
      <c r="BE314" s="67">
        <f t="shared" si="222"/>
        <v>2585.1751376366392</v>
      </c>
      <c r="BF314" s="67">
        <f t="shared" si="222"/>
        <v>2533.3221424109934</v>
      </c>
      <c r="BG314" s="67">
        <f t="shared" si="222"/>
        <v>2481.7798684411814</v>
      </c>
      <c r="BH314" s="67">
        <f t="shared" si="222"/>
        <v>0</v>
      </c>
    </row>
    <row r="315" spans="1:60" s="67" customFormat="1" x14ac:dyDescent="0.25">
      <c r="A315" s="67" t="str">
        <f t="shared" ref="A315:E315" si="225">A140</f>
        <v>HHS</v>
      </c>
      <c r="B315" s="67" t="str">
        <f t="shared" si="225"/>
        <v>NIH</v>
      </c>
      <c r="C315" s="67" t="str">
        <f t="shared" si="225"/>
        <v>NICHD</v>
      </c>
      <c r="D315" s="67" t="str">
        <f t="shared" si="225"/>
        <v>Steady</v>
      </c>
      <c r="E315" s="67" t="str">
        <f t="shared" si="225"/>
        <v>Subprograms</v>
      </c>
      <c r="F315" s="67" t="s">
        <v>90</v>
      </c>
      <c r="H315" s="67" t="str">
        <f t="shared" si="213"/>
        <v>Eunice Kennedy Shriver National Institute of Child Health and Human Development </v>
      </c>
      <c r="I315" s="67">
        <f t="shared" si="214"/>
        <v>530.0893189430592</v>
      </c>
      <c r="J315" s="67">
        <f t="shared" si="222"/>
        <v>474.61377870563678</v>
      </c>
      <c r="K315" s="67">
        <f t="shared" si="222"/>
        <v>472.23556132381577</v>
      </c>
      <c r="L315" s="67">
        <f t="shared" si="222"/>
        <v>505.89844937671018</v>
      </c>
      <c r="M315" s="67">
        <f t="shared" si="222"/>
        <v>555.94655414908584</v>
      </c>
      <c r="N315" s="67">
        <f t="shared" si="222"/>
        <v>540.62871927554977</v>
      </c>
      <c r="O315" s="67">
        <f t="shared" si="222"/>
        <v>519.85862393967955</v>
      </c>
      <c r="P315" s="67">
        <f t="shared" si="222"/>
        <v>498.58779466842913</v>
      </c>
      <c r="Q315" s="67">
        <f t="shared" si="222"/>
        <v>536.88832594469079</v>
      </c>
      <c r="R315" s="67">
        <f t="shared" si="222"/>
        <v>562.5555329121662</v>
      </c>
      <c r="S315" s="67">
        <f t="shared" si="222"/>
        <v>617.81699861960169</v>
      </c>
      <c r="T315" s="67">
        <f t="shared" si="222"/>
        <v>593.94021215043404</v>
      </c>
      <c r="U315" s="67">
        <f t="shared" si="222"/>
        <v>691.90718732314656</v>
      </c>
      <c r="V315" s="67">
        <f t="shared" si="222"/>
        <v>725.0338023022108</v>
      </c>
      <c r="W315" s="67">
        <f t="shared" si="222"/>
        <v>747.05830698981379</v>
      </c>
      <c r="X315" s="67">
        <f t="shared" si="222"/>
        <v>750.44730599796685</v>
      </c>
      <c r="Y315" s="67">
        <f t="shared" si="222"/>
        <v>783.50400785211855</v>
      </c>
      <c r="Z315" s="67">
        <f t="shared" si="222"/>
        <v>827.08426428343432</v>
      </c>
      <c r="AA315" s="67">
        <f t="shared" si="222"/>
        <v>822.99703726804933</v>
      </c>
      <c r="AB315" s="67">
        <f t="shared" si="222"/>
        <v>847.72012818556379</v>
      </c>
      <c r="AC315" s="67">
        <f t="shared" si="222"/>
        <v>765.3392109982068</v>
      </c>
      <c r="AD315" s="67">
        <f t="shared" si="222"/>
        <v>872.02552068055161</v>
      </c>
      <c r="AE315" s="67">
        <f t="shared" si="222"/>
        <v>909.8789450929529</v>
      </c>
      <c r="AF315" s="67">
        <f t="shared" si="222"/>
        <v>960.38428693424419</v>
      </c>
      <c r="AG315" s="67">
        <f t="shared" si="222"/>
        <v>1055.0892731618164</v>
      </c>
      <c r="AH315" s="67">
        <f t="shared" si="222"/>
        <v>1182.0561906073544</v>
      </c>
      <c r="AI315" s="67">
        <f t="shared" si="222"/>
        <v>1312.0424902514453</v>
      </c>
      <c r="AJ315" s="67">
        <f t="shared" si="222"/>
        <v>1471.6362192216045</v>
      </c>
      <c r="AK315" s="67">
        <f t="shared" si="222"/>
        <v>1529.0059591733232</v>
      </c>
      <c r="AL315" s="67">
        <f t="shared" si="222"/>
        <v>1528.6834010089826</v>
      </c>
      <c r="AM315" s="67">
        <f t="shared" si="222"/>
        <v>1513.9089500655464</v>
      </c>
      <c r="AN315" s="67">
        <f t="shared" si="222"/>
        <v>1466.9090698213872</v>
      </c>
      <c r="AO315" s="67">
        <f t="shared" si="222"/>
        <v>1425.6414043858654</v>
      </c>
      <c r="AP315" s="67">
        <f t="shared" si="222"/>
        <v>1418.7166797885502</v>
      </c>
      <c r="AQ315" s="67">
        <f t="shared" si="222"/>
        <v>1441.7395182872435</v>
      </c>
      <c r="AR315" s="67">
        <f t="shared" si="222"/>
        <v>1451.0133362483602</v>
      </c>
      <c r="AS315" s="67">
        <f t="shared" si="222"/>
        <v>1412.5381146660939</v>
      </c>
      <c r="AT315" s="67">
        <f t="shared" si="222"/>
        <v>1390.8499420014762</v>
      </c>
      <c r="AU315" s="67">
        <f t="shared" si="222"/>
        <v>1289.4821872410937</v>
      </c>
      <c r="AV315" s="67">
        <f t="shared" si="222"/>
        <v>1315.4346043460434</v>
      </c>
      <c r="AW315" s="67">
        <f t="shared" si="222"/>
        <v>1308.5916209070569</v>
      </c>
      <c r="AX315" s="67">
        <f t="shared" si="222"/>
        <v>1338.348</v>
      </c>
      <c r="AY315" s="67">
        <f t="shared" si="222"/>
        <v>1346.7110154568577</v>
      </c>
      <c r="AZ315" s="67">
        <f t="shared" si="222"/>
        <v>1394.6844683507829</v>
      </c>
      <c r="BA315" s="67">
        <f t="shared" si="222"/>
        <v>1423.3914857305394</v>
      </c>
      <c r="BB315" s="67">
        <f t="shared" si="222"/>
        <v>1427.0476626947755</v>
      </c>
      <c r="BC315" s="67">
        <f t="shared" si="222"/>
        <v>1360.4043519232416</v>
      </c>
      <c r="BD315" s="67">
        <f t="shared" si="222"/>
        <v>1377.2679610059804</v>
      </c>
      <c r="BE315" s="67">
        <f t="shared" si="222"/>
        <v>1394.7179446261869</v>
      </c>
      <c r="BF315" s="67">
        <f t="shared" si="222"/>
        <v>1373.4212991880077</v>
      </c>
      <c r="BG315" s="67">
        <f t="shared" si="222"/>
        <v>1345.4780480342665</v>
      </c>
      <c r="BH315" s="67">
        <f t="shared" si="222"/>
        <v>0</v>
      </c>
    </row>
    <row r="316" spans="1:60" s="67" customFormat="1" x14ac:dyDescent="0.25">
      <c r="A316" s="67" t="str">
        <f t="shared" ref="A316:E316" si="226">A141</f>
        <v>HHS</v>
      </c>
      <c r="B316" s="67" t="str">
        <f t="shared" si="226"/>
        <v>NIH</v>
      </c>
      <c r="C316" s="67" t="str">
        <f t="shared" si="226"/>
        <v>NEI</v>
      </c>
      <c r="D316" s="67" t="str">
        <f t="shared" si="226"/>
        <v>Steady</v>
      </c>
      <c r="E316" s="67" t="str">
        <f t="shared" si="226"/>
        <v>Subprograms</v>
      </c>
      <c r="F316" s="67" t="s">
        <v>90</v>
      </c>
      <c r="H316" s="67" t="str">
        <f t="shared" si="213"/>
        <v>National Eye Institute</v>
      </c>
      <c r="I316" s="67">
        <f t="shared" si="214"/>
        <v>164.24637141793824</v>
      </c>
      <c r="J316" s="67">
        <f t="shared" si="222"/>
        <v>174.71120389700766</v>
      </c>
      <c r="K316" s="67">
        <f t="shared" si="222"/>
        <v>207.65736534717718</v>
      </c>
      <c r="L316" s="67">
        <f t="shared" si="222"/>
        <v>259.65339008817267</v>
      </c>
      <c r="M316" s="67">
        <f t="shared" si="222"/>
        <v>295.8987341772152</v>
      </c>
      <c r="N316" s="67">
        <f t="shared" si="222"/>
        <v>292.33893919793013</v>
      </c>
      <c r="O316" s="67">
        <f t="shared" si="222"/>
        <v>277.99952874646561</v>
      </c>
      <c r="P316" s="67">
        <f t="shared" si="222"/>
        <v>280.62128222075347</v>
      </c>
      <c r="Q316" s="67">
        <f t="shared" si="222"/>
        <v>299.55879248469495</v>
      </c>
      <c r="R316" s="67">
        <f t="shared" si="222"/>
        <v>316.14224577134706</v>
      </c>
      <c r="S316" s="67">
        <f t="shared" si="222"/>
        <v>358.26858607769668</v>
      </c>
      <c r="T316" s="67">
        <f t="shared" si="222"/>
        <v>360.08678881388624</v>
      </c>
      <c r="U316" s="67">
        <f t="shared" si="222"/>
        <v>408.67194868892659</v>
      </c>
      <c r="V316" s="67">
        <f t="shared" si="222"/>
        <v>411.01224191485471</v>
      </c>
      <c r="W316" s="67">
        <f t="shared" si="222"/>
        <v>405.98876009834913</v>
      </c>
      <c r="X316" s="67">
        <f t="shared" si="222"/>
        <v>400.76753642832938</v>
      </c>
      <c r="Y316" s="67">
        <f t="shared" si="222"/>
        <v>414.26631768362512</v>
      </c>
      <c r="Z316" s="67">
        <f t="shared" si="222"/>
        <v>429.26587934886686</v>
      </c>
      <c r="AA316" s="67">
        <f t="shared" si="222"/>
        <v>430.66895368782161</v>
      </c>
      <c r="AB316" s="67">
        <f t="shared" si="222"/>
        <v>442.94216389439953</v>
      </c>
      <c r="AC316" s="67">
        <f t="shared" si="222"/>
        <v>434.98953974895403</v>
      </c>
      <c r="AD316" s="67">
        <f t="shared" si="222"/>
        <v>460.44734526254035</v>
      </c>
      <c r="AE316" s="67">
        <f t="shared" si="222"/>
        <v>479.31546332324541</v>
      </c>
      <c r="AF316" s="67">
        <f t="shared" si="222"/>
        <v>506.26117278679192</v>
      </c>
      <c r="AG316" s="67">
        <f t="shared" si="222"/>
        <v>556.15773935048503</v>
      </c>
      <c r="AH316" s="67">
        <f t="shared" si="222"/>
        <v>620.16251205068181</v>
      </c>
      <c r="AI316" s="67">
        <f t="shared" si="222"/>
        <v>686.23369638295003</v>
      </c>
      <c r="AJ316" s="67">
        <f t="shared" si="222"/>
        <v>768.74900714853061</v>
      </c>
      <c r="AK316" s="67">
        <f t="shared" si="222"/>
        <v>929.56510713832893</v>
      </c>
      <c r="AL316" s="67">
        <f t="shared" si="222"/>
        <v>803.55850867478784</v>
      </c>
      <c r="AM316" s="67">
        <f t="shared" si="222"/>
        <v>797.36622571803127</v>
      </c>
      <c r="AN316" s="67">
        <f t="shared" si="222"/>
        <v>773.31941544885183</v>
      </c>
      <c r="AO316" s="67">
        <f t="shared" si="222"/>
        <v>758.00022724690371</v>
      </c>
      <c r="AP316" s="67">
        <f t="shared" si="222"/>
        <v>754.31784951074121</v>
      </c>
      <c r="AQ316" s="67">
        <f t="shared" si="222"/>
        <v>766.4473684210526</v>
      </c>
      <c r="AR316" s="67">
        <f t="shared" si="222"/>
        <v>771.53476169654573</v>
      </c>
      <c r="AS316" s="67">
        <f t="shared" si="222"/>
        <v>751.18101782263261</v>
      </c>
      <c r="AT316" s="67">
        <f t="shared" si="222"/>
        <v>739.64673626489514</v>
      </c>
      <c r="AU316" s="67">
        <f t="shared" si="222"/>
        <v>685.73943661971828</v>
      </c>
      <c r="AV316" s="67">
        <f t="shared" si="222"/>
        <v>692.47949979499788</v>
      </c>
      <c r="AW316" s="67">
        <f t="shared" si="222"/>
        <v>688.18791946308727</v>
      </c>
      <c r="AX316" s="67">
        <f t="shared" si="222"/>
        <v>707.00699999999995</v>
      </c>
      <c r="AY316" s="67">
        <f t="shared" si="222"/>
        <v>715.33163764429662</v>
      </c>
      <c r="AZ316" s="67">
        <f t="shared" si="222"/>
        <v>741.8278743636539</v>
      </c>
      <c r="BA316" s="67">
        <f t="shared" si="222"/>
        <v>752.6149616004551</v>
      </c>
      <c r="BB316" s="67">
        <f t="shared" si="222"/>
        <v>754.65169569202578</v>
      </c>
      <c r="BC316" s="67">
        <f t="shared" si="222"/>
        <v>713.61261029726722</v>
      </c>
      <c r="BD316" s="67">
        <f t="shared" si="222"/>
        <v>707.58744982387157</v>
      </c>
      <c r="BE316" s="67">
        <f t="shared" si="222"/>
        <v>714.91263065507053</v>
      </c>
      <c r="BF316" s="67">
        <f t="shared" si="222"/>
        <v>699.99141161773889</v>
      </c>
      <c r="BG316" s="67">
        <f t="shared" si="222"/>
        <v>685.74957931772985</v>
      </c>
      <c r="BH316" s="67">
        <f t="shared" si="222"/>
        <v>0</v>
      </c>
    </row>
    <row r="317" spans="1:60" s="67" customFormat="1" x14ac:dyDescent="0.25">
      <c r="A317" s="67" t="str">
        <f t="shared" ref="A317:E317" si="227">A142</f>
        <v>HHS</v>
      </c>
      <c r="B317" s="67" t="str">
        <f t="shared" si="227"/>
        <v>NIH</v>
      </c>
      <c r="C317" s="67" t="str">
        <f t="shared" si="227"/>
        <v>NIEHS</v>
      </c>
      <c r="D317" s="67" t="str">
        <f t="shared" si="227"/>
        <v>Steady</v>
      </c>
      <c r="E317" s="67" t="str">
        <f t="shared" si="227"/>
        <v>Subprograms</v>
      </c>
      <c r="F317" s="67" t="s">
        <v>90</v>
      </c>
      <c r="H317" s="67" t="str">
        <f t="shared" si="213"/>
        <v>National Institute of Environmental Health Sciences</v>
      </c>
      <c r="I317" s="67">
        <f t="shared" si="214"/>
        <v>130.89318943059175</v>
      </c>
      <c r="J317" s="67">
        <f t="shared" si="222"/>
        <v>131.03688239387611</v>
      </c>
      <c r="K317" s="67">
        <f t="shared" si="222"/>
        <v>165.93445814406232</v>
      </c>
      <c r="L317" s="67">
        <f t="shared" si="222"/>
        <v>195.3207661903314</v>
      </c>
      <c r="M317" s="67">
        <f t="shared" si="222"/>
        <v>219.63431786216597</v>
      </c>
      <c r="N317" s="67">
        <f t="shared" si="222"/>
        <v>217.05821474773609</v>
      </c>
      <c r="O317" s="67">
        <f t="shared" si="222"/>
        <v>220.28982092365692</v>
      </c>
      <c r="P317" s="67">
        <f t="shared" si="222"/>
        <v>234.12645957259306</v>
      </c>
      <c r="Q317" s="67">
        <f t="shared" si="222"/>
        <v>348.04095419041585</v>
      </c>
      <c r="R317" s="67">
        <f t="shared" si="222"/>
        <v>368.01915630731605</v>
      </c>
      <c r="S317" s="67">
        <f t="shared" si="222"/>
        <v>384.18260698087158</v>
      </c>
      <c r="T317" s="67">
        <f t="shared" si="222"/>
        <v>364.48601735776276</v>
      </c>
      <c r="U317" s="67">
        <f t="shared" si="222"/>
        <v>394.81984531220525</v>
      </c>
      <c r="V317" s="67">
        <f t="shared" si="222"/>
        <v>394.05444911383154</v>
      </c>
      <c r="W317" s="67">
        <f t="shared" si="222"/>
        <v>392.76255707762556</v>
      </c>
      <c r="X317" s="67">
        <f t="shared" si="222"/>
        <v>507.00440528634363</v>
      </c>
      <c r="Y317" s="67">
        <f t="shared" si="222"/>
        <v>394.28758383772288</v>
      </c>
      <c r="Z317" s="67">
        <f t="shared" si="222"/>
        <v>396.70443664219596</v>
      </c>
      <c r="AA317" s="67">
        <f t="shared" si="222"/>
        <v>391.68407921409641</v>
      </c>
      <c r="AB317" s="67">
        <f t="shared" si="222"/>
        <v>403.24889363650243</v>
      </c>
      <c r="AC317" s="67">
        <f t="shared" si="222"/>
        <v>398.33532576210393</v>
      </c>
      <c r="AD317" s="67">
        <f t="shared" si="222"/>
        <v>422.96567908477562</v>
      </c>
      <c r="AE317" s="67">
        <f t="shared" si="222"/>
        <v>444.56982274102904</v>
      </c>
      <c r="AF317" s="67">
        <f t="shared" si="222"/>
        <v>469.83774551665243</v>
      </c>
      <c r="AG317" s="67">
        <f t="shared" si="222"/>
        <v>527.8982145367637</v>
      </c>
      <c r="AH317" s="67">
        <f t="shared" si="222"/>
        <v>609.34995179727309</v>
      </c>
      <c r="AI317" s="67">
        <f t="shared" si="222"/>
        <v>759.45945945945937</v>
      </c>
      <c r="AJ317" s="67">
        <f t="shared" si="222"/>
        <v>854.41090812814411</v>
      </c>
      <c r="AK317" s="67">
        <f t="shared" si="222"/>
        <v>884.70521110688492</v>
      </c>
      <c r="AL317" s="67">
        <f t="shared" si="222"/>
        <v>874.4936630983143</v>
      </c>
      <c r="AM317" s="67">
        <f t="shared" si="222"/>
        <v>863.24276010010726</v>
      </c>
      <c r="AN317" s="67">
        <f t="shared" si="222"/>
        <v>835.35142658315942</v>
      </c>
      <c r="AO317" s="67">
        <f t="shared" si="222"/>
        <v>819.36029996591299</v>
      </c>
      <c r="AP317" s="67">
        <f t="shared" si="222"/>
        <v>813.42368687436738</v>
      </c>
      <c r="AQ317" s="67">
        <f t="shared" si="222"/>
        <v>832.02943800178411</v>
      </c>
      <c r="AR317" s="67">
        <f t="shared" si="222"/>
        <v>846.29645824223883</v>
      </c>
      <c r="AS317" s="67">
        <f t="shared" si="222"/>
        <v>817.73244578054539</v>
      </c>
      <c r="AT317" s="67">
        <f t="shared" si="222"/>
        <v>721.60392280923759</v>
      </c>
      <c r="AU317" s="67">
        <f t="shared" si="222"/>
        <v>669.01201325600664</v>
      </c>
      <c r="AV317" s="67">
        <f t="shared" si="222"/>
        <v>682.4774497744977</v>
      </c>
      <c r="AW317" s="67">
        <f t="shared" si="222"/>
        <v>678.5977221883262</v>
      </c>
      <c r="AX317" s="67">
        <f t="shared" si="222"/>
        <v>692.57299999999998</v>
      </c>
      <c r="AY317" s="67">
        <f t="shared" si="222"/>
        <v>697.19135198591277</v>
      </c>
      <c r="AZ317" s="67">
        <f t="shared" si="222"/>
        <v>721.48977043511684</v>
      </c>
      <c r="BA317" s="67">
        <f t="shared" si="222"/>
        <v>806.83227458044939</v>
      </c>
      <c r="BB317" s="67">
        <f t="shared" si="222"/>
        <v>809.89734188817602</v>
      </c>
      <c r="BC317" s="67">
        <f t="shared" ref="J317:BH322" si="228">BC142/BC$175</f>
        <v>765.86995630943204</v>
      </c>
      <c r="BD317" s="67">
        <f t="shared" si="228"/>
        <v>825.13475874498238</v>
      </c>
      <c r="BE317" s="67">
        <f t="shared" si="228"/>
        <v>795.52780659060079</v>
      </c>
      <c r="BF317" s="67">
        <f t="shared" si="228"/>
        <v>778.4033416614617</v>
      </c>
      <c r="BG317" s="67">
        <f t="shared" si="228"/>
        <v>762.56616184794257</v>
      </c>
      <c r="BH317" s="67">
        <f t="shared" si="228"/>
        <v>0</v>
      </c>
    </row>
    <row r="318" spans="1:60" s="67" customFormat="1" x14ac:dyDescent="0.25">
      <c r="A318" s="67" t="str">
        <f t="shared" ref="A318:E318" si="229">A143</f>
        <v>HHS</v>
      </c>
      <c r="B318" s="67" t="str">
        <f t="shared" si="229"/>
        <v>NIH</v>
      </c>
      <c r="C318" s="67" t="str">
        <f t="shared" si="229"/>
        <v>NIA</v>
      </c>
      <c r="D318" s="67" t="str">
        <f t="shared" si="229"/>
        <v>Steady</v>
      </c>
      <c r="E318" s="67" t="str">
        <f t="shared" si="229"/>
        <v>Subprograms</v>
      </c>
      <c r="F318" s="67" t="s">
        <v>90</v>
      </c>
      <c r="H318" s="67" t="str">
        <f t="shared" si="213"/>
        <v>National Institute on Aging</v>
      </c>
      <c r="I318" s="67">
        <f t="shared" si="214"/>
        <v>0</v>
      </c>
      <c r="J318" s="67">
        <f t="shared" si="228"/>
        <v>67.112038970076554</v>
      </c>
      <c r="K318" s="67">
        <f t="shared" si="228"/>
        <v>97.339390006489296</v>
      </c>
      <c r="L318" s="67">
        <f t="shared" si="228"/>
        <v>113.42353298875037</v>
      </c>
      <c r="M318" s="67">
        <f t="shared" si="228"/>
        <v>160.08720112517582</v>
      </c>
      <c r="N318" s="67">
        <f t="shared" si="228"/>
        <v>181.08150064683053</v>
      </c>
      <c r="O318" s="67">
        <f t="shared" si="228"/>
        <v>178.15268614514611</v>
      </c>
      <c r="P318" s="67">
        <f t="shared" si="228"/>
        <v>180.44282881692004</v>
      </c>
      <c r="Q318" s="67">
        <f t="shared" si="228"/>
        <v>198.42938568714374</v>
      </c>
      <c r="R318" s="67">
        <f t="shared" si="228"/>
        <v>234.95414713674342</v>
      </c>
      <c r="S318" s="67">
        <f t="shared" si="228"/>
        <v>284.99507000591598</v>
      </c>
      <c r="T318" s="67">
        <f t="shared" si="228"/>
        <v>288.83702989392481</v>
      </c>
      <c r="U318" s="67">
        <f t="shared" si="228"/>
        <v>335.18392756083762</v>
      </c>
      <c r="V318" s="67">
        <f t="shared" si="228"/>
        <v>355.83044034350451</v>
      </c>
      <c r="W318" s="67">
        <f t="shared" si="228"/>
        <v>391.00632244467863</v>
      </c>
      <c r="X318" s="67">
        <f t="shared" si="228"/>
        <v>405.71840054218916</v>
      </c>
      <c r="Y318" s="67">
        <f t="shared" si="228"/>
        <v>529.61230165221662</v>
      </c>
      <c r="Z318" s="67">
        <f t="shared" si="228"/>
        <v>611.84487711458667</v>
      </c>
      <c r="AA318" s="67">
        <f t="shared" si="228"/>
        <v>623.61453297988464</v>
      </c>
      <c r="AB318" s="67">
        <f t="shared" si="228"/>
        <v>641.39020296047613</v>
      </c>
      <c r="AC318" s="67">
        <f t="shared" si="228"/>
        <v>645.53347280334719</v>
      </c>
      <c r="AD318" s="67">
        <f t="shared" si="228"/>
        <v>665.21120563215027</v>
      </c>
      <c r="AE318" s="67">
        <f t="shared" si="228"/>
        <v>700.1095258682808</v>
      </c>
      <c r="AF318" s="67">
        <f t="shared" si="228"/>
        <v>739.08198121263877</v>
      </c>
      <c r="AG318" s="67">
        <f t="shared" si="228"/>
        <v>838.07957261352442</v>
      </c>
      <c r="AH318" s="67">
        <f t="shared" si="228"/>
        <v>945.43313593169</v>
      </c>
      <c r="AI318" s="67">
        <f t="shared" si="228"/>
        <v>1056.3264757294608</v>
      </c>
      <c r="AJ318" s="67">
        <f t="shared" si="228"/>
        <v>1181.1848027535082</v>
      </c>
      <c r="AK318" s="67">
        <f t="shared" si="228"/>
        <v>1259.7920628882973</v>
      </c>
      <c r="AL318" s="67">
        <f t="shared" si="228"/>
        <v>1260.9253106927524</v>
      </c>
      <c r="AM318" s="67">
        <f t="shared" si="228"/>
        <v>1253.7123108092005</v>
      </c>
      <c r="AN318" s="67">
        <f t="shared" si="228"/>
        <v>1213.9074460681977</v>
      </c>
      <c r="AO318" s="67">
        <f t="shared" si="228"/>
        <v>1189.9329621633906</v>
      </c>
      <c r="AP318" s="67">
        <f t="shared" si="228"/>
        <v>1184.1525137779777</v>
      </c>
      <c r="AQ318" s="67">
        <f t="shared" si="228"/>
        <v>1203.1712756467439</v>
      </c>
      <c r="AR318" s="67">
        <f t="shared" si="228"/>
        <v>1211.4899431569743</v>
      </c>
      <c r="AS318" s="67">
        <f t="shared" si="228"/>
        <v>1179.5479922697016</v>
      </c>
      <c r="AT318" s="67">
        <f t="shared" si="228"/>
        <v>1181.4731625013183</v>
      </c>
      <c r="AU318" s="67">
        <f t="shared" si="228"/>
        <v>1076.7895608947804</v>
      </c>
      <c r="AV318" s="67">
        <f t="shared" si="228"/>
        <v>1201.0219352193524</v>
      </c>
      <c r="AW318" s="67">
        <f t="shared" si="228"/>
        <v>1217.7374415293878</v>
      </c>
      <c r="AX318" s="67">
        <f t="shared" si="228"/>
        <v>1596.0309999999999</v>
      </c>
      <c r="AY318" s="67">
        <f t="shared" si="228"/>
        <v>2004.3181373508119</v>
      </c>
      <c r="AZ318" s="67">
        <f t="shared" si="228"/>
        <v>2472.4723849774277</v>
      </c>
      <c r="BA318" s="67">
        <f t="shared" si="228"/>
        <v>2920.3346923295726</v>
      </c>
      <c r="BB318" s="67">
        <f t="shared" si="228"/>
        <v>3250.1090742438132</v>
      </c>
      <c r="BC318" s="67">
        <f t="shared" si="228"/>
        <v>3330.763299922899</v>
      </c>
      <c r="BD318" s="67">
        <f t="shared" si="228"/>
        <v>3459.1906283280086</v>
      </c>
      <c r="BE318" s="67">
        <f t="shared" si="228"/>
        <v>3520.3063911274235</v>
      </c>
      <c r="BF318" s="67">
        <f t="shared" si="228"/>
        <v>3519.3808557151779</v>
      </c>
      <c r="BG318" s="67">
        <f t="shared" si="228"/>
        <v>3451.1932078935297</v>
      </c>
      <c r="BH318" s="67">
        <f t="shared" si="228"/>
        <v>2054.8730304420992</v>
      </c>
    </row>
    <row r="319" spans="1:60" s="67" customFormat="1" x14ac:dyDescent="0.25">
      <c r="A319" s="67" t="str">
        <f t="shared" ref="A319:E319" si="230">A144</f>
        <v>HHS</v>
      </c>
      <c r="B319" s="67" t="str">
        <f t="shared" si="230"/>
        <v>NIH</v>
      </c>
      <c r="C319" s="67" t="str">
        <f t="shared" si="230"/>
        <v>NIAMS</v>
      </c>
      <c r="D319" s="67" t="str">
        <f t="shared" si="230"/>
        <v>Steady</v>
      </c>
      <c r="E319" s="67" t="str">
        <f t="shared" si="230"/>
        <v>Subprograms</v>
      </c>
      <c r="F319" s="67" t="s">
        <v>90</v>
      </c>
      <c r="H319" s="67" t="str">
        <f t="shared" si="213"/>
        <v>National Institute of Arthritis and Musculoskeletal and Skin Diseases</v>
      </c>
      <c r="I319" s="67">
        <f t="shared" si="214"/>
        <v>0</v>
      </c>
      <c r="J319" s="67">
        <f t="shared" si="228"/>
        <v>0</v>
      </c>
      <c r="K319" s="67">
        <f t="shared" si="228"/>
        <v>0</v>
      </c>
      <c r="L319" s="67">
        <f t="shared" si="228"/>
        <v>0</v>
      </c>
      <c r="M319" s="67">
        <f t="shared" si="228"/>
        <v>0</v>
      </c>
      <c r="N319" s="67">
        <f t="shared" si="228"/>
        <v>0</v>
      </c>
      <c r="O319" s="67">
        <f t="shared" si="228"/>
        <v>0</v>
      </c>
      <c r="P319" s="67">
        <f t="shared" si="228"/>
        <v>0</v>
      </c>
      <c r="Q319" s="67">
        <f t="shared" si="228"/>
        <v>0</v>
      </c>
      <c r="R319" s="67">
        <f t="shared" si="228"/>
        <v>0</v>
      </c>
      <c r="S319" s="67">
        <f t="shared" si="228"/>
        <v>0</v>
      </c>
      <c r="T319" s="67">
        <f t="shared" si="228"/>
        <v>0</v>
      </c>
      <c r="U319" s="67">
        <f t="shared" si="228"/>
        <v>261.67326919449158</v>
      </c>
      <c r="V319" s="67">
        <f t="shared" si="228"/>
        <v>269.83190206468117</v>
      </c>
      <c r="W319" s="67">
        <f t="shared" si="228"/>
        <v>280.80611169652263</v>
      </c>
      <c r="X319" s="67">
        <f t="shared" si="228"/>
        <v>286.22500847170454</v>
      </c>
      <c r="Y319" s="67">
        <f t="shared" si="228"/>
        <v>316.12465238017347</v>
      </c>
      <c r="Z319" s="67">
        <f t="shared" si="228"/>
        <v>324.04564315352695</v>
      </c>
      <c r="AA319" s="67">
        <f t="shared" si="228"/>
        <v>331.28956806486821</v>
      </c>
      <c r="AB319" s="67">
        <f t="shared" si="228"/>
        <v>340.72943689913018</v>
      </c>
      <c r="AC319" s="67">
        <f t="shared" si="228"/>
        <v>340.96832038254632</v>
      </c>
      <c r="AD319" s="67">
        <f t="shared" si="228"/>
        <v>354.43678498093283</v>
      </c>
      <c r="AE319" s="67">
        <f t="shared" si="228"/>
        <v>370.37469375990776</v>
      </c>
      <c r="AF319" s="67">
        <f t="shared" si="228"/>
        <v>391.06177056646737</v>
      </c>
      <c r="AG319" s="67">
        <f t="shared" si="228"/>
        <v>432.95374666104311</v>
      </c>
      <c r="AH319" s="67">
        <f t="shared" si="228"/>
        <v>481.98319790662447</v>
      </c>
      <c r="AI319" s="67">
        <f t="shared" si="228"/>
        <v>533.09130025547927</v>
      </c>
      <c r="AJ319" s="67">
        <f t="shared" si="228"/>
        <v>593.39158061953935</v>
      </c>
      <c r="AK319" s="67">
        <f t="shared" si="228"/>
        <v>616.38519082033724</v>
      </c>
      <c r="AL319" s="67">
        <f t="shared" si="228"/>
        <v>616.54485049833886</v>
      </c>
      <c r="AM319" s="67">
        <f t="shared" si="228"/>
        <v>609.17292337027766</v>
      </c>
      <c r="AN319" s="67">
        <f t="shared" si="228"/>
        <v>589.11157504059383</v>
      </c>
      <c r="AO319" s="67">
        <f t="shared" si="228"/>
        <v>577.47983183729127</v>
      </c>
      <c r="AP319" s="67">
        <f t="shared" si="228"/>
        <v>575.06579687324256</v>
      </c>
      <c r="AQ319" s="67">
        <f t="shared" si="228"/>
        <v>584.30642283675286</v>
      </c>
      <c r="AR319" s="67">
        <f t="shared" si="228"/>
        <v>588.25426322693488</v>
      </c>
      <c r="AS319" s="67">
        <f t="shared" si="228"/>
        <v>572.73996134850768</v>
      </c>
      <c r="AT319" s="67">
        <f t="shared" si="228"/>
        <v>563.94706316566487</v>
      </c>
      <c r="AU319" s="67">
        <f t="shared" si="228"/>
        <v>522.84589892294946</v>
      </c>
      <c r="AV319" s="67">
        <f t="shared" si="228"/>
        <v>533.36920869208689</v>
      </c>
      <c r="AW319" s="67">
        <f t="shared" si="228"/>
        <v>530.33150294895256</v>
      </c>
      <c r="AX319" s="67">
        <f t="shared" si="228"/>
        <v>540.91200000000003</v>
      </c>
      <c r="AY319" s="67">
        <f t="shared" si="228"/>
        <v>544.51770690667183</v>
      </c>
      <c r="AZ319" s="67">
        <f t="shared" si="228"/>
        <v>563.50110460090286</v>
      </c>
      <c r="BA319" s="67">
        <f t="shared" si="228"/>
        <v>571.64881008817679</v>
      </c>
      <c r="BB319" s="67">
        <f t="shared" si="228"/>
        <v>572.76718606782765</v>
      </c>
      <c r="BC319" s="67">
        <f t="shared" si="228"/>
        <v>541.42037179816668</v>
      </c>
      <c r="BD319" s="67">
        <f t="shared" si="228"/>
        <v>538.93094126320977</v>
      </c>
      <c r="BE319" s="67">
        <f t="shared" si="228"/>
        <v>548.95076996728631</v>
      </c>
      <c r="BF319" s="67">
        <f t="shared" si="228"/>
        <v>535.18504059962527</v>
      </c>
      <c r="BG319" s="67">
        <f t="shared" si="228"/>
        <v>524.29631329355982</v>
      </c>
      <c r="BH319" s="67">
        <f t="shared" si="228"/>
        <v>0</v>
      </c>
    </row>
    <row r="320" spans="1:60" s="67" customFormat="1" x14ac:dyDescent="0.25">
      <c r="A320" s="67" t="str">
        <f t="shared" ref="A320:E320" si="231">A145</f>
        <v>HHS</v>
      </c>
      <c r="B320" s="67" t="str">
        <f t="shared" si="231"/>
        <v>NIH</v>
      </c>
      <c r="C320" s="67" t="str">
        <f t="shared" si="231"/>
        <v>NIDCD</v>
      </c>
      <c r="D320" s="67" t="str">
        <f t="shared" si="231"/>
        <v>Steady</v>
      </c>
      <c r="E320" s="67" t="str">
        <f t="shared" si="231"/>
        <v>Subprograms</v>
      </c>
      <c r="F320" s="67" t="s">
        <v>90</v>
      </c>
      <c r="H320" s="67" t="str">
        <f t="shared" si="213"/>
        <v>National Institute on Deafness and Other Communication Disorders</v>
      </c>
      <c r="I320" s="67">
        <f t="shared" si="214"/>
        <v>0</v>
      </c>
      <c r="J320" s="67">
        <f t="shared" si="228"/>
        <v>0</v>
      </c>
      <c r="K320" s="67">
        <f t="shared" si="228"/>
        <v>0</v>
      </c>
      <c r="L320" s="67">
        <f t="shared" si="228"/>
        <v>0</v>
      </c>
      <c r="M320" s="67">
        <f t="shared" si="228"/>
        <v>0</v>
      </c>
      <c r="N320" s="67">
        <f t="shared" si="228"/>
        <v>0</v>
      </c>
      <c r="O320" s="67">
        <f t="shared" si="228"/>
        <v>0</v>
      </c>
      <c r="P320" s="67">
        <f t="shared" si="228"/>
        <v>0</v>
      </c>
      <c r="Q320" s="67">
        <f t="shared" si="228"/>
        <v>0</v>
      </c>
      <c r="R320" s="67">
        <f t="shared" si="228"/>
        <v>0</v>
      </c>
      <c r="S320" s="67">
        <f t="shared" si="228"/>
        <v>0</v>
      </c>
      <c r="T320" s="67">
        <f t="shared" si="228"/>
        <v>0</v>
      </c>
      <c r="U320" s="67">
        <f t="shared" si="228"/>
        <v>0</v>
      </c>
      <c r="V320" s="67">
        <f t="shared" si="228"/>
        <v>0</v>
      </c>
      <c r="W320" s="67">
        <f t="shared" si="228"/>
        <v>165.37759044608359</v>
      </c>
      <c r="X320" s="67">
        <f t="shared" si="228"/>
        <v>199.22568620806507</v>
      </c>
      <c r="Y320" s="67">
        <f t="shared" si="228"/>
        <v>220.73450024537871</v>
      </c>
      <c r="Z320" s="67">
        <f t="shared" si="228"/>
        <v>237.4545164379189</v>
      </c>
      <c r="AA320" s="67">
        <f t="shared" si="228"/>
        <v>241.40651801029159</v>
      </c>
      <c r="AB320" s="67">
        <f t="shared" si="228"/>
        <v>248.47092934533802</v>
      </c>
      <c r="AC320" s="67">
        <f t="shared" si="228"/>
        <v>249.04363419007768</v>
      </c>
      <c r="AD320" s="67">
        <f t="shared" si="228"/>
        <v>258.70196538574368</v>
      </c>
      <c r="AE320" s="67">
        <f t="shared" si="228"/>
        <v>271.42960080703273</v>
      </c>
      <c r="AF320" s="67">
        <f t="shared" si="228"/>
        <v>285.64617136350694</v>
      </c>
      <c r="AG320" s="67">
        <f t="shared" si="228"/>
        <v>322.97905243919581</v>
      </c>
      <c r="AH320" s="67">
        <f t="shared" si="228"/>
        <v>363.27089932516185</v>
      </c>
      <c r="AI320" s="67">
        <f t="shared" si="228"/>
        <v>403.95051768186096</v>
      </c>
      <c r="AJ320" s="67">
        <f t="shared" si="228"/>
        <v>452.31003441885099</v>
      </c>
      <c r="AK320" s="67">
        <f t="shared" si="228"/>
        <v>469.61075187016615</v>
      </c>
      <c r="AL320" s="67">
        <f t="shared" si="228"/>
        <v>470.10335917312665</v>
      </c>
      <c r="AM320" s="67">
        <f t="shared" si="228"/>
        <v>469.86056489095461</v>
      </c>
      <c r="AN320" s="67">
        <f t="shared" si="228"/>
        <v>456.34191602876365</v>
      </c>
      <c r="AO320" s="67">
        <f t="shared" si="228"/>
        <v>447.29917054880127</v>
      </c>
      <c r="AP320" s="67">
        <f t="shared" si="228"/>
        <v>445.65740636598804</v>
      </c>
      <c r="AQ320" s="67">
        <f t="shared" si="228"/>
        <v>453.37087421944693</v>
      </c>
      <c r="AR320" s="67">
        <f t="shared" si="228"/>
        <v>457.0332313073896</v>
      </c>
      <c r="AS320" s="67">
        <f t="shared" si="228"/>
        <v>444.9838952115096</v>
      </c>
      <c r="AT320" s="67">
        <f t="shared" si="228"/>
        <v>438.15248339133183</v>
      </c>
      <c r="AU320" s="67">
        <f t="shared" si="228"/>
        <v>406.21893123446563</v>
      </c>
      <c r="AV320" s="67">
        <f t="shared" si="228"/>
        <v>414.3952439524395</v>
      </c>
      <c r="AW320" s="67">
        <f t="shared" si="228"/>
        <v>412.04697986577179</v>
      </c>
      <c r="AX320" s="67">
        <f t="shared" si="228"/>
        <v>422.351</v>
      </c>
      <c r="AY320" s="67">
        <f t="shared" si="228"/>
        <v>426.43709645861867</v>
      </c>
      <c r="AZ320" s="67">
        <f t="shared" si="228"/>
        <v>441.81538757083854</v>
      </c>
      <c r="BA320" s="67">
        <f t="shared" si="228"/>
        <v>448.46496634113964</v>
      </c>
      <c r="BB320" s="67">
        <f t="shared" si="228"/>
        <v>449.76351970669111</v>
      </c>
      <c r="BC320" s="67">
        <f t="shared" si="228"/>
        <v>425.76886832862158</v>
      </c>
      <c r="BD320" s="67">
        <f t="shared" si="228"/>
        <v>421.79241418858032</v>
      </c>
      <c r="BE320" s="67">
        <f t="shared" si="228"/>
        <v>426.07516157344605</v>
      </c>
      <c r="BF320" s="67">
        <f t="shared" si="228"/>
        <v>417.18691442848217</v>
      </c>
      <c r="BG320" s="67">
        <f t="shared" si="228"/>
        <v>408.69894446994033</v>
      </c>
      <c r="BH320" s="67">
        <f t="shared" si="228"/>
        <v>0</v>
      </c>
    </row>
    <row r="321" spans="1:60" s="67" customFormat="1" x14ac:dyDescent="0.25">
      <c r="A321" s="67" t="str">
        <f t="shared" ref="A321:E321" si="232">A146</f>
        <v>HHS</v>
      </c>
      <c r="B321" s="67" t="str">
        <f t="shared" si="232"/>
        <v>NIH</v>
      </c>
      <c r="C321" s="67" t="str">
        <f t="shared" si="232"/>
        <v>NIMH</v>
      </c>
      <c r="D321" s="67" t="str">
        <f t="shared" si="232"/>
        <v>Steady</v>
      </c>
      <c r="E321" s="67" t="str">
        <f t="shared" si="232"/>
        <v>Subprograms</v>
      </c>
      <c r="F321" s="67" t="s">
        <v>90</v>
      </c>
      <c r="H321" s="67" t="str">
        <f t="shared" si="213"/>
        <v>National Institute of Mental Health</v>
      </c>
      <c r="I321" s="67">
        <f t="shared" si="214"/>
        <v>0</v>
      </c>
      <c r="J321" s="67">
        <f t="shared" si="228"/>
        <v>0</v>
      </c>
      <c r="K321" s="67">
        <f t="shared" si="228"/>
        <v>0</v>
      </c>
      <c r="L321" s="67">
        <f t="shared" si="228"/>
        <v>0</v>
      </c>
      <c r="M321" s="67">
        <f t="shared" si="228"/>
        <v>0</v>
      </c>
      <c r="N321" s="67">
        <f t="shared" si="228"/>
        <v>0</v>
      </c>
      <c r="O321" s="67">
        <f t="shared" si="228"/>
        <v>0</v>
      </c>
      <c r="P321" s="67">
        <f t="shared" si="228"/>
        <v>0</v>
      </c>
      <c r="Q321" s="67">
        <f t="shared" si="228"/>
        <v>0</v>
      </c>
      <c r="R321" s="67">
        <f t="shared" si="228"/>
        <v>0</v>
      </c>
      <c r="S321" s="67">
        <f t="shared" si="228"/>
        <v>0</v>
      </c>
      <c r="T321" s="67">
        <f t="shared" si="228"/>
        <v>0</v>
      </c>
      <c r="U321" s="67">
        <f t="shared" si="228"/>
        <v>0</v>
      </c>
      <c r="V321" s="67">
        <f t="shared" si="228"/>
        <v>0</v>
      </c>
      <c r="W321" s="67">
        <f t="shared" si="228"/>
        <v>0</v>
      </c>
      <c r="X321" s="67">
        <f t="shared" si="228"/>
        <v>0</v>
      </c>
      <c r="Y321" s="67">
        <f t="shared" si="228"/>
        <v>0</v>
      </c>
      <c r="Z321" s="67">
        <f t="shared" si="228"/>
        <v>0</v>
      </c>
      <c r="AA321" s="67">
        <f t="shared" si="228"/>
        <v>910.10603461718381</v>
      </c>
      <c r="AB321" s="67">
        <f t="shared" si="228"/>
        <v>936.12696474896984</v>
      </c>
      <c r="AC321" s="67">
        <f t="shared" si="228"/>
        <v>810.2211595935446</v>
      </c>
      <c r="AD321" s="67">
        <f t="shared" si="228"/>
        <v>968.83103549427983</v>
      </c>
      <c r="AE321" s="67">
        <f t="shared" si="228"/>
        <v>1010.3862227986742</v>
      </c>
      <c r="AF321" s="67">
        <f t="shared" si="228"/>
        <v>1067.8067179049247</v>
      </c>
      <c r="AG321" s="67">
        <f t="shared" si="228"/>
        <v>1209.9507943202586</v>
      </c>
      <c r="AH321" s="67">
        <f t="shared" si="228"/>
        <v>1340.2368819721801</v>
      </c>
      <c r="AI321" s="67">
        <f t="shared" si="228"/>
        <v>1487.5689121957778</v>
      </c>
      <c r="AJ321" s="67">
        <f t="shared" si="228"/>
        <v>1650.3044744506224</v>
      </c>
      <c r="AK321" s="67">
        <f t="shared" si="228"/>
        <v>1700.2840116647649</v>
      </c>
      <c r="AL321" s="67">
        <f t="shared" si="228"/>
        <v>1700.226405807801</v>
      </c>
      <c r="AM321" s="67">
        <f t="shared" si="228"/>
        <v>1682.6754856393757</v>
      </c>
      <c r="AN321" s="67">
        <f t="shared" si="228"/>
        <v>1627.8299698445837</v>
      </c>
      <c r="AO321" s="67">
        <f t="shared" si="228"/>
        <v>1595.8345642540619</v>
      </c>
      <c r="AP321" s="67">
        <f t="shared" si="228"/>
        <v>1589.1924417950736</v>
      </c>
      <c r="AQ321" s="67">
        <f t="shared" si="228"/>
        <v>1621.7406333630686</v>
      </c>
      <c r="AR321" s="67">
        <f t="shared" si="228"/>
        <v>1632.6082203760386</v>
      </c>
      <c r="AS321" s="67">
        <f t="shared" si="228"/>
        <v>1583.4324672535968</v>
      </c>
      <c r="AT321" s="67">
        <f t="shared" si="228"/>
        <v>1558.0681219023515</v>
      </c>
      <c r="AU321" s="67">
        <f t="shared" si="228"/>
        <v>1444.5122203811102</v>
      </c>
      <c r="AV321" s="67">
        <f t="shared" si="228"/>
        <v>1455.1599015990159</v>
      </c>
      <c r="AW321" s="67">
        <f t="shared" si="228"/>
        <v>1457.851332113077</v>
      </c>
      <c r="AX321" s="67">
        <f t="shared" si="228"/>
        <v>1516.53</v>
      </c>
      <c r="AY321" s="67">
        <f t="shared" si="228"/>
        <v>1569.8082567012325</v>
      </c>
      <c r="AZ321" s="67">
        <f t="shared" si="228"/>
        <v>1685.5009124963983</v>
      </c>
      <c r="BA321" s="67">
        <f t="shared" si="228"/>
        <v>1774.6136342087798</v>
      </c>
      <c r="BB321" s="67">
        <f t="shared" si="228"/>
        <v>1872.5627864344638</v>
      </c>
      <c r="BC321" s="67">
        <f t="shared" si="228"/>
        <v>1799.0233873040349</v>
      </c>
      <c r="BD321" s="67">
        <f t="shared" si="228"/>
        <v>1819.1775210944543</v>
      </c>
      <c r="BE321" s="67">
        <f t="shared" si="228"/>
        <v>1810.4204899066463</v>
      </c>
      <c r="BF321" s="67">
        <f t="shared" si="228"/>
        <v>1775.3302623360401</v>
      </c>
      <c r="BG321" s="67">
        <f t="shared" si="228"/>
        <v>1739.2098822089645</v>
      </c>
      <c r="BH321" s="67">
        <f t="shared" si="228"/>
        <v>0</v>
      </c>
    </row>
    <row r="322" spans="1:60" s="67" customFormat="1" x14ac:dyDescent="0.25">
      <c r="A322" s="67" t="str">
        <f t="shared" ref="A322:E322" si="233">A147</f>
        <v>HHS</v>
      </c>
      <c r="B322" s="67" t="str">
        <f t="shared" si="233"/>
        <v>NIH</v>
      </c>
      <c r="C322" s="67" t="str">
        <f t="shared" si="233"/>
        <v>NIDA</v>
      </c>
      <c r="D322" s="67" t="str">
        <f t="shared" si="233"/>
        <v>Steady</v>
      </c>
      <c r="E322" s="67" t="str">
        <f t="shared" si="233"/>
        <v>Subprograms</v>
      </c>
      <c r="F322" s="67" t="s">
        <v>90</v>
      </c>
      <c r="H322" s="67" t="str">
        <f t="shared" si="213"/>
        <v>National Institute on Drug Abuse</v>
      </c>
      <c r="I322" s="67">
        <f t="shared" si="214"/>
        <v>0</v>
      </c>
      <c r="J322" s="67">
        <f t="shared" si="228"/>
        <v>0</v>
      </c>
      <c r="K322" s="67">
        <f t="shared" si="228"/>
        <v>0</v>
      </c>
      <c r="L322" s="67">
        <f t="shared" si="228"/>
        <v>0</v>
      </c>
      <c r="M322" s="67">
        <f t="shared" si="228"/>
        <v>0</v>
      </c>
      <c r="N322" s="67">
        <f t="shared" si="228"/>
        <v>0</v>
      </c>
      <c r="O322" s="67">
        <f t="shared" si="228"/>
        <v>0</v>
      </c>
      <c r="P322" s="67">
        <f t="shared" si="228"/>
        <v>0</v>
      </c>
      <c r="Q322" s="67">
        <f t="shared" si="228"/>
        <v>0</v>
      </c>
      <c r="R322" s="67">
        <f t="shared" si="228"/>
        <v>0</v>
      </c>
      <c r="S322" s="67">
        <f t="shared" si="228"/>
        <v>0</v>
      </c>
      <c r="T322" s="67">
        <f t="shared" si="228"/>
        <v>0</v>
      </c>
      <c r="U322" s="67">
        <f t="shared" si="228"/>
        <v>0</v>
      </c>
      <c r="V322" s="67">
        <f t="shared" si="228"/>
        <v>0</v>
      </c>
      <c r="W322" s="67">
        <f t="shared" si="228"/>
        <v>0</v>
      </c>
      <c r="X322" s="67">
        <f t="shared" si="228"/>
        <v>0</v>
      </c>
      <c r="Y322" s="67">
        <f t="shared" si="228"/>
        <v>0</v>
      </c>
      <c r="Z322" s="67">
        <f t="shared" si="228"/>
        <v>0</v>
      </c>
      <c r="AA322" s="67">
        <f t="shared" si="228"/>
        <v>629.66786215499769</v>
      </c>
      <c r="AB322" s="67">
        <f t="shared" si="228"/>
        <v>648.86464214863429</v>
      </c>
      <c r="AC322" s="67">
        <f t="shared" si="228"/>
        <v>433.39659294680212</v>
      </c>
      <c r="AD322" s="67">
        <f t="shared" si="228"/>
        <v>671.91551774714003</v>
      </c>
      <c r="AE322" s="67">
        <f t="shared" si="228"/>
        <v>704.94307537109103</v>
      </c>
      <c r="AF322" s="67">
        <f t="shared" si="228"/>
        <v>750.32023911187014</v>
      </c>
      <c r="AG322" s="67">
        <f t="shared" si="228"/>
        <v>847.56642766765071</v>
      </c>
      <c r="AH322" s="67">
        <f t="shared" si="228"/>
        <v>944.47183583528442</v>
      </c>
      <c r="AI322" s="67">
        <f t="shared" si="228"/>
        <v>1049.9300793330644</v>
      </c>
      <c r="AJ322" s="67">
        <f t="shared" si="228"/>
        <v>1173.8390256817581</v>
      </c>
      <c r="AK322" s="67">
        <f t="shared" si="228"/>
        <v>1219.3749207556739</v>
      </c>
      <c r="AL322" s="67">
        <f t="shared" si="228"/>
        <v>1219.3343177064107</v>
      </c>
      <c r="AM322" s="67">
        <f t="shared" si="228"/>
        <v>126.82516982481231</v>
      </c>
      <c r="AN322" s="67">
        <f t="shared" si="228"/>
        <v>1159.8573416840641</v>
      </c>
      <c r="AO322" s="67">
        <f t="shared" si="228"/>
        <v>1136.9401204408589</v>
      </c>
      <c r="AP322" s="67">
        <f t="shared" si="228"/>
        <v>1131.5060173208863</v>
      </c>
      <c r="AQ322" s="67">
        <f t="shared" si="228"/>
        <v>1159.1893398751113</v>
      </c>
      <c r="AR322" s="67">
        <f t="shared" si="228"/>
        <v>1166.2778749453435</v>
      </c>
      <c r="AS322" s="67">
        <f t="shared" si="228"/>
        <v>1126.0210435902943</v>
      </c>
      <c r="AT322" s="67">
        <f t="shared" si="228"/>
        <v>1108.7314141094591</v>
      </c>
      <c r="AU322" s="67">
        <f t="shared" si="228"/>
        <v>1027.9256420878212</v>
      </c>
      <c r="AV322" s="67">
        <f t="shared" si="228"/>
        <v>1043.4204592045921</v>
      </c>
      <c r="AW322" s="67">
        <f t="shared" si="228"/>
        <v>1032.8503152328656</v>
      </c>
      <c r="AX322" s="67">
        <f t="shared" si="228"/>
        <v>1049.059</v>
      </c>
      <c r="AY322" s="67">
        <f t="shared" si="228"/>
        <v>1047.5895128154959</v>
      </c>
      <c r="AZ322" s="67">
        <f t="shared" si="228"/>
        <v>1328.9818461242917</v>
      </c>
      <c r="BA322" s="67">
        <f t="shared" si="228"/>
        <v>1335.1815682184506</v>
      </c>
      <c r="BB322" s="67">
        <f t="shared" si="228"/>
        <v>1336.1356553620531</v>
      </c>
      <c r="BC322" s="67">
        <f t="shared" ref="J322:BH327" si="234">BC147/BC$175</f>
        <v>2121.1342414118049</v>
      </c>
      <c r="BD322" s="67">
        <f t="shared" si="234"/>
        <v>1307.5473089211109</v>
      </c>
      <c r="BE322" s="67">
        <f t="shared" si="234"/>
        <v>1326.896991941275</v>
      </c>
      <c r="BF322" s="67">
        <f t="shared" si="234"/>
        <v>1298.1691130543411</v>
      </c>
      <c r="BG322" s="67">
        <f t="shared" si="234"/>
        <v>1271.7569221355363</v>
      </c>
      <c r="BH322" s="67">
        <f t="shared" si="234"/>
        <v>0</v>
      </c>
    </row>
    <row r="323" spans="1:60" s="67" customFormat="1" x14ac:dyDescent="0.25">
      <c r="A323" s="67" t="str">
        <f t="shared" ref="A323:E323" si="235">A148</f>
        <v>HHS</v>
      </c>
      <c r="B323" s="67" t="str">
        <f t="shared" si="235"/>
        <v>NIH</v>
      </c>
      <c r="C323" s="67" t="str">
        <f t="shared" si="235"/>
        <v>NIAAA</v>
      </c>
      <c r="D323" s="67" t="str">
        <f t="shared" si="235"/>
        <v>Steady</v>
      </c>
      <c r="E323" s="67" t="str">
        <f t="shared" si="235"/>
        <v>Subprograms</v>
      </c>
      <c r="F323" s="67" t="s">
        <v>90</v>
      </c>
      <c r="H323" s="67" t="str">
        <f t="shared" si="213"/>
        <v>National Institute on Alcohol Abuse and Alcoholism</v>
      </c>
      <c r="I323" s="67">
        <f t="shared" si="214"/>
        <v>0</v>
      </c>
      <c r="J323" s="67">
        <f t="shared" si="234"/>
        <v>0</v>
      </c>
      <c r="K323" s="67">
        <f t="shared" si="234"/>
        <v>0</v>
      </c>
      <c r="L323" s="67">
        <f t="shared" si="234"/>
        <v>0</v>
      </c>
      <c r="M323" s="67">
        <f t="shared" si="234"/>
        <v>0</v>
      </c>
      <c r="N323" s="67">
        <f t="shared" si="234"/>
        <v>0</v>
      </c>
      <c r="O323" s="67">
        <f t="shared" si="234"/>
        <v>0</v>
      </c>
      <c r="P323" s="67">
        <f t="shared" si="234"/>
        <v>0</v>
      </c>
      <c r="Q323" s="67">
        <f t="shared" si="234"/>
        <v>0</v>
      </c>
      <c r="R323" s="67">
        <f t="shared" si="234"/>
        <v>0</v>
      </c>
      <c r="S323" s="67">
        <f t="shared" si="234"/>
        <v>0</v>
      </c>
      <c r="T323" s="67">
        <f t="shared" si="234"/>
        <v>0</v>
      </c>
      <c r="U323" s="67">
        <f t="shared" si="234"/>
        <v>0</v>
      </c>
      <c r="V323" s="67">
        <f t="shared" si="234"/>
        <v>0</v>
      </c>
      <c r="W323" s="67">
        <f t="shared" si="234"/>
        <v>0</v>
      </c>
      <c r="X323" s="67">
        <f t="shared" si="234"/>
        <v>0</v>
      </c>
      <c r="Y323" s="67">
        <f t="shared" si="234"/>
        <v>0</v>
      </c>
      <c r="Z323" s="67">
        <f t="shared" si="234"/>
        <v>0</v>
      </c>
      <c r="AA323" s="67">
        <f t="shared" si="234"/>
        <v>275.40776547637614</v>
      </c>
      <c r="AB323" s="67">
        <f t="shared" si="234"/>
        <v>283.25499771097208</v>
      </c>
      <c r="AC323" s="67">
        <f t="shared" si="234"/>
        <v>270.69635385534968</v>
      </c>
      <c r="AD323" s="67">
        <f t="shared" si="234"/>
        <v>290.99589322381934</v>
      </c>
      <c r="AE323" s="67">
        <f t="shared" si="234"/>
        <v>305.33218042945674</v>
      </c>
      <c r="AF323" s="67">
        <f t="shared" si="234"/>
        <v>323.33475661827498</v>
      </c>
      <c r="AG323" s="67">
        <f t="shared" si="234"/>
        <v>364.93040911008012</v>
      </c>
      <c r="AH323" s="67">
        <f t="shared" si="234"/>
        <v>402.65665886241572</v>
      </c>
      <c r="AI323" s="67">
        <f t="shared" si="234"/>
        <v>457.7827080812155</v>
      </c>
      <c r="AJ323" s="67">
        <f t="shared" si="234"/>
        <v>507.83028858882716</v>
      </c>
      <c r="AK323" s="67">
        <f t="shared" si="234"/>
        <v>527.51489793330802</v>
      </c>
      <c r="AL323" s="67">
        <f t="shared" si="234"/>
        <v>527.46277839301092</v>
      </c>
      <c r="AM323" s="67">
        <f t="shared" si="234"/>
        <v>522.31795971874624</v>
      </c>
      <c r="AN323" s="67">
        <f t="shared" si="234"/>
        <v>505.60194850382743</v>
      </c>
      <c r="AO323" s="67">
        <f t="shared" si="234"/>
        <v>495.6925349392115</v>
      </c>
      <c r="AP323" s="67">
        <f t="shared" si="234"/>
        <v>493.28421999775054</v>
      </c>
      <c r="AQ323" s="67">
        <f t="shared" si="234"/>
        <v>501.25557537912579</v>
      </c>
      <c r="AR323" s="67">
        <f t="shared" si="234"/>
        <v>504.5616528202886</v>
      </c>
      <c r="AS323" s="67">
        <f t="shared" si="234"/>
        <v>491.21322739961352</v>
      </c>
      <c r="AT323" s="67">
        <f t="shared" si="234"/>
        <v>483.67077928925448</v>
      </c>
      <c r="AU323" s="67">
        <f t="shared" si="234"/>
        <v>448.41963545981775</v>
      </c>
      <c r="AV323" s="67">
        <f t="shared" si="234"/>
        <v>457.44567445674454</v>
      </c>
      <c r="AW323" s="67">
        <f t="shared" si="234"/>
        <v>454.70103721781572</v>
      </c>
      <c r="AX323" s="67">
        <f t="shared" si="234"/>
        <v>466.798</v>
      </c>
      <c r="AY323" s="67">
        <f t="shared" si="234"/>
        <v>471.97319506945803</v>
      </c>
      <c r="AZ323" s="67">
        <f t="shared" si="234"/>
        <v>489.4563442512727</v>
      </c>
      <c r="BA323" s="67">
        <f t="shared" si="234"/>
        <v>498.07148952308717</v>
      </c>
      <c r="BB323" s="67">
        <f t="shared" si="234"/>
        <v>501.09624197983504</v>
      </c>
      <c r="BC323" s="67">
        <f t="shared" si="234"/>
        <v>473.74282532339589</v>
      </c>
      <c r="BD323" s="67">
        <f t="shared" si="234"/>
        <v>470.96747767674287</v>
      </c>
      <c r="BE323" s="67">
        <f t="shared" si="234"/>
        <v>476.34245591638074</v>
      </c>
      <c r="BF323" s="67">
        <f t="shared" si="234"/>
        <v>464.80168644597126</v>
      </c>
      <c r="BG323" s="67">
        <f t="shared" si="234"/>
        <v>455.34495946152674</v>
      </c>
      <c r="BH323" s="67">
        <f t="shared" si="234"/>
        <v>0</v>
      </c>
    </row>
    <row r="324" spans="1:60" s="67" customFormat="1" x14ac:dyDescent="0.25">
      <c r="A324" s="67" t="str">
        <f t="shared" ref="A324:E324" si="236">A149</f>
        <v>HHS</v>
      </c>
      <c r="B324" s="67" t="str">
        <f t="shared" si="236"/>
        <v>NIH</v>
      </c>
      <c r="C324" s="67" t="str">
        <f t="shared" si="236"/>
        <v>NINR</v>
      </c>
      <c r="D324" s="67" t="str">
        <f t="shared" si="236"/>
        <v>Steady</v>
      </c>
      <c r="E324" s="67" t="str">
        <f t="shared" si="236"/>
        <v>Subprograms</v>
      </c>
      <c r="F324" s="67" t="s">
        <v>90</v>
      </c>
      <c r="H324" s="67" t="str">
        <f t="shared" si="213"/>
        <v>National Institute of Nursing Research</v>
      </c>
      <c r="I324" s="67">
        <f t="shared" si="214"/>
        <v>0</v>
      </c>
      <c r="J324" s="67">
        <f t="shared" si="234"/>
        <v>0</v>
      </c>
      <c r="K324" s="67">
        <f t="shared" si="234"/>
        <v>0</v>
      </c>
      <c r="L324" s="67">
        <f t="shared" si="234"/>
        <v>0</v>
      </c>
      <c r="M324" s="67">
        <f t="shared" si="234"/>
        <v>0</v>
      </c>
      <c r="N324" s="67">
        <f t="shared" si="234"/>
        <v>0</v>
      </c>
      <c r="O324" s="67">
        <f t="shared" si="234"/>
        <v>0</v>
      </c>
      <c r="P324" s="67">
        <f t="shared" si="234"/>
        <v>0</v>
      </c>
      <c r="Q324" s="67">
        <f t="shared" si="234"/>
        <v>0</v>
      </c>
      <c r="R324" s="67">
        <f t="shared" si="234"/>
        <v>0</v>
      </c>
      <c r="S324" s="67">
        <f t="shared" si="234"/>
        <v>0</v>
      </c>
      <c r="T324" s="67">
        <f t="shared" si="234"/>
        <v>0</v>
      </c>
      <c r="U324" s="67">
        <f t="shared" si="234"/>
        <v>37.728730428221091</v>
      </c>
      <c r="V324" s="67">
        <f t="shared" si="234"/>
        <v>42.718801388635114</v>
      </c>
      <c r="W324" s="67">
        <f t="shared" si="234"/>
        <v>51.164383561643831</v>
      </c>
      <c r="X324" s="67">
        <f t="shared" si="234"/>
        <v>56.78244662826161</v>
      </c>
      <c r="Y324" s="67">
        <f t="shared" si="234"/>
        <v>64.979551774905943</v>
      </c>
      <c r="Z324" s="67">
        <f t="shared" si="234"/>
        <v>71.702840727736998</v>
      </c>
      <c r="AA324" s="67">
        <f t="shared" si="234"/>
        <v>75.033525651021364</v>
      </c>
      <c r="AB324" s="67">
        <f t="shared" si="234"/>
        <v>77.85441782389745</v>
      </c>
      <c r="AC324" s="67">
        <f t="shared" si="234"/>
        <v>71.972504482964737</v>
      </c>
      <c r="AD324" s="67">
        <f t="shared" si="234"/>
        <v>81.862716339102377</v>
      </c>
      <c r="AE324" s="67">
        <f t="shared" si="234"/>
        <v>86.065715520968439</v>
      </c>
      <c r="AF324" s="67">
        <f t="shared" si="234"/>
        <v>90.516652433817256</v>
      </c>
      <c r="AG324" s="67">
        <f t="shared" si="234"/>
        <v>98.113313651061432</v>
      </c>
      <c r="AH324" s="67">
        <f t="shared" si="234"/>
        <v>123.29155763668918</v>
      </c>
      <c r="AI324" s="67">
        <f t="shared" si="234"/>
        <v>140.28237192416296</v>
      </c>
      <c r="AJ324" s="67">
        <f t="shared" si="234"/>
        <v>159.34074662430501</v>
      </c>
      <c r="AK324" s="67">
        <f t="shared" si="234"/>
        <v>165.56865728413848</v>
      </c>
      <c r="AL324" s="67">
        <f t="shared" si="234"/>
        <v>165.77334809892949</v>
      </c>
      <c r="AM324" s="67">
        <f t="shared" si="234"/>
        <v>164.54772971040401</v>
      </c>
      <c r="AN324" s="67">
        <f t="shared" si="234"/>
        <v>159.29250753885412</v>
      </c>
      <c r="AO324" s="67">
        <f t="shared" si="234"/>
        <v>156.12316782183842</v>
      </c>
      <c r="AP324" s="67">
        <f t="shared" si="234"/>
        <v>155.445956585311</v>
      </c>
      <c r="AQ324" s="67">
        <f t="shared" si="234"/>
        <v>157.9649866190901</v>
      </c>
      <c r="AR324" s="67">
        <f t="shared" si="234"/>
        <v>158.9658941845212</v>
      </c>
      <c r="AS324" s="67">
        <f t="shared" si="234"/>
        <v>154.75413356237922</v>
      </c>
      <c r="AT324" s="67">
        <f t="shared" si="234"/>
        <v>152.37793947063165</v>
      </c>
      <c r="AU324" s="67">
        <f t="shared" si="234"/>
        <v>141.27174813587408</v>
      </c>
      <c r="AV324" s="67">
        <f t="shared" si="234"/>
        <v>144.11439114391146</v>
      </c>
      <c r="AW324" s="67">
        <f t="shared" si="234"/>
        <v>143.22961155175921</v>
      </c>
      <c r="AX324" s="67">
        <f t="shared" si="234"/>
        <v>145.709</v>
      </c>
      <c r="AY324" s="67">
        <f t="shared" si="234"/>
        <v>146.68068871062417</v>
      </c>
      <c r="AZ324" s="67">
        <f t="shared" si="234"/>
        <v>151.79425607530496</v>
      </c>
      <c r="BA324" s="67">
        <f t="shared" si="234"/>
        <v>154.70655162605482</v>
      </c>
      <c r="BB324" s="67">
        <f t="shared" si="234"/>
        <v>157.98625114573787</v>
      </c>
      <c r="BC324" s="67">
        <f t="shared" si="234"/>
        <v>149.06193780519146</v>
      </c>
      <c r="BD324" s="67">
        <f t="shared" si="234"/>
        <v>148.14532645203573</v>
      </c>
      <c r="BE324" s="67">
        <f t="shared" si="234"/>
        <v>157.98292507779462</v>
      </c>
      <c r="BF324" s="67">
        <f t="shared" si="234"/>
        <v>154.3511867582761</v>
      </c>
      <c r="BG324" s="67">
        <f t="shared" si="234"/>
        <v>151.21080006119016</v>
      </c>
      <c r="BH324" s="67">
        <f t="shared" si="234"/>
        <v>0</v>
      </c>
    </row>
    <row r="325" spans="1:60" s="67" customFormat="1" x14ac:dyDescent="0.25">
      <c r="A325" s="67" t="str">
        <f t="shared" ref="A325:E325" si="237">A150</f>
        <v>HHS</v>
      </c>
      <c r="B325" s="67" t="str">
        <f t="shared" si="237"/>
        <v>NIH</v>
      </c>
      <c r="C325" s="67" t="str">
        <f t="shared" si="237"/>
        <v>NGHRI</v>
      </c>
      <c r="D325" s="67" t="str">
        <f t="shared" si="237"/>
        <v>Steady</v>
      </c>
      <c r="E325" s="67" t="str">
        <f t="shared" si="237"/>
        <v>Subprograms</v>
      </c>
      <c r="F325" s="67" t="s">
        <v>90</v>
      </c>
      <c r="H325" s="67" t="str">
        <f t="shared" si="213"/>
        <v>National Human Genome Research Institute</v>
      </c>
      <c r="I325" s="67">
        <f t="shared" si="214"/>
        <v>0</v>
      </c>
      <c r="J325" s="67">
        <f t="shared" si="234"/>
        <v>0</v>
      </c>
      <c r="K325" s="67">
        <f t="shared" si="234"/>
        <v>0</v>
      </c>
      <c r="L325" s="67">
        <f t="shared" si="234"/>
        <v>0</v>
      </c>
      <c r="M325" s="67">
        <f t="shared" si="234"/>
        <v>0</v>
      </c>
      <c r="N325" s="67">
        <f t="shared" si="234"/>
        <v>0</v>
      </c>
      <c r="O325" s="67">
        <f t="shared" si="234"/>
        <v>0</v>
      </c>
      <c r="P325" s="67">
        <f t="shared" si="234"/>
        <v>0</v>
      </c>
      <c r="Q325" s="67">
        <f t="shared" si="234"/>
        <v>0</v>
      </c>
      <c r="R325" s="67">
        <f t="shared" si="234"/>
        <v>0</v>
      </c>
      <c r="S325" s="67">
        <f t="shared" si="234"/>
        <v>0</v>
      </c>
      <c r="T325" s="67">
        <f t="shared" si="234"/>
        <v>0</v>
      </c>
      <c r="U325" s="67">
        <f t="shared" si="234"/>
        <v>0</v>
      </c>
      <c r="V325" s="67">
        <f t="shared" si="234"/>
        <v>0</v>
      </c>
      <c r="W325" s="67">
        <f t="shared" si="234"/>
        <v>0</v>
      </c>
      <c r="X325" s="67">
        <f t="shared" si="234"/>
        <v>100.8776685869197</v>
      </c>
      <c r="Y325" s="67">
        <f t="shared" si="234"/>
        <v>143.00343530181581</v>
      </c>
      <c r="Z325" s="67">
        <f t="shared" si="234"/>
        <v>167.19119055218638</v>
      </c>
      <c r="AA325" s="67">
        <f t="shared" si="234"/>
        <v>165.66193669109623</v>
      </c>
      <c r="AB325" s="67">
        <f t="shared" si="234"/>
        <v>196.4001220814894</v>
      </c>
      <c r="AC325" s="67">
        <f t="shared" si="234"/>
        <v>226.41661685594738</v>
      </c>
      <c r="AD325" s="67">
        <f t="shared" si="234"/>
        <v>248.99970665884425</v>
      </c>
      <c r="AE325" s="67">
        <f t="shared" si="234"/>
        <v>273.13589854445888</v>
      </c>
      <c r="AF325" s="67">
        <f t="shared" si="234"/>
        <v>309.85482493595219</v>
      </c>
      <c r="AG325" s="67">
        <f t="shared" si="234"/>
        <v>372.14536763672146</v>
      </c>
      <c r="AH325" s="67">
        <f t="shared" si="234"/>
        <v>462.09475278887209</v>
      </c>
      <c r="AI325" s="67">
        <f t="shared" si="234"/>
        <v>513.79857469409706</v>
      </c>
      <c r="AJ325" s="67">
        <f t="shared" si="234"/>
        <v>567.590680434207</v>
      </c>
      <c r="AK325" s="67">
        <f t="shared" si="234"/>
        <v>589.57144668441742</v>
      </c>
      <c r="AL325" s="67">
        <f t="shared" si="234"/>
        <v>589.48320413436693</v>
      </c>
      <c r="AM325" s="67">
        <f t="shared" si="234"/>
        <v>582.30008342271481</v>
      </c>
      <c r="AN325" s="67">
        <f t="shared" si="234"/>
        <v>563.73115286476457</v>
      </c>
      <c r="AO325" s="67">
        <f t="shared" si="234"/>
        <v>552.76786728780814</v>
      </c>
      <c r="AP325" s="67">
        <f t="shared" si="234"/>
        <v>550.40827803396689</v>
      </c>
      <c r="AQ325" s="67">
        <f t="shared" si="234"/>
        <v>565.65343443354152</v>
      </c>
      <c r="AR325" s="67">
        <f t="shared" si="234"/>
        <v>572.95911674682998</v>
      </c>
      <c r="AS325" s="67">
        <f t="shared" si="234"/>
        <v>548.24672535967363</v>
      </c>
      <c r="AT325" s="67">
        <f t="shared" si="234"/>
        <v>540.18559527575667</v>
      </c>
      <c r="AU325" s="67">
        <f t="shared" si="234"/>
        <v>500.48570836785416</v>
      </c>
      <c r="AV325" s="67">
        <f t="shared" si="234"/>
        <v>510.55863058630587</v>
      </c>
      <c r="AW325" s="67">
        <f t="shared" si="234"/>
        <v>507.09477323571281</v>
      </c>
      <c r="AX325" s="67">
        <f t="shared" si="234"/>
        <v>512.50900000000001</v>
      </c>
      <c r="AY325" s="67">
        <f t="shared" si="234"/>
        <v>516.8714537272549</v>
      </c>
      <c r="AZ325" s="67">
        <f t="shared" si="234"/>
        <v>534.8967438286428</v>
      </c>
      <c r="BA325" s="67">
        <f t="shared" si="234"/>
        <v>545.54565279226313</v>
      </c>
      <c r="BB325" s="67">
        <f t="shared" si="234"/>
        <v>553.72868927589377</v>
      </c>
      <c r="BC325" s="67">
        <f t="shared" si="234"/>
        <v>526.00017133556071</v>
      </c>
      <c r="BD325" s="67">
        <f t="shared" si="234"/>
        <v>521.40493159662492</v>
      </c>
      <c r="BE325" s="67">
        <f t="shared" si="234"/>
        <v>526.60975025931532</v>
      </c>
      <c r="BF325" s="67">
        <f t="shared" si="234"/>
        <v>517.80137414116189</v>
      </c>
      <c r="BG325" s="67">
        <f t="shared" si="234"/>
        <v>507.26633012085063</v>
      </c>
      <c r="BH325" s="67">
        <f t="shared" si="234"/>
        <v>0</v>
      </c>
    </row>
    <row r="326" spans="1:60" s="67" customFormat="1" x14ac:dyDescent="0.25">
      <c r="A326" s="67" t="str">
        <f t="shared" ref="A326:E326" si="238">A151</f>
        <v>HHS</v>
      </c>
      <c r="B326" s="67" t="str">
        <f t="shared" si="238"/>
        <v>NIH</v>
      </c>
      <c r="C326" s="67" t="str">
        <f t="shared" si="238"/>
        <v>NIBIB</v>
      </c>
      <c r="D326" s="67" t="str">
        <f t="shared" si="238"/>
        <v>Steady</v>
      </c>
      <c r="E326" s="67" t="str">
        <f t="shared" si="238"/>
        <v>Subprograms</v>
      </c>
      <c r="F326" s="67" t="s">
        <v>90</v>
      </c>
      <c r="H326" s="67" t="str">
        <f t="shared" si="213"/>
        <v>National Institute of Biomedical Imaging and Bioengineering </v>
      </c>
      <c r="I326" s="67">
        <f t="shared" si="214"/>
        <v>0</v>
      </c>
      <c r="J326" s="67">
        <f t="shared" si="234"/>
        <v>0</v>
      </c>
      <c r="K326" s="67">
        <f t="shared" si="234"/>
        <v>0</v>
      </c>
      <c r="L326" s="67">
        <f t="shared" si="234"/>
        <v>0</v>
      </c>
      <c r="M326" s="67">
        <f t="shared" si="234"/>
        <v>0</v>
      </c>
      <c r="N326" s="67">
        <f t="shared" si="234"/>
        <v>0</v>
      </c>
      <c r="O326" s="67">
        <f t="shared" si="234"/>
        <v>0</v>
      </c>
      <c r="P326" s="67">
        <f t="shared" si="234"/>
        <v>0</v>
      </c>
      <c r="Q326" s="67">
        <f t="shared" si="234"/>
        <v>0</v>
      </c>
      <c r="R326" s="67">
        <f t="shared" si="234"/>
        <v>0</v>
      </c>
      <c r="S326" s="67">
        <f t="shared" si="234"/>
        <v>0</v>
      </c>
      <c r="T326" s="67">
        <f t="shared" si="234"/>
        <v>0</v>
      </c>
      <c r="U326" s="67">
        <f t="shared" si="234"/>
        <v>0</v>
      </c>
      <c r="V326" s="67">
        <f t="shared" si="234"/>
        <v>0</v>
      </c>
      <c r="W326" s="67">
        <f t="shared" si="234"/>
        <v>0</v>
      </c>
      <c r="X326" s="67">
        <f t="shared" si="234"/>
        <v>0</v>
      </c>
      <c r="Y326" s="67">
        <f t="shared" si="234"/>
        <v>0</v>
      </c>
      <c r="Z326" s="67">
        <f t="shared" si="234"/>
        <v>0</v>
      </c>
      <c r="AA326" s="67">
        <f t="shared" si="234"/>
        <v>0</v>
      </c>
      <c r="AB326" s="67">
        <f t="shared" si="234"/>
        <v>0</v>
      </c>
      <c r="AC326" s="67">
        <f t="shared" si="234"/>
        <v>0</v>
      </c>
      <c r="AD326" s="67">
        <f t="shared" si="234"/>
        <v>0</v>
      </c>
      <c r="AE326" s="67">
        <f t="shared" si="234"/>
        <v>0</v>
      </c>
      <c r="AF326" s="67">
        <f t="shared" si="234"/>
        <v>0</v>
      </c>
      <c r="AG326" s="67">
        <f t="shared" si="234"/>
        <v>0</v>
      </c>
      <c r="AH326" s="67">
        <f t="shared" si="234"/>
        <v>0</v>
      </c>
      <c r="AI326" s="67">
        <f t="shared" si="234"/>
        <v>0</v>
      </c>
      <c r="AJ326" s="67">
        <f t="shared" si="234"/>
        <v>15.701615038390258</v>
      </c>
      <c r="AK326" s="67">
        <f t="shared" si="234"/>
        <v>352.83250919234183</v>
      </c>
      <c r="AL326" s="67">
        <f t="shared" si="234"/>
        <v>353.3025716746647</v>
      </c>
      <c r="AM326" s="67">
        <f t="shared" si="234"/>
        <v>355.39149088308903</v>
      </c>
      <c r="AN326" s="67">
        <f t="shared" si="234"/>
        <v>344.24727441428905</v>
      </c>
      <c r="AO326" s="67">
        <f t="shared" si="234"/>
        <v>337.33325758436541</v>
      </c>
      <c r="AP326" s="67">
        <f t="shared" si="234"/>
        <v>337.68192554268364</v>
      </c>
      <c r="AQ326" s="67">
        <f t="shared" si="234"/>
        <v>343.10994647636039</v>
      </c>
      <c r="AR326" s="67">
        <f t="shared" si="234"/>
        <v>345.46130301705296</v>
      </c>
      <c r="AS326" s="67">
        <f t="shared" si="234"/>
        <v>370.59802447927854</v>
      </c>
      <c r="AT326" s="67">
        <f t="shared" si="234"/>
        <v>356.14046187915216</v>
      </c>
      <c r="AU326" s="67">
        <f t="shared" si="234"/>
        <v>330.18537696768846</v>
      </c>
      <c r="AV326" s="67">
        <f t="shared" si="234"/>
        <v>335.18142681426809</v>
      </c>
      <c r="AW326" s="67">
        <f t="shared" si="234"/>
        <v>332.76693105552164</v>
      </c>
      <c r="AX326" s="67">
        <f t="shared" si="234"/>
        <v>343.02600000000001</v>
      </c>
      <c r="AY326" s="67">
        <f t="shared" si="234"/>
        <v>349.22813539424772</v>
      </c>
      <c r="AZ326" s="67">
        <f t="shared" si="234"/>
        <v>362.95360676207861</v>
      </c>
      <c r="BA326" s="67">
        <f t="shared" si="234"/>
        <v>367.98426092727789</v>
      </c>
      <c r="BB326" s="67">
        <f t="shared" si="234"/>
        <v>370.88725939505042</v>
      </c>
      <c r="BC326" s="67">
        <f t="shared" si="234"/>
        <v>350.38122162254774</v>
      </c>
      <c r="BD326" s="67">
        <f t="shared" si="234"/>
        <v>347.82338002785292</v>
      </c>
      <c r="BE326" s="67">
        <f t="shared" si="234"/>
        <v>363.83946381552698</v>
      </c>
      <c r="BF326" s="67">
        <f t="shared" si="234"/>
        <v>344.02482823235482</v>
      </c>
      <c r="BG326" s="67">
        <f t="shared" si="234"/>
        <v>337.0253939115803</v>
      </c>
      <c r="BH326" s="67">
        <f t="shared" si="234"/>
        <v>0</v>
      </c>
    </row>
    <row r="327" spans="1:60" s="67" customFormat="1" x14ac:dyDescent="0.25">
      <c r="A327" s="67" t="str">
        <f t="shared" ref="A327:E327" si="239">A152</f>
        <v>HHS</v>
      </c>
      <c r="B327" s="67" t="str">
        <f t="shared" si="239"/>
        <v>NIH</v>
      </c>
      <c r="C327" s="67" t="str">
        <f t="shared" si="239"/>
        <v>NCRR</v>
      </c>
      <c r="D327" s="67" t="str">
        <f t="shared" si="239"/>
        <v>Steady</v>
      </c>
      <c r="E327" s="67" t="str">
        <f t="shared" si="239"/>
        <v>Subprograms</v>
      </c>
      <c r="F327" s="67" t="s">
        <v>90</v>
      </c>
      <c r="H327" s="67" t="str">
        <f t="shared" si="213"/>
        <v>National Center for Research Resources</v>
      </c>
      <c r="I327" s="67">
        <f t="shared" si="214"/>
        <v>473.39039821362115</v>
      </c>
      <c r="J327" s="67">
        <f t="shared" si="234"/>
        <v>453.25330549756433</v>
      </c>
      <c r="K327" s="67">
        <f t="shared" si="234"/>
        <v>446.13887086307597</v>
      </c>
      <c r="L327" s="67">
        <f t="shared" si="234"/>
        <v>441.15232593493459</v>
      </c>
      <c r="M327" s="67">
        <f t="shared" si="234"/>
        <v>433.65400843881855</v>
      </c>
      <c r="N327" s="67">
        <f t="shared" si="234"/>
        <v>437.76455368693399</v>
      </c>
      <c r="O327" s="67">
        <f t="shared" si="234"/>
        <v>413.82422243166826</v>
      </c>
      <c r="P327" s="67">
        <f t="shared" si="234"/>
        <v>405.76558713372987</v>
      </c>
      <c r="Q327" s="67">
        <f t="shared" si="234"/>
        <v>451.58750263880091</v>
      </c>
      <c r="R327" s="67">
        <f t="shared" si="234"/>
        <v>495.5716323619319</v>
      </c>
      <c r="S327" s="67">
        <f t="shared" si="234"/>
        <v>599.53658055610333</v>
      </c>
      <c r="T327" s="67">
        <f t="shared" si="234"/>
        <v>564.17164898746398</v>
      </c>
      <c r="U327" s="67">
        <f t="shared" si="234"/>
        <v>609.05489530277305</v>
      </c>
      <c r="V327" s="67">
        <f t="shared" si="234"/>
        <v>672.6712954503929</v>
      </c>
      <c r="W327" s="67">
        <f t="shared" si="234"/>
        <v>628.86547242711629</v>
      </c>
      <c r="X327" s="67">
        <f t="shared" si="234"/>
        <v>599.34598441206367</v>
      </c>
      <c r="Y327" s="67">
        <f t="shared" si="234"/>
        <v>546.7446425650254</v>
      </c>
      <c r="Z327" s="67">
        <f t="shared" si="234"/>
        <v>501.45706990105333</v>
      </c>
      <c r="AA327" s="67">
        <f t="shared" si="234"/>
        <v>487.24154062061444</v>
      </c>
      <c r="AB327" s="67">
        <f t="shared" si="234"/>
        <v>506.50846940332679</v>
      </c>
      <c r="AC327" s="67">
        <f t="shared" si="234"/>
        <v>425.42289300657495</v>
      </c>
      <c r="AD327" s="67">
        <f t="shared" si="234"/>
        <v>572.45233206218836</v>
      </c>
      <c r="AE327" s="67">
        <f t="shared" si="234"/>
        <v>598.20579334198021</v>
      </c>
      <c r="AF327" s="67">
        <f t="shared" si="234"/>
        <v>646.0048391688016</v>
      </c>
      <c r="AG327" s="67">
        <f t="shared" si="234"/>
        <v>779.48263742443407</v>
      </c>
      <c r="AH327" s="67">
        <f t="shared" si="234"/>
        <v>931.76835146674023</v>
      </c>
      <c r="AI327" s="67">
        <f t="shared" si="234"/>
        <v>1098.901438752185</v>
      </c>
      <c r="AJ327" s="67">
        <f t="shared" si="234"/>
        <v>1338.710616891713</v>
      </c>
      <c r="AK327" s="67">
        <f t="shared" si="234"/>
        <v>1443.921643210346</v>
      </c>
      <c r="AL327" s="67">
        <f t="shared" si="234"/>
        <v>1450.7911898609573</v>
      </c>
      <c r="AM327" s="67">
        <f t="shared" si="234"/>
        <v>137.15886068406627</v>
      </c>
      <c r="AN327" s="67">
        <f t="shared" si="234"/>
        <v>1274.7633959638138</v>
      </c>
      <c r="AO327" s="67">
        <f t="shared" si="234"/>
        <v>1287.626406090217</v>
      </c>
      <c r="AP327" s="67">
        <f t="shared" si="234"/>
        <v>174.96344618153188</v>
      </c>
      <c r="AQ327" s="67">
        <f t="shared" si="234"/>
        <v>1367.3762265834075</v>
      </c>
      <c r="AR327" s="67">
        <f t="shared" si="234"/>
        <v>1384.7901180585923</v>
      </c>
      <c r="AS327" s="67">
        <f t="shared" si="234"/>
        <v>1350.3908095340346</v>
      </c>
      <c r="AT327" s="67">
        <f t="shared" si="234"/>
        <v>0</v>
      </c>
      <c r="AU327" s="67">
        <f t="shared" si="234"/>
        <v>0</v>
      </c>
      <c r="AV327" s="67">
        <f t="shared" si="234"/>
        <v>0</v>
      </c>
      <c r="AW327" s="67">
        <f t="shared" si="234"/>
        <v>0</v>
      </c>
      <c r="AX327" s="67">
        <f t="shared" si="234"/>
        <v>0</v>
      </c>
      <c r="AY327" s="67">
        <f t="shared" si="234"/>
        <v>0</v>
      </c>
      <c r="AZ327" s="67">
        <f t="shared" si="234"/>
        <v>0</v>
      </c>
      <c r="BA327" s="67">
        <f t="shared" si="234"/>
        <v>0</v>
      </c>
      <c r="BB327" s="67">
        <f t="shared" si="234"/>
        <v>0</v>
      </c>
      <c r="BC327" s="67">
        <f t="shared" ref="J327:BH332" si="240">BC152/BC$175</f>
        <v>0</v>
      </c>
      <c r="BD327" s="67">
        <f t="shared" si="240"/>
        <v>0</v>
      </c>
      <c r="BE327" s="67">
        <f t="shared" si="240"/>
        <v>0</v>
      </c>
      <c r="BF327" s="67">
        <f t="shared" si="240"/>
        <v>0</v>
      </c>
      <c r="BG327" s="67">
        <f t="shared" si="240"/>
        <v>0</v>
      </c>
      <c r="BH327" s="67">
        <f t="shared" si="240"/>
        <v>0</v>
      </c>
    </row>
    <row r="328" spans="1:60" s="67" customFormat="1" x14ac:dyDescent="0.25">
      <c r="A328" s="67" t="str">
        <f t="shared" ref="A328:E328" si="241">A153</f>
        <v>HHS</v>
      </c>
      <c r="B328" s="67" t="str">
        <f t="shared" si="241"/>
        <v>NIH</v>
      </c>
      <c r="C328" s="67" t="str">
        <f t="shared" si="241"/>
        <v>NICIH</v>
      </c>
      <c r="D328" s="67" t="str">
        <f t="shared" si="241"/>
        <v>Steady</v>
      </c>
      <c r="E328" s="67" t="str">
        <f t="shared" si="241"/>
        <v>Subprograms</v>
      </c>
      <c r="F328" s="67" t="s">
        <v>90</v>
      </c>
      <c r="H328" s="67" t="str">
        <f t="shared" si="213"/>
        <v>National Center for Complementary and Integrative Health</v>
      </c>
      <c r="I328" s="67">
        <f t="shared" si="214"/>
        <v>0</v>
      </c>
      <c r="J328" s="67">
        <f t="shared" si="240"/>
        <v>0</v>
      </c>
      <c r="K328" s="67">
        <f t="shared" si="240"/>
        <v>0</v>
      </c>
      <c r="L328" s="67">
        <f t="shared" si="240"/>
        <v>0</v>
      </c>
      <c r="M328" s="67">
        <f t="shared" si="240"/>
        <v>0</v>
      </c>
      <c r="N328" s="67">
        <f t="shared" si="240"/>
        <v>0</v>
      </c>
      <c r="O328" s="67">
        <f t="shared" si="240"/>
        <v>0</v>
      </c>
      <c r="P328" s="67">
        <f t="shared" si="240"/>
        <v>0</v>
      </c>
      <c r="Q328" s="67">
        <f t="shared" si="240"/>
        <v>0</v>
      </c>
      <c r="R328" s="67">
        <f t="shared" si="240"/>
        <v>0</v>
      </c>
      <c r="S328" s="67">
        <f t="shared" si="240"/>
        <v>0</v>
      </c>
      <c r="T328" s="67">
        <f t="shared" si="240"/>
        <v>0</v>
      </c>
      <c r="U328" s="67">
        <f t="shared" si="240"/>
        <v>0</v>
      </c>
      <c r="V328" s="67">
        <f t="shared" si="240"/>
        <v>0</v>
      </c>
      <c r="W328" s="67">
        <f t="shared" si="240"/>
        <v>0</v>
      </c>
      <c r="X328" s="67">
        <f t="shared" si="240"/>
        <v>0</v>
      </c>
      <c r="Y328" s="67">
        <f t="shared" si="240"/>
        <v>0</v>
      </c>
      <c r="Z328" s="67">
        <f t="shared" si="240"/>
        <v>0</v>
      </c>
      <c r="AA328" s="67">
        <f t="shared" si="240"/>
        <v>0</v>
      </c>
      <c r="AB328" s="67">
        <f t="shared" si="240"/>
        <v>0</v>
      </c>
      <c r="AC328" s="67">
        <f t="shared" si="240"/>
        <v>0</v>
      </c>
      <c r="AD328" s="67">
        <f t="shared" si="240"/>
        <v>0</v>
      </c>
      <c r="AE328" s="67">
        <f t="shared" si="240"/>
        <v>0</v>
      </c>
      <c r="AF328" s="67">
        <f t="shared" si="240"/>
        <v>0</v>
      </c>
      <c r="AG328" s="67">
        <f t="shared" si="240"/>
        <v>0</v>
      </c>
      <c r="AH328" s="67">
        <f t="shared" si="240"/>
        <v>931.76835146674023</v>
      </c>
      <c r="AI328" s="67">
        <f t="shared" si="240"/>
        <v>1098.901438752185</v>
      </c>
      <c r="AJ328" s="67">
        <f t="shared" si="240"/>
        <v>1338.710616891713</v>
      </c>
      <c r="AK328" s="67">
        <f t="shared" si="240"/>
        <v>1570.7125649803475</v>
      </c>
      <c r="AL328" s="67">
        <f t="shared" si="240"/>
        <v>1450.7911898609573</v>
      </c>
      <c r="AM328" s="67">
        <f t="shared" si="240"/>
        <v>1328.9119294482182</v>
      </c>
      <c r="AN328" s="67">
        <f t="shared" si="240"/>
        <v>1274.7633959638138</v>
      </c>
      <c r="AO328" s="67">
        <f t="shared" si="240"/>
        <v>1287.626406090217</v>
      </c>
      <c r="AP328" s="67">
        <f t="shared" si="240"/>
        <v>1299.6963221234955</v>
      </c>
      <c r="AQ328" s="67">
        <f t="shared" si="240"/>
        <v>1365.5842997323816</v>
      </c>
      <c r="AR328" s="67">
        <f t="shared" si="240"/>
        <v>1385.1104066462615</v>
      </c>
      <c r="AS328" s="67">
        <f t="shared" si="240"/>
        <v>136.88855486364614</v>
      </c>
      <c r="AT328" s="67">
        <f t="shared" si="240"/>
        <v>134.78856901824315</v>
      </c>
      <c r="AU328" s="67">
        <f t="shared" si="240"/>
        <v>124.96375310687655</v>
      </c>
      <c r="AV328" s="67">
        <f t="shared" si="240"/>
        <v>127.47949979499795</v>
      </c>
      <c r="AW328" s="67">
        <f t="shared" si="240"/>
        <v>126.1561928004881</v>
      </c>
      <c r="AX328" s="67">
        <f t="shared" si="240"/>
        <v>129.76</v>
      </c>
      <c r="AY328" s="67">
        <f t="shared" si="240"/>
        <v>131.470358051262</v>
      </c>
      <c r="AZ328" s="67">
        <f t="shared" si="240"/>
        <v>136.57093458841609</v>
      </c>
      <c r="BA328" s="67">
        <f t="shared" si="240"/>
        <v>138.39101166208403</v>
      </c>
      <c r="BB328" s="67">
        <f t="shared" si="240"/>
        <v>139.20898258478462</v>
      </c>
      <c r="BC328" s="67">
        <f t="shared" si="240"/>
        <v>131.92838173562922</v>
      </c>
      <c r="BD328" s="67">
        <f t="shared" si="240"/>
        <v>130.48414843942001</v>
      </c>
      <c r="BE328" s="67">
        <f t="shared" si="240"/>
        <v>135.64190536982366</v>
      </c>
      <c r="BF328" s="67">
        <f t="shared" si="240"/>
        <v>133.02935665209245</v>
      </c>
      <c r="BG328" s="67">
        <f t="shared" si="240"/>
        <v>130.32277803273672</v>
      </c>
      <c r="BH328" s="67">
        <f t="shared" si="240"/>
        <v>0</v>
      </c>
    </row>
    <row r="329" spans="1:60" s="67" customFormat="1" x14ac:dyDescent="0.25">
      <c r="A329" s="67" t="str">
        <f t="shared" ref="A329:E329" si="242">A154</f>
        <v>HHS</v>
      </c>
      <c r="B329" s="67" t="str">
        <f t="shared" si="242"/>
        <v>NIH</v>
      </c>
      <c r="C329" s="67" t="str">
        <f t="shared" si="242"/>
        <v>NCMHD</v>
      </c>
      <c r="D329" s="67" t="str">
        <f t="shared" si="242"/>
        <v>Steady</v>
      </c>
      <c r="E329" s="67" t="str">
        <f t="shared" si="242"/>
        <v>Subprograms</v>
      </c>
      <c r="F329" s="67" t="s">
        <v>90</v>
      </c>
      <c r="H329" s="67" t="str">
        <f t="shared" si="213"/>
        <v>National Institute on Minority Health and Health Disparities </v>
      </c>
      <c r="I329" s="67">
        <f t="shared" si="214"/>
        <v>0</v>
      </c>
      <c r="J329" s="67">
        <f t="shared" si="240"/>
        <v>0</v>
      </c>
      <c r="K329" s="67">
        <f t="shared" si="240"/>
        <v>0</v>
      </c>
      <c r="L329" s="67">
        <f t="shared" si="240"/>
        <v>0</v>
      </c>
      <c r="M329" s="67">
        <f t="shared" si="240"/>
        <v>0</v>
      </c>
      <c r="N329" s="67">
        <f t="shared" si="240"/>
        <v>0</v>
      </c>
      <c r="O329" s="67">
        <f t="shared" si="240"/>
        <v>0</v>
      </c>
      <c r="P329" s="67">
        <f t="shared" si="240"/>
        <v>0</v>
      </c>
      <c r="Q329" s="67">
        <f t="shared" si="240"/>
        <v>0</v>
      </c>
      <c r="R329" s="67">
        <f t="shared" si="240"/>
        <v>0</v>
      </c>
      <c r="S329" s="67">
        <f t="shared" si="240"/>
        <v>0</v>
      </c>
      <c r="T329" s="67">
        <f t="shared" si="240"/>
        <v>0</v>
      </c>
      <c r="U329" s="67">
        <f t="shared" si="240"/>
        <v>0</v>
      </c>
      <c r="V329" s="67">
        <f t="shared" si="240"/>
        <v>0</v>
      </c>
      <c r="W329" s="67">
        <f t="shared" si="240"/>
        <v>0</v>
      </c>
      <c r="X329" s="67">
        <f t="shared" si="240"/>
        <v>0</v>
      </c>
      <c r="Y329" s="67">
        <f t="shared" si="240"/>
        <v>0</v>
      </c>
      <c r="Z329" s="67">
        <f t="shared" si="240"/>
        <v>0</v>
      </c>
      <c r="AA329" s="67">
        <f t="shared" si="240"/>
        <v>0</v>
      </c>
      <c r="AB329" s="67">
        <f t="shared" si="240"/>
        <v>0</v>
      </c>
      <c r="AC329" s="67">
        <f t="shared" si="240"/>
        <v>0</v>
      </c>
      <c r="AD329" s="67">
        <f t="shared" si="240"/>
        <v>0</v>
      </c>
      <c r="AE329" s="67">
        <f t="shared" si="240"/>
        <v>0</v>
      </c>
      <c r="AF329" s="67">
        <f t="shared" si="240"/>
        <v>0</v>
      </c>
      <c r="AG329" s="67">
        <f t="shared" si="240"/>
        <v>0</v>
      </c>
      <c r="AH329" s="67">
        <f t="shared" si="240"/>
        <v>0</v>
      </c>
      <c r="AI329" s="67">
        <f t="shared" si="240"/>
        <v>174.93075164716956</v>
      </c>
      <c r="AJ329" s="67">
        <f t="shared" si="240"/>
        <v>208.58220810166799</v>
      </c>
      <c r="AK329" s="67">
        <f t="shared" si="240"/>
        <v>235.46849245594018</v>
      </c>
      <c r="AL329" s="67">
        <f t="shared" si="240"/>
        <v>235.59862187769167</v>
      </c>
      <c r="AM329" s="67">
        <f t="shared" si="240"/>
        <v>233.7730902157073</v>
      </c>
      <c r="AN329" s="67">
        <f t="shared" si="240"/>
        <v>226.63535142658316</v>
      </c>
      <c r="AO329" s="67">
        <f t="shared" si="240"/>
        <v>226.61515736848085</v>
      </c>
      <c r="AP329" s="67">
        <f t="shared" si="240"/>
        <v>225.65515690023619</v>
      </c>
      <c r="AQ329" s="67">
        <f t="shared" si="240"/>
        <v>229.2841213202498</v>
      </c>
      <c r="AR329" s="67">
        <f t="shared" si="240"/>
        <v>230.87341495408833</v>
      </c>
      <c r="AS329" s="67">
        <f t="shared" si="240"/>
        <v>296.68778183379857</v>
      </c>
      <c r="AT329" s="67">
        <f t="shared" si="240"/>
        <v>290.97015712327322</v>
      </c>
      <c r="AU329" s="67">
        <f t="shared" si="240"/>
        <v>269.76284175642087</v>
      </c>
      <c r="AV329" s="67">
        <f t="shared" si="240"/>
        <v>275.19167691676915</v>
      </c>
      <c r="AW329" s="67">
        <f t="shared" si="240"/>
        <v>275.54301403294687</v>
      </c>
      <c r="AX329" s="67">
        <f t="shared" si="240"/>
        <v>280.29300000000001</v>
      </c>
      <c r="AY329" s="67">
        <f t="shared" si="240"/>
        <v>281.42242222657018</v>
      </c>
      <c r="AZ329" s="67">
        <f t="shared" si="240"/>
        <v>291.23042935356835</v>
      </c>
      <c r="BA329" s="67">
        <f t="shared" si="240"/>
        <v>296.96691002180717</v>
      </c>
      <c r="BB329" s="67">
        <f t="shared" si="240"/>
        <v>307.80201649862511</v>
      </c>
      <c r="BC329" s="67">
        <f t="shared" si="240"/>
        <v>334.10434335646363</v>
      </c>
      <c r="BD329" s="67">
        <f t="shared" si="240"/>
        <v>376.65028262472356</v>
      </c>
      <c r="BE329" s="67">
        <f t="shared" si="240"/>
        <v>418.89411952445539</v>
      </c>
      <c r="BF329" s="67">
        <f t="shared" si="240"/>
        <v>417.23532167395376</v>
      </c>
      <c r="BG329" s="67">
        <f t="shared" si="240"/>
        <v>408.74636683493958</v>
      </c>
      <c r="BH329" s="67">
        <f t="shared" si="240"/>
        <v>0</v>
      </c>
    </row>
    <row r="330" spans="1:60" s="67" customFormat="1" x14ac:dyDescent="0.25">
      <c r="A330" s="67" t="str">
        <f t="shared" ref="A330:E330" si="243">A155</f>
        <v>HHS</v>
      </c>
      <c r="B330" s="67" t="str">
        <f t="shared" si="243"/>
        <v>NIH</v>
      </c>
      <c r="C330" s="67" t="str">
        <f t="shared" si="243"/>
        <v>FIC</v>
      </c>
      <c r="D330" s="67" t="str">
        <f t="shared" si="243"/>
        <v>Steady</v>
      </c>
      <c r="E330" s="67" t="str">
        <f t="shared" si="243"/>
        <v>Subprograms</v>
      </c>
      <c r="F330" s="67" t="s">
        <v>90</v>
      </c>
      <c r="H330" s="67" t="str">
        <f t="shared" si="213"/>
        <v>Fogarty International Center </v>
      </c>
      <c r="I330" s="67">
        <f t="shared" si="214"/>
        <v>20.800148864905101</v>
      </c>
      <c r="J330" s="67">
        <f t="shared" si="240"/>
        <v>19.850382741823243</v>
      </c>
      <c r="K330" s="67">
        <f t="shared" si="240"/>
        <v>25.931213497728749</v>
      </c>
      <c r="L330" s="67">
        <f t="shared" si="240"/>
        <v>25.792034052903617</v>
      </c>
      <c r="M330" s="67">
        <f t="shared" si="240"/>
        <v>25.285513361462733</v>
      </c>
      <c r="N330" s="67">
        <f t="shared" si="240"/>
        <v>23.252263906856403</v>
      </c>
      <c r="O330" s="67">
        <f t="shared" si="240"/>
        <v>21.498586239396797</v>
      </c>
      <c r="P330" s="67">
        <f t="shared" si="240"/>
        <v>20.279797312183298</v>
      </c>
      <c r="Q330" s="67">
        <f t="shared" si="240"/>
        <v>21.420730420097108</v>
      </c>
      <c r="R330" s="67">
        <f t="shared" si="240"/>
        <v>23.101691461177907</v>
      </c>
      <c r="S330" s="67">
        <f t="shared" si="240"/>
        <v>23.127588246894103</v>
      </c>
      <c r="T330" s="67">
        <f t="shared" si="240"/>
        <v>21.319189971070397</v>
      </c>
      <c r="U330" s="67">
        <f t="shared" si="240"/>
        <v>21.543105074514241</v>
      </c>
      <c r="V330" s="67">
        <f t="shared" si="240"/>
        <v>28.596747670381873</v>
      </c>
      <c r="W330" s="67">
        <f t="shared" si="240"/>
        <v>27.730944854232522</v>
      </c>
      <c r="X330" s="67">
        <f t="shared" si="240"/>
        <v>26.287699085055916</v>
      </c>
      <c r="Y330" s="67">
        <f t="shared" si="240"/>
        <v>28.658596433829544</v>
      </c>
      <c r="Z330" s="67">
        <f t="shared" si="240"/>
        <v>31.268751994893073</v>
      </c>
      <c r="AA330" s="67">
        <f t="shared" si="240"/>
        <v>30.770310307188524</v>
      </c>
      <c r="AB330" s="67">
        <f t="shared" si="240"/>
        <v>33.079505569967957</v>
      </c>
      <c r="AC330" s="67">
        <f t="shared" si="240"/>
        <v>21.885833831440525</v>
      </c>
      <c r="AD330" s="67">
        <f t="shared" si="240"/>
        <v>37.095922557934884</v>
      </c>
      <c r="AE330" s="67">
        <f t="shared" si="240"/>
        <v>38.272085314886873</v>
      </c>
      <c r="AF330" s="67">
        <f t="shared" si="240"/>
        <v>40.263307714204387</v>
      </c>
      <c r="AG330" s="67">
        <f t="shared" si="240"/>
        <v>49.770842120061857</v>
      </c>
      <c r="AH330" s="67">
        <f t="shared" si="240"/>
        <v>59.900840104668781</v>
      </c>
      <c r="AI330" s="67">
        <f t="shared" si="240"/>
        <v>67.879521312357127</v>
      </c>
      <c r="AJ330" s="67">
        <f t="shared" si="240"/>
        <v>75.270055599682294</v>
      </c>
      <c r="AK330" s="67">
        <f t="shared" si="240"/>
        <v>80.467858501331307</v>
      </c>
      <c r="AL330" s="67">
        <f t="shared" si="240"/>
        <v>80.450350682908834</v>
      </c>
      <c r="AM330" s="67">
        <f t="shared" si="240"/>
        <v>79.408890477892996</v>
      </c>
      <c r="AN330" s="67">
        <f t="shared" si="240"/>
        <v>76.986778009742522</v>
      </c>
      <c r="AO330" s="67">
        <f t="shared" si="240"/>
        <v>75.498238836495844</v>
      </c>
      <c r="AP330" s="67">
        <f t="shared" si="240"/>
        <v>75.258126195028694</v>
      </c>
      <c r="AQ330" s="67">
        <f t="shared" si="240"/>
        <v>76.51315789473685</v>
      </c>
      <c r="AR330" s="67">
        <f t="shared" si="240"/>
        <v>76.483384346305201</v>
      </c>
      <c r="AS330" s="67">
        <f t="shared" si="240"/>
        <v>74.423448572042091</v>
      </c>
      <c r="AT330" s="67">
        <f t="shared" si="240"/>
        <v>73.281661921332898</v>
      </c>
      <c r="AU330" s="67">
        <f t="shared" si="240"/>
        <v>67.940140845070417</v>
      </c>
      <c r="AV330" s="67">
        <f t="shared" si="240"/>
        <v>69.308118081180808</v>
      </c>
      <c r="AW330" s="67">
        <f t="shared" si="240"/>
        <v>68.775676225340646</v>
      </c>
      <c r="AX330" s="67">
        <f t="shared" si="240"/>
        <v>70.019000000000005</v>
      </c>
      <c r="AY330" s="67">
        <f t="shared" si="240"/>
        <v>70.291528076697318</v>
      </c>
      <c r="AZ330" s="67">
        <f t="shared" si="240"/>
        <v>72.743252329267136</v>
      </c>
      <c r="BA330" s="67">
        <f t="shared" si="240"/>
        <v>73.879776239689022</v>
      </c>
      <c r="BB330" s="67">
        <f t="shared" si="240"/>
        <v>74.085242896425299</v>
      </c>
      <c r="BC330" s="67">
        <f t="shared" si="240"/>
        <v>71.960935492161397</v>
      </c>
      <c r="BD330" s="67">
        <f t="shared" si="240"/>
        <v>71.146882936020319</v>
      </c>
      <c r="BE330" s="67">
        <f t="shared" si="240"/>
        <v>75.79988829490145</v>
      </c>
      <c r="BF330" s="67">
        <f t="shared" si="240"/>
        <v>74.298875702685834</v>
      </c>
      <c r="BG330" s="67">
        <f t="shared" si="240"/>
        <v>72.787211258987313</v>
      </c>
      <c r="BH330" s="67">
        <f t="shared" si="240"/>
        <v>0</v>
      </c>
    </row>
    <row r="331" spans="1:60" s="67" customFormat="1" x14ac:dyDescent="0.25">
      <c r="A331" s="67" t="str">
        <f t="shared" ref="A331:E331" si="244">A156</f>
        <v>HHS</v>
      </c>
      <c r="B331" s="67" t="str">
        <f t="shared" si="244"/>
        <v>NIH</v>
      </c>
      <c r="C331" s="67" t="str">
        <f t="shared" si="244"/>
        <v>ARPA-Health</v>
      </c>
      <c r="D331" s="67" t="str">
        <f t="shared" si="244"/>
        <v>Steady</v>
      </c>
      <c r="E331" s="67" t="str">
        <f t="shared" si="244"/>
        <v>Subprograms</v>
      </c>
      <c r="F331" s="67" t="s">
        <v>90</v>
      </c>
      <c r="H331" s="67" t="str">
        <f t="shared" si="213"/>
        <v>Advanced Research Projects Agency - Health</v>
      </c>
      <c r="I331" s="67">
        <f t="shared" si="214"/>
        <v>0</v>
      </c>
      <c r="J331" s="67">
        <f t="shared" si="240"/>
        <v>0</v>
      </c>
      <c r="K331" s="67">
        <f t="shared" si="240"/>
        <v>0</v>
      </c>
      <c r="L331" s="67">
        <f t="shared" si="240"/>
        <v>0</v>
      </c>
      <c r="M331" s="67">
        <f t="shared" si="240"/>
        <v>0</v>
      </c>
      <c r="N331" s="67">
        <f t="shared" si="240"/>
        <v>0</v>
      </c>
      <c r="O331" s="67">
        <f t="shared" si="240"/>
        <v>0</v>
      </c>
      <c r="P331" s="67">
        <f t="shared" si="240"/>
        <v>0</v>
      </c>
      <c r="Q331" s="67">
        <f t="shared" si="240"/>
        <v>0</v>
      </c>
      <c r="R331" s="67">
        <f t="shared" si="240"/>
        <v>0</v>
      </c>
      <c r="S331" s="67">
        <f t="shared" si="240"/>
        <v>0</v>
      </c>
      <c r="T331" s="67">
        <f t="shared" si="240"/>
        <v>0</v>
      </c>
      <c r="U331" s="67">
        <f t="shared" si="240"/>
        <v>0</v>
      </c>
      <c r="V331" s="67">
        <f t="shared" si="240"/>
        <v>0</v>
      </c>
      <c r="W331" s="67">
        <f t="shared" si="240"/>
        <v>0</v>
      </c>
      <c r="X331" s="67">
        <f t="shared" si="240"/>
        <v>0</v>
      </c>
      <c r="Y331" s="67">
        <f t="shared" si="240"/>
        <v>0</v>
      </c>
      <c r="Z331" s="67">
        <f t="shared" si="240"/>
        <v>0</v>
      </c>
      <c r="AA331" s="67">
        <f t="shared" si="240"/>
        <v>0</v>
      </c>
      <c r="AB331" s="67">
        <f t="shared" si="240"/>
        <v>0</v>
      </c>
      <c r="AC331" s="67">
        <f t="shared" si="240"/>
        <v>0</v>
      </c>
      <c r="AD331" s="67">
        <f t="shared" si="240"/>
        <v>0</v>
      </c>
      <c r="AE331" s="67">
        <f t="shared" si="240"/>
        <v>0</v>
      </c>
      <c r="AF331" s="67">
        <f t="shared" si="240"/>
        <v>0</v>
      </c>
      <c r="AG331" s="67">
        <f t="shared" si="240"/>
        <v>0</v>
      </c>
      <c r="AH331" s="67">
        <f t="shared" si="240"/>
        <v>0</v>
      </c>
      <c r="AI331" s="67">
        <f t="shared" si="240"/>
        <v>0</v>
      </c>
      <c r="AJ331" s="67">
        <f t="shared" si="240"/>
        <v>0</v>
      </c>
      <c r="AK331" s="67">
        <f t="shared" si="240"/>
        <v>0</v>
      </c>
      <c r="AL331" s="67">
        <f t="shared" si="240"/>
        <v>0</v>
      </c>
      <c r="AM331" s="67">
        <f t="shared" si="240"/>
        <v>0</v>
      </c>
      <c r="AN331" s="67">
        <f t="shared" si="240"/>
        <v>0</v>
      </c>
      <c r="AO331" s="67">
        <f t="shared" si="240"/>
        <v>0</v>
      </c>
      <c r="AP331" s="67">
        <f t="shared" si="240"/>
        <v>0</v>
      </c>
      <c r="AQ331" s="67">
        <f t="shared" si="240"/>
        <v>0</v>
      </c>
      <c r="AR331" s="67">
        <f t="shared" si="240"/>
        <v>0</v>
      </c>
      <c r="AS331" s="67">
        <f t="shared" si="240"/>
        <v>0</v>
      </c>
      <c r="AT331" s="67">
        <f t="shared" si="240"/>
        <v>0</v>
      </c>
      <c r="AU331" s="67">
        <f t="shared" si="240"/>
        <v>0</v>
      </c>
      <c r="AV331" s="67">
        <f t="shared" si="240"/>
        <v>0</v>
      </c>
      <c r="AW331" s="67">
        <f t="shared" si="240"/>
        <v>0</v>
      </c>
      <c r="AX331" s="67">
        <f t="shared" si="240"/>
        <v>0</v>
      </c>
      <c r="AY331" s="67">
        <f t="shared" si="240"/>
        <v>0</v>
      </c>
      <c r="AZ331" s="67">
        <f t="shared" si="240"/>
        <v>0</v>
      </c>
      <c r="BA331" s="67">
        <f t="shared" si="240"/>
        <v>0</v>
      </c>
      <c r="BB331" s="67">
        <f t="shared" si="240"/>
        <v>0</v>
      </c>
      <c r="BC331" s="67">
        <f t="shared" si="240"/>
        <v>0</v>
      </c>
      <c r="BD331" s="67">
        <f t="shared" si="240"/>
        <v>819.20209715736883</v>
      </c>
      <c r="BE331" s="67">
        <f t="shared" si="240"/>
        <v>1196.8403414984441</v>
      </c>
      <c r="BF331" s="67">
        <f t="shared" si="240"/>
        <v>1171.1430356027483</v>
      </c>
      <c r="BG331" s="67">
        <f t="shared" si="240"/>
        <v>1147.3152822395596</v>
      </c>
      <c r="BH331" s="67">
        <f t="shared" si="240"/>
        <v>722.80862781092253</v>
      </c>
    </row>
    <row r="332" spans="1:60" s="67" customFormat="1" x14ac:dyDescent="0.25">
      <c r="A332" s="67" t="str">
        <f t="shared" ref="A332:E332" si="245">A157</f>
        <v>HHS</v>
      </c>
      <c r="B332" s="67" t="str">
        <f t="shared" si="245"/>
        <v>NIH</v>
      </c>
      <c r="C332" s="67" t="str">
        <f t="shared" si="245"/>
        <v>NCCAM</v>
      </c>
      <c r="D332" s="67" t="str">
        <f t="shared" si="245"/>
        <v>Steady</v>
      </c>
      <c r="E332" s="67" t="str">
        <f t="shared" si="245"/>
        <v>Subprograms</v>
      </c>
      <c r="F332" s="67" t="s">
        <v>90</v>
      </c>
      <c r="H332" s="67" t="str">
        <f t="shared" si="213"/>
        <v>National Center for Complementary and Alternative Medicine</v>
      </c>
      <c r="I332" s="67">
        <f t="shared" si="214"/>
        <v>0</v>
      </c>
      <c r="J332" s="67">
        <f t="shared" si="240"/>
        <v>0</v>
      </c>
      <c r="K332" s="67">
        <f t="shared" si="240"/>
        <v>0</v>
      </c>
      <c r="L332" s="67">
        <f t="shared" si="240"/>
        <v>0</v>
      </c>
      <c r="M332" s="67">
        <f t="shared" si="240"/>
        <v>0</v>
      </c>
      <c r="N332" s="67">
        <f t="shared" si="240"/>
        <v>0</v>
      </c>
      <c r="O332" s="67">
        <f t="shared" si="240"/>
        <v>0</v>
      </c>
      <c r="P332" s="67">
        <f t="shared" si="240"/>
        <v>0</v>
      </c>
      <c r="Q332" s="67">
        <f t="shared" si="240"/>
        <v>0</v>
      </c>
      <c r="R332" s="67">
        <f t="shared" si="240"/>
        <v>0</v>
      </c>
      <c r="S332" s="67">
        <f t="shared" si="240"/>
        <v>0</v>
      </c>
      <c r="T332" s="67">
        <f t="shared" si="240"/>
        <v>0</v>
      </c>
      <c r="U332" s="67">
        <f t="shared" si="240"/>
        <v>0</v>
      </c>
      <c r="V332" s="67">
        <f t="shared" si="240"/>
        <v>0</v>
      </c>
      <c r="W332" s="67">
        <f t="shared" si="240"/>
        <v>0</v>
      </c>
      <c r="X332" s="67">
        <f t="shared" si="240"/>
        <v>0</v>
      </c>
      <c r="Y332" s="67">
        <f t="shared" si="240"/>
        <v>0</v>
      </c>
      <c r="Z332" s="67">
        <f t="shared" si="240"/>
        <v>0</v>
      </c>
      <c r="AA332" s="67">
        <f t="shared" si="240"/>
        <v>0</v>
      </c>
      <c r="AB332" s="67">
        <f t="shared" si="240"/>
        <v>0</v>
      </c>
      <c r="AC332" s="67">
        <f t="shared" si="240"/>
        <v>0</v>
      </c>
      <c r="AD332" s="67">
        <f t="shared" si="240"/>
        <v>0</v>
      </c>
      <c r="AE332" s="67">
        <f t="shared" si="240"/>
        <v>0</v>
      </c>
      <c r="AF332" s="67">
        <f t="shared" si="240"/>
        <v>0</v>
      </c>
      <c r="AG332" s="67">
        <f t="shared" si="240"/>
        <v>0</v>
      </c>
      <c r="AH332" s="67">
        <f t="shared" si="240"/>
        <v>0</v>
      </c>
      <c r="AI332" s="67">
        <f t="shared" si="240"/>
        <v>0</v>
      </c>
      <c r="AJ332" s="67">
        <f t="shared" si="240"/>
        <v>0</v>
      </c>
      <c r="AK332" s="67">
        <f t="shared" si="240"/>
        <v>0</v>
      </c>
      <c r="AL332" s="67">
        <f t="shared" si="240"/>
        <v>0</v>
      </c>
      <c r="AM332" s="67">
        <f t="shared" si="240"/>
        <v>0</v>
      </c>
      <c r="AN332" s="67">
        <f t="shared" si="240"/>
        <v>0</v>
      </c>
      <c r="AO332" s="67">
        <f t="shared" si="240"/>
        <v>0</v>
      </c>
      <c r="AP332" s="67">
        <f t="shared" si="240"/>
        <v>0</v>
      </c>
      <c r="AQ332" s="67">
        <f t="shared" si="240"/>
        <v>0</v>
      </c>
      <c r="AR332" s="67">
        <f t="shared" si="240"/>
        <v>0</v>
      </c>
      <c r="AS332" s="67">
        <f t="shared" si="240"/>
        <v>594.36547133347642</v>
      </c>
      <c r="AT332" s="67">
        <f t="shared" si="240"/>
        <v>605.60687546135193</v>
      </c>
      <c r="AU332" s="67">
        <f t="shared" si="240"/>
        <v>561.46955260977631</v>
      </c>
      <c r="AV332" s="67">
        <f t="shared" si="240"/>
        <v>649.48134481344812</v>
      </c>
      <c r="AW332" s="67">
        <f t="shared" si="240"/>
        <v>643.39027862517798</v>
      </c>
      <c r="AX332" s="67">
        <f t="shared" si="240"/>
        <v>684.46799999999996</v>
      </c>
      <c r="AY332" s="67">
        <f t="shared" si="240"/>
        <v>689.03345724907069</v>
      </c>
      <c r="AZ332" s="67">
        <f t="shared" si="240"/>
        <v>713.04773796945551</v>
      </c>
      <c r="BA332" s="67">
        <f t="shared" si="240"/>
        <v>773.30330899781927</v>
      </c>
      <c r="BB332" s="67">
        <f t="shared" si="240"/>
        <v>763.41704857928517</v>
      </c>
      <c r="BC332" s="67">
        <f t="shared" ref="J332:BH337" si="246">BC157/BC$175</f>
        <v>730.74616636682947</v>
      </c>
      <c r="BD332" s="67">
        <f t="shared" si="246"/>
        <v>722.75333824854602</v>
      </c>
      <c r="BE332" s="67">
        <f t="shared" si="246"/>
        <v>737.25365036304152</v>
      </c>
      <c r="BF332" s="67">
        <f t="shared" si="246"/>
        <v>724.7993441599001</v>
      </c>
      <c r="BG332" s="67">
        <f t="shared" si="246"/>
        <v>710.05277650298308</v>
      </c>
      <c r="BH332" s="67">
        <f t="shared" si="246"/>
        <v>0</v>
      </c>
    </row>
    <row r="333" spans="1:60" s="67" customFormat="1" x14ac:dyDescent="0.25">
      <c r="A333" s="67" t="str">
        <f t="shared" ref="A333:E333" si="247">A158</f>
        <v>HHS</v>
      </c>
      <c r="B333" s="67" t="str">
        <f t="shared" si="247"/>
        <v>NIH</v>
      </c>
      <c r="C333" s="67" t="str">
        <f t="shared" si="247"/>
        <v>NLM</v>
      </c>
      <c r="D333" s="67" t="str">
        <f t="shared" si="247"/>
        <v>Steady</v>
      </c>
      <c r="E333" s="67" t="str">
        <f t="shared" si="247"/>
        <v>Subprograms</v>
      </c>
      <c r="F333" s="67" t="s">
        <v>90</v>
      </c>
      <c r="H333" s="67" t="str">
        <f t="shared" si="213"/>
        <v>National Library of Medicine</v>
      </c>
      <c r="I333" s="67">
        <f t="shared" si="214"/>
        <v>107.36881280238184</v>
      </c>
      <c r="J333" s="67">
        <f t="shared" si="246"/>
        <v>101.13082811412666</v>
      </c>
      <c r="K333" s="67">
        <f t="shared" si="246"/>
        <v>114.32186891628814</v>
      </c>
      <c r="L333" s="67">
        <f t="shared" si="246"/>
        <v>114.37823046518697</v>
      </c>
      <c r="M333" s="67">
        <f t="shared" si="246"/>
        <v>116.54289732770745</v>
      </c>
      <c r="N333" s="67">
        <f t="shared" si="246"/>
        <v>113.78783958602845</v>
      </c>
      <c r="O333" s="67">
        <f t="shared" si="246"/>
        <v>105.24505183788878</v>
      </c>
      <c r="P333" s="67">
        <f t="shared" si="246"/>
        <v>99.217889402952181</v>
      </c>
      <c r="Q333" s="67">
        <f t="shared" si="246"/>
        <v>109.65378931813383</v>
      </c>
      <c r="R333" s="67">
        <f t="shared" si="246"/>
        <v>101.10658243325861</v>
      </c>
      <c r="S333" s="67">
        <f t="shared" si="246"/>
        <v>110.25438769473476</v>
      </c>
      <c r="T333" s="67">
        <f t="shared" si="246"/>
        <v>106.69623915139827</v>
      </c>
      <c r="U333" s="67">
        <f t="shared" si="246"/>
        <v>116.65346161101679</v>
      </c>
      <c r="V333" s="67">
        <f t="shared" si="246"/>
        <v>124.08185638589438</v>
      </c>
      <c r="W333" s="67">
        <f t="shared" si="246"/>
        <v>129.48893572181242</v>
      </c>
      <c r="X333" s="67">
        <f t="shared" si="246"/>
        <v>138.70044052863437</v>
      </c>
      <c r="Y333" s="67">
        <f t="shared" si="246"/>
        <v>149.53050875184036</v>
      </c>
      <c r="Z333" s="67">
        <f t="shared" si="246"/>
        <v>158.1359719119055</v>
      </c>
      <c r="AA333" s="67">
        <f t="shared" si="246"/>
        <v>176.2529237486356</v>
      </c>
      <c r="AB333" s="67">
        <f t="shared" si="246"/>
        <v>183.09323973752478</v>
      </c>
      <c r="AC333" s="67">
        <f t="shared" si="246"/>
        <v>187.24297668858338</v>
      </c>
      <c r="AD333" s="67">
        <f t="shared" si="246"/>
        <v>206.71164564388386</v>
      </c>
      <c r="AE333" s="67">
        <f t="shared" si="246"/>
        <v>217.36273238218766</v>
      </c>
      <c r="AF333" s="67">
        <f t="shared" si="246"/>
        <v>229.41218331910048</v>
      </c>
      <c r="AG333" s="67">
        <f t="shared" si="246"/>
        <v>254.72936876142273</v>
      </c>
      <c r="AH333" s="67">
        <f t="shared" si="246"/>
        <v>294.81889546894371</v>
      </c>
      <c r="AI333" s="67">
        <f t="shared" si="246"/>
        <v>331.25050423557883</v>
      </c>
      <c r="AJ333" s="67">
        <f t="shared" si="246"/>
        <v>365.48980672491399</v>
      </c>
      <c r="AK333" s="67">
        <f t="shared" si="246"/>
        <v>380.54393305439334</v>
      </c>
      <c r="AL333" s="67">
        <f t="shared" si="246"/>
        <v>390.44542881752187</v>
      </c>
      <c r="AM333" s="67">
        <f t="shared" si="246"/>
        <v>375.57621260874748</v>
      </c>
      <c r="AN333" s="67">
        <f t="shared" si="246"/>
        <v>365.24008350730691</v>
      </c>
      <c r="AO333" s="67">
        <f t="shared" si="246"/>
        <v>364.56084535848203</v>
      </c>
      <c r="AP333" s="67">
        <f t="shared" si="246"/>
        <v>362.91418288156558</v>
      </c>
      <c r="AQ333" s="67">
        <f t="shared" si="246"/>
        <v>369.63760035682424</v>
      </c>
      <c r="AR333" s="67">
        <f t="shared" si="246"/>
        <v>372.08788806296462</v>
      </c>
      <c r="AS333" s="67">
        <f t="shared" si="246"/>
        <v>389.15181447283663</v>
      </c>
      <c r="AT333" s="67">
        <f t="shared" si="246"/>
        <v>384.78013286934515</v>
      </c>
      <c r="AU333" s="67">
        <f t="shared" si="246"/>
        <v>329.48322286661141</v>
      </c>
      <c r="AV333" s="67">
        <f t="shared" si="246"/>
        <v>345.03177531775316</v>
      </c>
      <c r="AW333" s="67">
        <f t="shared" si="246"/>
        <v>343.0181004677649</v>
      </c>
      <c r="AX333" s="67">
        <f t="shared" si="246"/>
        <v>395.13799999999998</v>
      </c>
      <c r="AY333" s="67">
        <f t="shared" si="246"/>
        <v>397.77342985717081</v>
      </c>
      <c r="AZ333" s="67">
        <f t="shared" si="246"/>
        <v>411.63480933627898</v>
      </c>
      <c r="BA333" s="67">
        <f t="shared" si="246"/>
        <v>417.98331279036694</v>
      </c>
      <c r="BB333" s="67">
        <f t="shared" si="246"/>
        <v>418.80018331805684</v>
      </c>
      <c r="BC333" s="67">
        <f t="shared" si="246"/>
        <v>394.92846740340957</v>
      </c>
      <c r="BD333" s="67">
        <f t="shared" si="246"/>
        <v>391.17391660522651</v>
      </c>
      <c r="BE333" s="67">
        <f t="shared" si="246"/>
        <v>394.95731269448652</v>
      </c>
      <c r="BF333" s="67">
        <f t="shared" si="246"/>
        <v>388.46658338538418</v>
      </c>
      <c r="BG333" s="67">
        <f t="shared" si="246"/>
        <v>380.56294936515224</v>
      </c>
      <c r="BH333" s="67">
        <f t="shared" si="246"/>
        <v>0</v>
      </c>
    </row>
    <row r="334" spans="1:60" s="67" customFormat="1" x14ac:dyDescent="0.25">
      <c r="A334" s="67" t="str">
        <f t="shared" ref="A334:E334" si="248">A159</f>
        <v>HHS</v>
      </c>
      <c r="B334" s="67" t="str">
        <f t="shared" si="248"/>
        <v>NIH</v>
      </c>
      <c r="C334" s="67" t="str">
        <f t="shared" si="248"/>
        <v>OD</v>
      </c>
      <c r="D334" s="67" t="str">
        <f t="shared" si="248"/>
        <v>Steady</v>
      </c>
      <c r="E334" s="67" t="str">
        <f t="shared" si="248"/>
        <v>Subprograms</v>
      </c>
      <c r="F334" s="67" t="s">
        <v>90</v>
      </c>
      <c r="H334" s="67" t="str">
        <f t="shared" si="213"/>
        <v>Office of the Director</v>
      </c>
      <c r="I334" s="67">
        <f t="shared" si="214"/>
        <v>64.480833643468557</v>
      </c>
      <c r="J334" s="67">
        <f t="shared" si="246"/>
        <v>63.917884481558808</v>
      </c>
      <c r="K334" s="67">
        <f t="shared" si="246"/>
        <v>54.944841012329661</v>
      </c>
      <c r="L334" s="67">
        <f t="shared" si="246"/>
        <v>57.464274855579191</v>
      </c>
      <c r="M334" s="67">
        <f t="shared" si="246"/>
        <v>55.338959212376935</v>
      </c>
      <c r="N334" s="67">
        <f t="shared" si="246"/>
        <v>54.426908150064683</v>
      </c>
      <c r="O334" s="67">
        <f t="shared" si="246"/>
        <v>53.089066918001883</v>
      </c>
      <c r="P334" s="67">
        <f t="shared" si="246"/>
        <v>52.033487552324296</v>
      </c>
      <c r="Q334" s="67">
        <f t="shared" si="246"/>
        <v>52.106818661600165</v>
      </c>
      <c r="R334" s="67">
        <f t="shared" si="246"/>
        <v>54.452822498471569</v>
      </c>
      <c r="S334" s="67">
        <f t="shared" si="246"/>
        <v>75.535397357523181</v>
      </c>
      <c r="T334" s="67">
        <f t="shared" si="246"/>
        <v>215.93249758919964</v>
      </c>
      <c r="U334" s="67">
        <f t="shared" si="246"/>
        <v>107.9192605168836</v>
      </c>
      <c r="V334" s="67">
        <f t="shared" si="246"/>
        <v>112.95267677690481</v>
      </c>
      <c r="W334" s="67">
        <f t="shared" si="246"/>
        <v>126.58236740428519</v>
      </c>
      <c r="X334" s="67">
        <f t="shared" si="246"/>
        <v>182.00440528634363</v>
      </c>
      <c r="Y334" s="67">
        <f t="shared" si="246"/>
        <v>159.74317029281858</v>
      </c>
      <c r="Z334" s="67">
        <f t="shared" si="246"/>
        <v>226.38684966485798</v>
      </c>
      <c r="AA334" s="67">
        <f t="shared" si="246"/>
        <v>296.77997816934351</v>
      </c>
      <c r="AB334" s="67">
        <f t="shared" si="246"/>
        <v>356.48557912406528</v>
      </c>
      <c r="AC334" s="67">
        <f t="shared" si="246"/>
        <v>325.58577405857739</v>
      </c>
      <c r="AD334" s="67">
        <f t="shared" si="246"/>
        <v>382.9158110882957</v>
      </c>
      <c r="AE334" s="67">
        <f t="shared" si="246"/>
        <v>413.33045107364177</v>
      </c>
      <c r="AF334" s="67">
        <f t="shared" si="246"/>
        <v>421.82322801024765</v>
      </c>
      <c r="AG334" s="67">
        <f t="shared" si="246"/>
        <v>430.6987206523267</v>
      </c>
      <c r="AH334" s="67">
        <f t="shared" si="246"/>
        <v>388.37625671395125</v>
      </c>
      <c r="AI334" s="67">
        <f t="shared" si="246"/>
        <v>284.7922549415087</v>
      </c>
      <c r="AJ334" s="67">
        <f t="shared" si="246"/>
        <v>311.24305003971409</v>
      </c>
      <c r="AK334" s="67">
        <f t="shared" si="246"/>
        <v>337.55800684670982</v>
      </c>
      <c r="AL334" s="67">
        <f t="shared" si="246"/>
        <v>390.67798695705676</v>
      </c>
      <c r="AM334" s="67">
        <f t="shared" si="246"/>
        <v>426.70241925872961</v>
      </c>
      <c r="AN334" s="67">
        <f t="shared" si="246"/>
        <v>554.47228021340754</v>
      </c>
      <c r="AO334" s="67">
        <f t="shared" si="246"/>
        <v>1189.5250539711396</v>
      </c>
      <c r="AP334" s="67">
        <f t="shared" si="246"/>
        <v>1250.4049038353389</v>
      </c>
      <c r="AQ334" s="67">
        <f t="shared" si="246"/>
        <v>1391.0448260481712</v>
      </c>
      <c r="AR334" s="67">
        <f t="shared" si="246"/>
        <v>1286.7555749890687</v>
      </c>
      <c r="AS334" s="67">
        <f t="shared" si="246"/>
        <v>1561.4376207859139</v>
      </c>
      <c r="AT334" s="67">
        <f t="shared" si="246"/>
        <v>1536.6107771802172</v>
      </c>
      <c r="AU334" s="67">
        <f t="shared" si="246"/>
        <v>1486.7750621375312</v>
      </c>
      <c r="AV334" s="67">
        <f t="shared" si="246"/>
        <v>1335.6027060270601</v>
      </c>
      <c r="AW334" s="67">
        <f t="shared" si="246"/>
        <v>1437.5981289404106</v>
      </c>
      <c r="AX334" s="67">
        <f t="shared" si="246"/>
        <v>1570.7909999999999</v>
      </c>
      <c r="AY334" s="67">
        <f t="shared" si="246"/>
        <v>1691.0614361181765</v>
      </c>
      <c r="AZ334" s="67">
        <f t="shared" si="246"/>
        <v>1849.8636058015561</v>
      </c>
      <c r="BA334" s="67">
        <f t="shared" si="246"/>
        <v>1994.8667867640086</v>
      </c>
      <c r="BB334" s="67">
        <f t="shared" si="246"/>
        <v>2203.8377635197071</v>
      </c>
      <c r="BC334" s="67">
        <f t="shared" si="246"/>
        <v>2067.1635397926839</v>
      </c>
      <c r="BD334" s="67">
        <f t="shared" si="246"/>
        <v>2271.6457770131892</v>
      </c>
      <c r="BE334" s="67">
        <f t="shared" si="246"/>
        <v>2151.9189340142025</v>
      </c>
      <c r="BF334" s="67">
        <f t="shared" si="246"/>
        <v>2034.2863835103062</v>
      </c>
      <c r="BG334" s="67">
        <f t="shared" si="246"/>
        <v>2014.2458314211415</v>
      </c>
      <c r="BH334" s="67">
        <f t="shared" si="246"/>
        <v>1285.8054153281321</v>
      </c>
    </row>
    <row r="335" spans="1:60" s="67" customFormat="1" x14ac:dyDescent="0.25">
      <c r="A335" s="67" t="str">
        <f t="shared" ref="A335:E335" si="249">A160</f>
        <v>HHS</v>
      </c>
      <c r="B335" s="67" t="str">
        <f t="shared" si="249"/>
        <v>NIH</v>
      </c>
      <c r="C335" s="67" t="str">
        <f t="shared" si="249"/>
        <v>B&amp;F</v>
      </c>
      <c r="D335" s="67" t="str">
        <f t="shared" si="249"/>
        <v>Steady</v>
      </c>
      <c r="E335" s="67" t="str">
        <f t="shared" si="249"/>
        <v>Subprograms</v>
      </c>
      <c r="F335" s="67" t="s">
        <v>90</v>
      </c>
      <c r="H335" s="67" t="str">
        <f t="shared" si="213"/>
        <v>Buildings and Facilities</v>
      </c>
      <c r="I335" s="67">
        <f t="shared" si="214"/>
        <v>11.164867882396726</v>
      </c>
      <c r="J335" s="67">
        <f t="shared" si="246"/>
        <v>187.89144050104386</v>
      </c>
      <c r="K335" s="67">
        <f t="shared" si="246"/>
        <v>218.68916288124598</v>
      </c>
      <c r="L335" s="67">
        <f t="shared" si="246"/>
        <v>199.60474308300397</v>
      </c>
      <c r="M335" s="67">
        <f t="shared" si="246"/>
        <v>87.060478199718702</v>
      </c>
      <c r="N335" s="67">
        <f t="shared" si="246"/>
        <v>8.4087968952134542</v>
      </c>
      <c r="O335" s="67">
        <f t="shared" si="246"/>
        <v>27.686145146088595</v>
      </c>
      <c r="P335" s="67">
        <f t="shared" si="246"/>
        <v>21.806565322758313</v>
      </c>
      <c r="Q335" s="67">
        <f t="shared" si="246"/>
        <v>36.943213004010978</v>
      </c>
      <c r="R335" s="67">
        <f t="shared" si="246"/>
        <v>51.02914204198084</v>
      </c>
      <c r="S335" s="67">
        <f t="shared" si="246"/>
        <v>42.851508578189708</v>
      </c>
      <c r="T335" s="67">
        <f t="shared" si="246"/>
        <v>27.500482160077148</v>
      </c>
      <c r="U335" s="67">
        <f t="shared" si="246"/>
        <v>60.177325033012636</v>
      </c>
      <c r="V335" s="67">
        <f t="shared" si="246"/>
        <v>87.465740909921422</v>
      </c>
      <c r="W335" s="67">
        <f t="shared" si="246"/>
        <v>68.12785388127854</v>
      </c>
      <c r="X335" s="67">
        <f t="shared" si="246"/>
        <v>103.42595730260929</v>
      </c>
      <c r="Y335" s="67">
        <f t="shared" si="246"/>
        <v>275.94797971536076</v>
      </c>
      <c r="Z335" s="67">
        <f t="shared" si="246"/>
        <v>165.71975742100221</v>
      </c>
      <c r="AA335" s="67">
        <f t="shared" si="246"/>
        <v>169.547793544363</v>
      </c>
      <c r="AB335" s="67">
        <f t="shared" si="246"/>
        <v>169.44758126049138</v>
      </c>
      <c r="AC335" s="67">
        <f t="shared" si="246"/>
        <v>170.53197848176927</v>
      </c>
      <c r="AD335" s="67">
        <f t="shared" si="246"/>
        <v>214.36051628043418</v>
      </c>
      <c r="AE335" s="67">
        <f t="shared" si="246"/>
        <v>288.22596915982132</v>
      </c>
      <c r="AF335" s="67">
        <f t="shared" si="246"/>
        <v>294.55878166808992</v>
      </c>
      <c r="AG335" s="67">
        <f t="shared" si="246"/>
        <v>277.68733305215801</v>
      </c>
      <c r="AH335" s="67">
        <f t="shared" si="246"/>
        <v>227.75926180966812</v>
      </c>
      <c r="AI335" s="67">
        <f t="shared" si="246"/>
        <v>206.79037246201423</v>
      </c>
      <c r="AJ335" s="67">
        <f t="shared" si="246"/>
        <v>270.84988085782368</v>
      </c>
      <c r="AK335" s="67">
        <f t="shared" si="246"/>
        <v>797.11804234816793</v>
      </c>
      <c r="AL335" s="67">
        <f t="shared" si="246"/>
        <v>109.4770518026332</v>
      </c>
      <c r="AM335" s="67">
        <f t="shared" si="246"/>
        <v>131.43606244786082</v>
      </c>
      <c r="AN335" s="67">
        <f t="shared" si="246"/>
        <v>94.039665970772447</v>
      </c>
      <c r="AO335" s="67">
        <f t="shared" si="246"/>
        <v>92.127031019202363</v>
      </c>
      <c r="AP335" s="67">
        <f t="shared" si="246"/>
        <v>133.80497131931165</v>
      </c>
      <c r="AQ335" s="67">
        <f t="shared" si="246"/>
        <v>140.03233719892953</v>
      </c>
      <c r="AR335" s="67">
        <f t="shared" si="246"/>
        <v>109.29711412330565</v>
      </c>
      <c r="AS335" s="67">
        <f t="shared" si="246"/>
        <v>53.575263044878675</v>
      </c>
      <c r="AT335" s="67">
        <f t="shared" si="246"/>
        <v>132.13961826426237</v>
      </c>
      <c r="AU335" s="67">
        <f t="shared" si="246"/>
        <v>122.31669428334713</v>
      </c>
      <c r="AV335" s="67">
        <f t="shared" si="246"/>
        <v>131.52521525215252</v>
      </c>
      <c r="AW335" s="67">
        <f t="shared" si="246"/>
        <v>131.03823469595281</v>
      </c>
      <c r="AX335" s="67">
        <f t="shared" si="246"/>
        <v>128.863</v>
      </c>
      <c r="AY335" s="67">
        <f t="shared" si="246"/>
        <v>125.77479945216201</v>
      </c>
      <c r="AZ335" s="67">
        <f t="shared" si="246"/>
        <v>123.77581404283931</v>
      </c>
      <c r="BA335" s="67">
        <f t="shared" si="246"/>
        <v>188.97601213615246</v>
      </c>
      <c r="BB335" s="67">
        <f t="shared" si="246"/>
        <v>183.31805682859763</v>
      </c>
      <c r="BC335" s="67">
        <f t="shared" si="246"/>
        <v>170.47888289214427</v>
      </c>
      <c r="BD335" s="67">
        <f t="shared" si="246"/>
        <v>204.80052428934221</v>
      </c>
      <c r="BE335" s="67">
        <f t="shared" si="246"/>
        <v>259.31540732466289</v>
      </c>
      <c r="BF335" s="67">
        <f t="shared" si="246"/>
        <v>273.26670830730797</v>
      </c>
      <c r="BG335" s="67">
        <f t="shared" si="246"/>
        <v>267.70689918923057</v>
      </c>
      <c r="BH335" s="67">
        <f t="shared" si="246"/>
        <v>160.62413951353832</v>
      </c>
    </row>
    <row r="336" spans="1:60" s="67" customFormat="1" x14ac:dyDescent="0.25">
      <c r="A336" s="67" t="str">
        <f t="shared" ref="A336:E336" si="250">A161</f>
        <v>DOD</v>
      </c>
      <c r="B336" s="67" t="str">
        <f t="shared" si="250"/>
        <v>RDT&amp;E</v>
      </c>
      <c r="C336" s="67" t="str">
        <f t="shared" si="250"/>
        <v>RDT&amp;E</v>
      </c>
      <c r="D336" s="67" t="str">
        <f t="shared" si="250"/>
        <v>Steady</v>
      </c>
      <c r="E336" s="67" t="str">
        <f t="shared" si="250"/>
        <v>Program</v>
      </c>
      <c r="F336" s="67" t="s">
        <v>90</v>
      </c>
      <c r="H336" s="67" t="str">
        <f t="shared" si="213"/>
        <v>Research, Development, Technology and Evaluation</v>
      </c>
      <c r="I336" s="67">
        <f t="shared" si="214"/>
        <v>32139.188686267211</v>
      </c>
      <c r="J336" s="67">
        <f t="shared" si="246"/>
        <v>33124.913013221994</v>
      </c>
      <c r="K336" s="67">
        <f t="shared" si="246"/>
        <v>34354.639844256977</v>
      </c>
      <c r="L336" s="67">
        <f t="shared" si="246"/>
        <v>34885.679537853444</v>
      </c>
      <c r="M336" s="67">
        <f t="shared" si="246"/>
        <v>34831.504922644162</v>
      </c>
      <c r="N336" s="67">
        <f t="shared" si="246"/>
        <v>34915.912031047861</v>
      </c>
      <c r="O336" s="67">
        <f t="shared" si="246"/>
        <v>39192.978322337418</v>
      </c>
      <c r="P336" s="67">
        <f t="shared" si="246"/>
        <v>44288.609825952844</v>
      </c>
      <c r="Q336" s="67">
        <f t="shared" si="246"/>
        <v>48184.082752797127</v>
      </c>
      <c r="R336" s="67">
        <f t="shared" si="246"/>
        <v>54897.900957815364</v>
      </c>
      <c r="S336" s="67">
        <f t="shared" si="246"/>
        <v>60276.079668704399</v>
      </c>
      <c r="T336" s="67">
        <f t="shared" si="246"/>
        <v>64948.891031822568</v>
      </c>
      <c r="U336" s="67">
        <f t="shared" si="246"/>
        <v>67800.980946991142</v>
      </c>
      <c r="V336" s="67">
        <f t="shared" si="246"/>
        <v>67653.937511419703</v>
      </c>
      <c r="W336" s="67">
        <f t="shared" si="246"/>
        <v>65868.633649455558</v>
      </c>
      <c r="X336" s="67">
        <f t="shared" si="246"/>
        <v>62082.175533717389</v>
      </c>
      <c r="Y336" s="67">
        <f t="shared" si="246"/>
        <v>59206.772452151155</v>
      </c>
      <c r="Z336" s="67">
        <f t="shared" si="246"/>
        <v>58446.856048515801</v>
      </c>
      <c r="AA336" s="67">
        <f t="shared" si="246"/>
        <v>59125.058474972713</v>
      </c>
      <c r="AB336" s="67">
        <f t="shared" si="246"/>
        <v>52749.275141156722</v>
      </c>
      <c r="AC336" s="67">
        <f t="shared" si="246"/>
        <v>51585.475194261802</v>
      </c>
      <c r="AD336" s="67">
        <f t="shared" si="246"/>
        <v>51292.167791141102</v>
      </c>
      <c r="AE336" s="67">
        <f t="shared" si="246"/>
        <v>52462.890906470675</v>
      </c>
      <c r="AF336" s="67">
        <f t="shared" si="246"/>
        <v>52789.638485624819</v>
      </c>
      <c r="AG336" s="67">
        <f t="shared" si="246"/>
        <v>53831.013637002667</v>
      </c>
      <c r="AH336" s="67">
        <f t="shared" si="246"/>
        <v>55032.364688059497</v>
      </c>
      <c r="AI336" s="67">
        <f t="shared" si="246"/>
        <v>56118.058356864327</v>
      </c>
      <c r="AJ336" s="67">
        <f t="shared" si="246"/>
        <v>64703.468361133178</v>
      </c>
      <c r="AK336" s="67">
        <f t="shared" si="246"/>
        <v>73669.32927602384</v>
      </c>
      <c r="AL336" s="67">
        <f t="shared" si="246"/>
        <v>79541.036052663956</v>
      </c>
      <c r="AM336" s="67">
        <f t="shared" si="246"/>
        <v>82584.07579549517</v>
      </c>
      <c r="AN336" s="67">
        <f t="shared" si="246"/>
        <v>83370.379262352129</v>
      </c>
      <c r="AO336" s="67">
        <f t="shared" si="246"/>
        <v>88159.764799454613</v>
      </c>
      <c r="AP336" s="67">
        <f t="shared" si="246"/>
        <v>88225.875069171088</v>
      </c>
      <c r="AQ336" s="67">
        <f t="shared" si="246"/>
        <v>89597.226806422841</v>
      </c>
      <c r="AR336" s="67">
        <f t="shared" si="246"/>
        <v>88132.905553126358</v>
      </c>
      <c r="AS336" s="67">
        <f t="shared" si="246"/>
        <v>81742.243933862992</v>
      </c>
      <c r="AT336" s="67">
        <f t="shared" si="246"/>
        <v>76947.758093430355</v>
      </c>
      <c r="AU336" s="67">
        <f t="shared" si="246"/>
        <v>66712.095125586158</v>
      </c>
      <c r="AV336" s="67">
        <f t="shared" si="246"/>
        <v>65044.896473964727</v>
      </c>
      <c r="AW336" s="67">
        <f t="shared" si="246"/>
        <v>65169.856619890183</v>
      </c>
      <c r="AX336" s="67">
        <f t="shared" si="246"/>
        <v>70633.053999999989</v>
      </c>
      <c r="AY336" s="67">
        <f t="shared" si="246"/>
        <v>73192.561142633538</v>
      </c>
      <c r="AZ336" s="67">
        <f t="shared" si="246"/>
        <v>85712.294688310445</v>
      </c>
      <c r="BA336" s="67">
        <f t="shared" si="246"/>
        <v>91216.92424386082</v>
      </c>
      <c r="BB336" s="67">
        <f t="shared" si="246"/>
        <v>97284.758936755272</v>
      </c>
      <c r="BC336" s="67">
        <f t="shared" si="246"/>
        <v>82777.45309689024</v>
      </c>
      <c r="BD336" s="67">
        <f t="shared" si="246"/>
        <v>111335.65986728927</v>
      </c>
      <c r="BE336" s="67">
        <f t="shared" si="246"/>
        <v>98856.395116891406</v>
      </c>
      <c r="BF336" s="67">
        <f t="shared" si="246"/>
        <v>101059.20049968772</v>
      </c>
      <c r="BG336" s="67">
        <f t="shared" si="246"/>
        <v>108030.94980523994</v>
      </c>
      <c r="BH336" s="67">
        <f t="shared" si="246"/>
        <v>107992.50573657642</v>
      </c>
    </row>
    <row r="337" spans="1:60" s="67" customFormat="1" x14ac:dyDescent="0.25">
      <c r="A337" s="67" t="str">
        <f t="shared" ref="A337:E337" si="251">A162</f>
        <v>DOD</v>
      </c>
      <c r="B337" s="67" t="str">
        <f t="shared" si="251"/>
        <v>RDT&amp;E</v>
      </c>
      <c r="C337" s="67">
        <f t="shared" si="251"/>
        <v>6.1</v>
      </c>
      <c r="D337" s="67" t="str">
        <f t="shared" si="251"/>
        <v>Steady</v>
      </c>
      <c r="E337" s="67" t="str">
        <f t="shared" si="251"/>
        <v>Subprograms</v>
      </c>
      <c r="F337" s="67" t="s">
        <v>90</v>
      </c>
      <c r="H337" s="67" t="str">
        <f t="shared" si="213"/>
        <v>Basic Research</v>
      </c>
      <c r="I337" s="67">
        <f t="shared" si="214"/>
        <v>1118.719761816152</v>
      </c>
      <c r="J337" s="67">
        <f t="shared" si="246"/>
        <v>1139.5267919276271</v>
      </c>
      <c r="K337" s="67">
        <f t="shared" si="246"/>
        <v>1210.2530824140169</v>
      </c>
      <c r="L337" s="67">
        <f t="shared" si="246"/>
        <v>1265.4302219519609</v>
      </c>
      <c r="M337" s="67">
        <f t="shared" si="246"/>
        <v>1335.3023909985936</v>
      </c>
      <c r="N337" s="67">
        <f t="shared" si="246"/>
        <v>1428.2018111254852</v>
      </c>
      <c r="O337" s="67">
        <f t="shared" si="246"/>
        <v>1448.6333647502356</v>
      </c>
      <c r="P337" s="67">
        <f t="shared" si="246"/>
        <v>1533.5977087464198</v>
      </c>
      <c r="Q337" s="67">
        <f t="shared" si="246"/>
        <v>1661.8112729575682</v>
      </c>
      <c r="R337" s="67">
        <f t="shared" si="246"/>
        <v>1717.9539433462401</v>
      </c>
      <c r="S337" s="67">
        <f t="shared" si="246"/>
        <v>1678.1699861960167</v>
      </c>
      <c r="T337" s="67">
        <f t="shared" si="246"/>
        <v>1839.3442622950822</v>
      </c>
      <c r="U337" s="67">
        <f t="shared" si="246"/>
        <v>1685.7196755329182</v>
      </c>
      <c r="V337" s="67">
        <f t="shared" si="246"/>
        <v>1638.0412936232412</v>
      </c>
      <c r="W337" s="67">
        <f t="shared" si="246"/>
        <v>1669.6522655426766</v>
      </c>
      <c r="X337" s="67">
        <f t="shared" si="246"/>
        <v>1586.0725177905797</v>
      </c>
      <c r="Y337" s="67">
        <f t="shared" si="246"/>
        <v>1892.5241289056112</v>
      </c>
      <c r="Z337" s="67">
        <f t="shared" si="246"/>
        <v>1828.5987871050111</v>
      </c>
      <c r="AA337" s="67">
        <f t="shared" si="246"/>
        <v>2049.1189770778105</v>
      </c>
      <c r="AB337" s="67">
        <f t="shared" si="246"/>
        <v>1781.1689302609493</v>
      </c>
      <c r="AC337" s="67">
        <f t="shared" si="246"/>
        <v>1757.3221757322176</v>
      </c>
      <c r="AD337" s="67">
        <f t="shared" si="246"/>
        <v>1611.9096509240246</v>
      </c>
      <c r="AE337" s="67">
        <f t="shared" si="246"/>
        <v>1487.2460008646781</v>
      </c>
      <c r="AF337" s="67">
        <f t="shared" si="246"/>
        <v>1440.3643609450612</v>
      </c>
      <c r="AG337" s="67">
        <f t="shared" si="246"/>
        <v>1495.8526641360888</v>
      </c>
      <c r="AH337" s="67">
        <f t="shared" si="246"/>
        <v>1564.5227930037186</v>
      </c>
      <c r="AI337" s="67">
        <f t="shared" si="246"/>
        <v>1730.5365066559095</v>
      </c>
      <c r="AJ337" s="67">
        <f t="shared" si="246"/>
        <v>1787.1326449563146</v>
      </c>
      <c r="AK337" s="67">
        <f t="shared" si="246"/>
        <v>1735.7677190313175</v>
      </c>
      <c r="AL337" s="67">
        <f t="shared" si="246"/>
        <v>1670.9732988802757</v>
      </c>
      <c r="AM337" s="67">
        <f t="shared" si="246"/>
        <v>1769.2313192706472</v>
      </c>
      <c r="AN337" s="67">
        <f t="shared" si="246"/>
        <v>1705.1020644861981</v>
      </c>
      <c r="AO337" s="67">
        <f t="shared" si="246"/>
        <v>1732.4258606976482</v>
      </c>
      <c r="AP337" s="67">
        <f t="shared" si="246"/>
        <v>1837.6729276796761</v>
      </c>
      <c r="AQ337" s="67">
        <f t="shared" si="246"/>
        <v>1957.5490633363067</v>
      </c>
      <c r="AR337" s="67">
        <f t="shared" si="246"/>
        <v>2048.0192391779628</v>
      </c>
      <c r="AS337" s="67">
        <f t="shared" si="246"/>
        <v>2015.0611981962636</v>
      </c>
      <c r="AT337" s="67">
        <f t="shared" si="246"/>
        <v>2119.7405884213858</v>
      </c>
      <c r="AU337" s="67">
        <f t="shared" si="246"/>
        <v>2039.9407120028995</v>
      </c>
      <c r="AV337" s="67">
        <f t="shared" si="246"/>
        <v>2148.0196801968023</v>
      </c>
      <c r="AW337" s="67">
        <f t="shared" si="246"/>
        <v>2250.8623144193612</v>
      </c>
      <c r="AX337" s="67">
        <f t="shared" si="246"/>
        <v>2223.3240000000001</v>
      </c>
      <c r="AY337" s="67">
        <f t="shared" si="246"/>
        <v>2150.3932694189007</v>
      </c>
      <c r="AZ337" s="67">
        <f t="shared" si="246"/>
        <v>2250.6521947939682</v>
      </c>
      <c r="BA337" s="67">
        <f t="shared" si="246"/>
        <v>2347.2570399165643</v>
      </c>
      <c r="BB337" s="67">
        <f t="shared" si="246"/>
        <v>2311.4738771769021</v>
      </c>
      <c r="BC337" s="67">
        <f t="shared" ref="J337:BH342" si="252">BC162/BC$175</f>
        <v>2166.0327250920927</v>
      </c>
      <c r="BD337" s="67">
        <f t="shared" si="252"/>
        <v>4536.705988367331</v>
      </c>
      <c r="BE337" s="67">
        <f t="shared" si="252"/>
        <v>2186.7222532514161</v>
      </c>
      <c r="BF337" s="67">
        <f t="shared" si="252"/>
        <v>2025.0327920049972</v>
      </c>
      <c r="BG337" s="67">
        <f t="shared" si="252"/>
        <v>1874.4499431378042</v>
      </c>
      <c r="BH337" s="67">
        <f t="shared" si="252"/>
        <v>1586.4089031665903</v>
      </c>
    </row>
    <row r="338" spans="1:60" s="67" customFormat="1" x14ac:dyDescent="0.25">
      <c r="A338" s="67" t="str">
        <f t="shared" ref="A338:E338" si="253">A163</f>
        <v>DOD</v>
      </c>
      <c r="B338" s="67" t="str">
        <f t="shared" si="253"/>
        <v>RDT&amp;E</v>
      </c>
      <c r="C338" s="67">
        <f t="shared" si="253"/>
        <v>6.2</v>
      </c>
      <c r="D338" s="67" t="str">
        <f t="shared" si="253"/>
        <v>Steady</v>
      </c>
      <c r="E338" s="67" t="str">
        <f t="shared" si="253"/>
        <v>Subprograms</v>
      </c>
      <c r="F338" s="67" t="s">
        <v>90</v>
      </c>
      <c r="H338" s="67" t="str">
        <f t="shared" si="213"/>
        <v>Applied Research</v>
      </c>
      <c r="I338" s="67">
        <f t="shared" si="214"/>
        <v>4031.6337923334572</v>
      </c>
      <c r="J338" s="67">
        <f t="shared" si="252"/>
        <v>4108.5594989561587</v>
      </c>
      <c r="K338" s="67">
        <f t="shared" si="252"/>
        <v>4234.2634652822844</v>
      </c>
      <c r="L338" s="67">
        <f t="shared" si="252"/>
        <v>4214.9589540893885</v>
      </c>
      <c r="M338" s="67">
        <f t="shared" si="252"/>
        <v>4319.2686357243319</v>
      </c>
      <c r="N338" s="67">
        <f t="shared" si="252"/>
        <v>4429.4954721862869</v>
      </c>
      <c r="O338" s="67">
        <f t="shared" si="252"/>
        <v>4677.8982092365695</v>
      </c>
      <c r="P338" s="67">
        <f t="shared" si="252"/>
        <v>4927.2967614011895</v>
      </c>
      <c r="Q338" s="67">
        <f t="shared" si="252"/>
        <v>5173.9497572303144</v>
      </c>
      <c r="R338" s="67">
        <f t="shared" si="252"/>
        <v>4507.8459343794575</v>
      </c>
      <c r="S338" s="67">
        <f t="shared" si="252"/>
        <v>4456.7146519424177</v>
      </c>
      <c r="T338" s="67">
        <f t="shared" si="252"/>
        <v>4394.7926711668269</v>
      </c>
      <c r="U338" s="67">
        <f t="shared" si="252"/>
        <v>4420.2980569703823</v>
      </c>
      <c r="V338" s="67">
        <f t="shared" si="252"/>
        <v>4410.5609355015531</v>
      </c>
      <c r="W338" s="67">
        <f t="shared" si="252"/>
        <v>4462.2409553916405</v>
      </c>
      <c r="X338" s="67">
        <f t="shared" si="252"/>
        <v>4080.6506269061342</v>
      </c>
      <c r="Y338" s="67">
        <f t="shared" si="252"/>
        <v>4465.2380173400952</v>
      </c>
      <c r="Z338" s="67">
        <f t="shared" si="252"/>
        <v>4721.5129269071176</v>
      </c>
      <c r="AA338" s="67">
        <f t="shared" si="252"/>
        <v>5534.0714174333389</v>
      </c>
      <c r="AB338" s="67">
        <f t="shared" si="252"/>
        <v>4105.7530901877008</v>
      </c>
      <c r="AC338" s="67">
        <f t="shared" si="252"/>
        <v>4382.8451882845184</v>
      </c>
      <c r="AD338" s="67">
        <f t="shared" si="252"/>
        <v>4159.5775887356995</v>
      </c>
      <c r="AE338" s="67">
        <f t="shared" si="252"/>
        <v>4066.8684248450786</v>
      </c>
      <c r="AF338" s="67">
        <f t="shared" si="252"/>
        <v>4141.7591801878734</v>
      </c>
      <c r="AG338" s="67">
        <f t="shared" si="252"/>
        <v>4297.7646562631799</v>
      </c>
      <c r="AH338" s="67">
        <f t="shared" si="252"/>
        <v>4689.436716705688</v>
      </c>
      <c r="AI338" s="67">
        <f t="shared" si="252"/>
        <v>4940.1640446416568</v>
      </c>
      <c r="AJ338" s="67">
        <f t="shared" si="252"/>
        <v>5419.6452210749276</v>
      </c>
      <c r="AK338" s="67">
        <f t="shared" si="252"/>
        <v>5412.7044503613542</v>
      </c>
      <c r="AL338" s="67">
        <f t="shared" si="252"/>
        <v>5348.8372093023254</v>
      </c>
      <c r="AM338" s="67">
        <f t="shared" si="252"/>
        <v>5706.5069717554525</v>
      </c>
      <c r="AN338" s="67">
        <f t="shared" si="252"/>
        <v>5994.022268615171</v>
      </c>
      <c r="AO338" s="67">
        <f t="shared" si="252"/>
        <v>5798.7535507328712</v>
      </c>
      <c r="AP338" s="67">
        <f t="shared" si="252"/>
        <v>5694.6428973118882</v>
      </c>
      <c r="AQ338" s="67">
        <f t="shared" si="252"/>
        <v>5563.4957627118638</v>
      </c>
      <c r="AR338" s="67">
        <f t="shared" si="252"/>
        <v>5507.537166593791</v>
      </c>
      <c r="AS338" s="67">
        <f t="shared" si="252"/>
        <v>4647.3523727721704</v>
      </c>
      <c r="AT338" s="67">
        <f t="shared" si="252"/>
        <v>4987.5999156385105</v>
      </c>
      <c r="AU338" s="67">
        <f t="shared" si="252"/>
        <v>4507.1572602340511</v>
      </c>
      <c r="AV338" s="67">
        <f t="shared" si="252"/>
        <v>4635.9645346453462</v>
      </c>
      <c r="AW338" s="67">
        <f t="shared" si="252"/>
        <v>4655.263371974781</v>
      </c>
      <c r="AX338" s="67">
        <f t="shared" si="252"/>
        <v>4922.4949999999999</v>
      </c>
      <c r="AY338" s="67">
        <f t="shared" si="252"/>
        <v>5013.6646448835854</v>
      </c>
      <c r="AZ338" s="67">
        <f t="shared" si="252"/>
        <v>5457.450773220633</v>
      </c>
      <c r="BA338" s="67">
        <f t="shared" si="252"/>
        <v>5605.4707499762972</v>
      </c>
      <c r="BB338" s="67">
        <f t="shared" si="252"/>
        <v>5553.5719523373054</v>
      </c>
      <c r="BC338" s="67">
        <f t="shared" si="252"/>
        <v>5233.1739912618868</v>
      </c>
      <c r="BD338" s="67">
        <f t="shared" si="252"/>
        <v>5332.6771524535106</v>
      </c>
      <c r="BE338" s="67">
        <f t="shared" si="252"/>
        <v>5861.6109470996562</v>
      </c>
      <c r="BF338" s="67">
        <f t="shared" si="252"/>
        <v>5660.7034665833853</v>
      </c>
      <c r="BG338" s="67">
        <f t="shared" si="252"/>
        <v>5432.2595045004809</v>
      </c>
      <c r="BH338" s="67">
        <f t="shared" si="252"/>
        <v>4435.7878231604718</v>
      </c>
    </row>
    <row r="339" spans="1:60" s="67" customFormat="1" x14ac:dyDescent="0.25">
      <c r="A339" s="67" t="str">
        <f t="shared" ref="A339:E339" si="254">A164</f>
        <v>DOD</v>
      </c>
      <c r="B339" s="67" t="str">
        <f t="shared" si="254"/>
        <v>RDT&amp;E</v>
      </c>
      <c r="C339" s="67">
        <f t="shared" si="254"/>
        <v>6.3</v>
      </c>
      <c r="D339" s="67" t="str">
        <f t="shared" si="254"/>
        <v>Steady</v>
      </c>
      <c r="E339" s="67" t="str">
        <f t="shared" si="254"/>
        <v>Subprograms</v>
      </c>
      <c r="F339" s="67" t="s">
        <v>90</v>
      </c>
      <c r="H339" s="67" t="str">
        <f t="shared" si="213"/>
        <v>Advanced Technology Development</v>
      </c>
      <c r="I339" s="67">
        <f t="shared" si="214"/>
        <v>0</v>
      </c>
      <c r="J339" s="67">
        <f t="shared" si="252"/>
        <v>0</v>
      </c>
      <c r="K339" s="67">
        <f t="shared" si="252"/>
        <v>0</v>
      </c>
      <c r="L339" s="67">
        <f t="shared" si="252"/>
        <v>0</v>
      </c>
      <c r="M339" s="67">
        <f t="shared" si="252"/>
        <v>0</v>
      </c>
      <c r="N339" s="67">
        <f t="shared" si="252"/>
        <v>0</v>
      </c>
      <c r="O339" s="67">
        <f t="shared" si="252"/>
        <v>0</v>
      </c>
      <c r="P339" s="67">
        <f t="shared" si="252"/>
        <v>0</v>
      </c>
      <c r="Q339" s="67">
        <f t="shared" si="252"/>
        <v>0</v>
      </c>
      <c r="R339" s="67">
        <f t="shared" si="252"/>
        <v>0</v>
      </c>
      <c r="S339" s="67">
        <f t="shared" si="252"/>
        <v>0</v>
      </c>
      <c r="T339" s="67">
        <f t="shared" si="252"/>
        <v>0</v>
      </c>
      <c r="U339" s="67">
        <f t="shared" si="252"/>
        <v>0</v>
      </c>
      <c r="V339" s="67">
        <f t="shared" si="252"/>
        <v>0</v>
      </c>
      <c r="W339" s="67">
        <f t="shared" si="252"/>
        <v>0</v>
      </c>
      <c r="X339" s="67">
        <f t="shared" si="252"/>
        <v>0</v>
      </c>
      <c r="Y339" s="67">
        <f t="shared" si="252"/>
        <v>0</v>
      </c>
      <c r="Z339" s="67">
        <f t="shared" si="252"/>
        <v>0</v>
      </c>
      <c r="AA339" s="67">
        <f t="shared" si="252"/>
        <v>9796.1952284422277</v>
      </c>
      <c r="AB339" s="67">
        <f t="shared" si="252"/>
        <v>9473.8287807111246</v>
      </c>
      <c r="AC339" s="67">
        <f t="shared" si="252"/>
        <v>5709.8027495517035</v>
      </c>
      <c r="AD339" s="67">
        <f t="shared" si="252"/>
        <v>5293.3411557641539</v>
      </c>
      <c r="AE339" s="67">
        <f t="shared" si="252"/>
        <v>5244.2715088629484</v>
      </c>
      <c r="AF339" s="67">
        <f t="shared" si="252"/>
        <v>5394.2499288357531</v>
      </c>
      <c r="AG339" s="67">
        <f t="shared" si="252"/>
        <v>4854.4917756221002</v>
      </c>
      <c r="AH339" s="67">
        <f t="shared" si="252"/>
        <v>5187.9906348987743</v>
      </c>
      <c r="AI339" s="67">
        <f t="shared" si="252"/>
        <v>5340.8632513110124</v>
      </c>
      <c r="AJ339" s="67">
        <f t="shared" si="252"/>
        <v>5864.4426793751654</v>
      </c>
      <c r="AK339" s="67">
        <f t="shared" si="252"/>
        <v>6454.9258273107653</v>
      </c>
      <c r="AL339" s="67">
        <f t="shared" si="252"/>
        <v>7610.4343546204018</v>
      </c>
      <c r="AM339" s="67">
        <f t="shared" si="252"/>
        <v>8066.3305923012749</v>
      </c>
      <c r="AN339" s="67">
        <f t="shared" si="252"/>
        <v>7666.2758060774768</v>
      </c>
      <c r="AO339" s="67">
        <f t="shared" si="252"/>
        <v>7056.6367458243385</v>
      </c>
      <c r="AP339" s="67">
        <f t="shared" si="252"/>
        <v>6763.3606568440009</v>
      </c>
      <c r="AQ339" s="67">
        <f t="shared" si="252"/>
        <v>7047.0428189116865</v>
      </c>
      <c r="AR339" s="67">
        <f t="shared" si="252"/>
        <v>7153.7286838653263</v>
      </c>
      <c r="AS339" s="67">
        <f t="shared" si="252"/>
        <v>5732.9299978526942</v>
      </c>
      <c r="AT339" s="67">
        <f t="shared" si="252"/>
        <v>5607.9552884108398</v>
      </c>
      <c r="AU339" s="67">
        <f t="shared" si="252"/>
        <v>5369.2418168724098</v>
      </c>
      <c r="AV339" s="67">
        <f t="shared" si="252"/>
        <v>5229.8810988109881</v>
      </c>
      <c r="AW339" s="67">
        <f t="shared" si="252"/>
        <v>5320.8541793776694</v>
      </c>
      <c r="AX339" s="67">
        <f t="shared" si="252"/>
        <v>5633.2849999999999</v>
      </c>
      <c r="AY339" s="67">
        <f t="shared" si="252"/>
        <v>5940.1995695558599</v>
      </c>
      <c r="AZ339" s="67">
        <f t="shared" si="252"/>
        <v>6597.9233503025653</v>
      </c>
      <c r="BA339" s="67">
        <f t="shared" si="252"/>
        <v>6569.7639139091698</v>
      </c>
      <c r="BB339" s="67">
        <f t="shared" si="252"/>
        <v>6720.0018331805686</v>
      </c>
      <c r="BC339" s="67">
        <f t="shared" si="252"/>
        <v>6438.481966932236</v>
      </c>
      <c r="BD339" s="67">
        <f t="shared" si="252"/>
        <v>7144.5072499385597</v>
      </c>
      <c r="BE339" s="67">
        <f t="shared" si="252"/>
        <v>8908.2143142104851</v>
      </c>
      <c r="BF339" s="67">
        <f t="shared" si="252"/>
        <v>8257.9528419737671</v>
      </c>
      <c r="BG339" s="67">
        <f t="shared" si="252"/>
        <v>8079.4036018332745</v>
      </c>
      <c r="BH339" s="67">
        <f t="shared" si="252"/>
        <v>7637.0613431237571</v>
      </c>
    </row>
    <row r="340" spans="1:60" s="67" customFormat="1" x14ac:dyDescent="0.25">
      <c r="A340" s="67" t="str">
        <f t="shared" ref="A340:E340" si="255">A165</f>
        <v>DOD</v>
      </c>
      <c r="B340" s="67" t="str">
        <f t="shared" si="255"/>
        <v>RDT&amp;E</v>
      </c>
      <c r="C340" s="67">
        <f t="shared" si="255"/>
        <v>6.4</v>
      </c>
      <c r="D340" s="67" t="str">
        <f t="shared" si="255"/>
        <v>Steady</v>
      </c>
      <c r="E340" s="67" t="str">
        <f t="shared" si="255"/>
        <v>Subprograms</v>
      </c>
      <c r="F340" s="67" t="s">
        <v>90</v>
      </c>
      <c r="H340" s="67" t="str">
        <f t="shared" si="213"/>
        <v>Advanced Component Development &amp; Prototypes</v>
      </c>
      <c r="I340" s="67">
        <f t="shared" si="214"/>
        <v>0</v>
      </c>
      <c r="J340" s="67">
        <f t="shared" si="252"/>
        <v>0</v>
      </c>
      <c r="K340" s="67">
        <f t="shared" si="252"/>
        <v>0</v>
      </c>
      <c r="L340" s="67">
        <f t="shared" si="252"/>
        <v>0</v>
      </c>
      <c r="M340" s="67">
        <f t="shared" si="252"/>
        <v>0</v>
      </c>
      <c r="N340" s="67">
        <f t="shared" si="252"/>
        <v>0</v>
      </c>
      <c r="O340" s="67">
        <f t="shared" si="252"/>
        <v>0</v>
      </c>
      <c r="P340" s="67">
        <f t="shared" si="252"/>
        <v>0</v>
      </c>
      <c r="Q340" s="67">
        <f t="shared" si="252"/>
        <v>0</v>
      </c>
      <c r="R340" s="67">
        <f t="shared" si="252"/>
        <v>0</v>
      </c>
      <c r="S340" s="67">
        <f t="shared" si="252"/>
        <v>0</v>
      </c>
      <c r="T340" s="67">
        <f t="shared" si="252"/>
        <v>0</v>
      </c>
      <c r="U340" s="67">
        <f t="shared" si="252"/>
        <v>0</v>
      </c>
      <c r="V340" s="67">
        <f t="shared" si="252"/>
        <v>0</v>
      </c>
      <c r="W340" s="67">
        <f t="shared" si="252"/>
        <v>0</v>
      </c>
      <c r="X340" s="67">
        <f t="shared" si="252"/>
        <v>0</v>
      </c>
      <c r="Y340" s="67">
        <f t="shared" si="252"/>
        <v>0</v>
      </c>
      <c r="Z340" s="67">
        <f t="shared" si="252"/>
        <v>0</v>
      </c>
      <c r="AA340" s="67">
        <f t="shared" si="252"/>
        <v>6567.4411351941371</v>
      </c>
      <c r="AB340" s="67">
        <f t="shared" si="252"/>
        <v>4115.0618037540053</v>
      </c>
      <c r="AC340" s="67">
        <f t="shared" si="252"/>
        <v>6579.4979079497907</v>
      </c>
      <c r="AD340" s="67">
        <f t="shared" si="252"/>
        <v>7622.4699325315351</v>
      </c>
      <c r="AE340" s="67">
        <f t="shared" si="252"/>
        <v>8450.7854157659604</v>
      </c>
      <c r="AF340" s="67">
        <f t="shared" si="252"/>
        <v>9331.0560774267014</v>
      </c>
      <c r="AG340" s="67">
        <f t="shared" si="252"/>
        <v>10352.875017573457</v>
      </c>
      <c r="AH340" s="67">
        <f t="shared" si="252"/>
        <v>9007.0238259192956</v>
      </c>
      <c r="AI340" s="67">
        <f t="shared" si="252"/>
        <v>10826.946349334408</v>
      </c>
      <c r="AJ340" s="67">
        <f t="shared" si="252"/>
        <v>13403.49483717236</v>
      </c>
      <c r="AK340" s="67">
        <f t="shared" si="252"/>
        <v>13486.750348675036</v>
      </c>
      <c r="AL340" s="67">
        <f t="shared" si="252"/>
        <v>15930.847791312908</v>
      </c>
      <c r="AM340" s="67">
        <f t="shared" si="252"/>
        <v>17365.926588010963</v>
      </c>
      <c r="AN340" s="67">
        <f t="shared" si="252"/>
        <v>16150.154256553005</v>
      </c>
      <c r="AO340" s="67">
        <f t="shared" si="252"/>
        <v>18094.679013748439</v>
      </c>
      <c r="AP340" s="67">
        <f t="shared" si="252"/>
        <v>17721.764462940049</v>
      </c>
      <c r="AQ340" s="67">
        <f t="shared" si="252"/>
        <v>16568.49910793934</v>
      </c>
      <c r="AR340" s="67">
        <f t="shared" si="252"/>
        <v>15833.683865325755</v>
      </c>
      <c r="AS340" s="67">
        <f t="shared" si="252"/>
        <v>15183.081382864506</v>
      </c>
      <c r="AT340" s="67">
        <f t="shared" si="252"/>
        <v>14319.634082041548</v>
      </c>
      <c r="AU340" s="67">
        <f t="shared" si="252"/>
        <v>12064.557417315656</v>
      </c>
      <c r="AV340" s="67">
        <f t="shared" si="252"/>
        <v>11946.513940139401</v>
      </c>
      <c r="AW340" s="67">
        <f t="shared" si="252"/>
        <v>12459.149888143176</v>
      </c>
      <c r="AX340" s="67">
        <f t="shared" si="252"/>
        <v>14081.99</v>
      </c>
      <c r="AY340" s="67">
        <f t="shared" si="252"/>
        <v>15254.360203482684</v>
      </c>
      <c r="AZ340" s="67">
        <f t="shared" si="252"/>
        <v>18299.426568053026</v>
      </c>
      <c r="BA340" s="67">
        <f t="shared" si="252"/>
        <v>20341.705698302838</v>
      </c>
      <c r="BB340" s="67">
        <f t="shared" si="252"/>
        <v>24445.462878093495</v>
      </c>
      <c r="BC340" s="67">
        <f t="shared" si="252"/>
        <v>22292.359290670778</v>
      </c>
      <c r="BD340" s="67">
        <f t="shared" si="252"/>
        <v>24972.096338166626</v>
      </c>
      <c r="BE340" s="67">
        <f t="shared" si="252"/>
        <v>25524.084417138754</v>
      </c>
      <c r="BF340" s="67">
        <f t="shared" si="252"/>
        <v>27958.965490318551</v>
      </c>
      <c r="BG340" s="67">
        <f t="shared" si="252"/>
        <v>28857.378783186454</v>
      </c>
      <c r="BH340" s="67">
        <f t="shared" si="252"/>
        <v>23543.595686094544</v>
      </c>
    </row>
    <row r="341" spans="1:60" s="67" customFormat="1" x14ac:dyDescent="0.25">
      <c r="A341" s="67" t="str">
        <f t="shared" ref="A341:E341" si="256">A166</f>
        <v>DOD</v>
      </c>
      <c r="B341" s="67" t="str">
        <f t="shared" si="256"/>
        <v>RDT&amp;E</v>
      </c>
      <c r="C341" s="67">
        <f t="shared" si="256"/>
        <v>6.5</v>
      </c>
      <c r="D341" s="67" t="str">
        <f t="shared" si="256"/>
        <v>Steady</v>
      </c>
      <c r="E341" s="67" t="str">
        <f t="shared" si="256"/>
        <v>Subprograms</v>
      </c>
      <c r="F341" s="67" t="s">
        <v>90</v>
      </c>
      <c r="H341" s="67" t="str">
        <f t="shared" si="213"/>
        <v>System Development &amp; Demonstration</v>
      </c>
      <c r="I341" s="67">
        <f t="shared" si="214"/>
        <v>0</v>
      </c>
      <c r="J341" s="67">
        <f t="shared" si="252"/>
        <v>0</v>
      </c>
      <c r="K341" s="67">
        <f t="shared" si="252"/>
        <v>0</v>
      </c>
      <c r="L341" s="67">
        <f t="shared" si="252"/>
        <v>0</v>
      </c>
      <c r="M341" s="67">
        <f t="shared" si="252"/>
        <v>0</v>
      </c>
      <c r="N341" s="67">
        <f t="shared" si="252"/>
        <v>0</v>
      </c>
      <c r="O341" s="67">
        <f t="shared" si="252"/>
        <v>0</v>
      </c>
      <c r="P341" s="67">
        <f t="shared" si="252"/>
        <v>0</v>
      </c>
      <c r="Q341" s="67">
        <f t="shared" si="252"/>
        <v>0</v>
      </c>
      <c r="R341" s="67">
        <f t="shared" si="252"/>
        <v>0</v>
      </c>
      <c r="S341" s="67">
        <f t="shared" si="252"/>
        <v>0</v>
      </c>
      <c r="T341" s="67">
        <f t="shared" si="252"/>
        <v>0</v>
      </c>
      <c r="U341" s="67">
        <f t="shared" si="252"/>
        <v>0</v>
      </c>
      <c r="V341" s="67">
        <f t="shared" si="252"/>
        <v>0</v>
      </c>
      <c r="W341" s="67">
        <f t="shared" si="252"/>
        <v>0</v>
      </c>
      <c r="X341" s="67">
        <f t="shared" si="252"/>
        <v>0</v>
      </c>
      <c r="Y341" s="67">
        <f t="shared" si="252"/>
        <v>0</v>
      </c>
      <c r="Z341" s="67">
        <f t="shared" si="252"/>
        <v>0</v>
      </c>
      <c r="AA341" s="67">
        <f t="shared" si="252"/>
        <v>13233.432091065026</v>
      </c>
      <c r="AB341" s="67">
        <f t="shared" si="252"/>
        <v>11192.278345795819</v>
      </c>
      <c r="AC341" s="67">
        <f t="shared" si="252"/>
        <v>12975.19426180514</v>
      </c>
      <c r="AD341" s="67">
        <f t="shared" si="252"/>
        <v>12679.671457905544</v>
      </c>
      <c r="AE341" s="67">
        <f t="shared" si="252"/>
        <v>12301.484363741174</v>
      </c>
      <c r="AF341" s="67">
        <f t="shared" si="252"/>
        <v>11790.492456589809</v>
      </c>
      <c r="AG341" s="67">
        <f t="shared" si="252"/>
        <v>10749.332208632082</v>
      </c>
      <c r="AH341" s="67">
        <f t="shared" si="252"/>
        <v>12244.869852637379</v>
      </c>
      <c r="AI341" s="67">
        <f t="shared" si="252"/>
        <v>11350.00672314105</v>
      </c>
      <c r="AJ341" s="67">
        <f t="shared" si="252"/>
        <v>14132.909716706381</v>
      </c>
      <c r="AK341" s="67">
        <f t="shared" si="252"/>
        <v>16981.10815265627</v>
      </c>
      <c r="AL341" s="67">
        <f t="shared" si="252"/>
        <v>18874.123292727945</v>
      </c>
      <c r="AM341" s="67">
        <f t="shared" si="252"/>
        <v>19733.227267310216</v>
      </c>
      <c r="AN341" s="67">
        <f t="shared" si="252"/>
        <v>22460.055671537928</v>
      </c>
      <c r="AO341" s="67">
        <f t="shared" si="252"/>
        <v>21723.964322236108</v>
      </c>
      <c r="AP341" s="67">
        <f t="shared" si="252"/>
        <v>20644.688444494437</v>
      </c>
      <c r="AQ341" s="67">
        <f t="shared" si="252"/>
        <v>20210.926628010704</v>
      </c>
      <c r="AR341" s="67">
        <f t="shared" si="252"/>
        <v>18982.411456055972</v>
      </c>
      <c r="AS341" s="67">
        <f t="shared" si="252"/>
        <v>15402.948249946317</v>
      </c>
      <c r="AT341" s="67">
        <f t="shared" si="252"/>
        <v>14313.239481176843</v>
      </c>
      <c r="AU341" s="67">
        <f t="shared" si="252"/>
        <v>13358.250387104392</v>
      </c>
      <c r="AV341" s="67">
        <f t="shared" si="252"/>
        <v>11433.179581795817</v>
      </c>
      <c r="AW341" s="67">
        <f t="shared" si="252"/>
        <v>11036.549725442343</v>
      </c>
      <c r="AX341" s="67">
        <f t="shared" si="252"/>
        <v>12801.198999999999</v>
      </c>
      <c r="AY341" s="67">
        <f t="shared" si="252"/>
        <v>12751.539816082959</v>
      </c>
      <c r="AZ341" s="67">
        <f t="shared" si="252"/>
        <v>14109.443857458456</v>
      </c>
      <c r="BA341" s="67">
        <f t="shared" si="252"/>
        <v>14645.404380392529</v>
      </c>
      <c r="BB341" s="67">
        <f t="shared" si="252"/>
        <v>15176.773602199817</v>
      </c>
      <c r="BC341" s="67">
        <f t="shared" si="252"/>
        <v>10019.786687226933</v>
      </c>
      <c r="BD341" s="67">
        <f t="shared" si="252"/>
        <v>9260.1245187187687</v>
      </c>
      <c r="BE341" s="67">
        <f t="shared" si="252"/>
        <v>13694.568738530277</v>
      </c>
      <c r="BF341" s="67">
        <f t="shared" si="252"/>
        <v>16038.643816364774</v>
      </c>
      <c r="BG341" s="67">
        <f t="shared" si="252"/>
        <v>18997.387087497624</v>
      </c>
      <c r="BH341" s="67">
        <f t="shared" si="252"/>
        <v>21021.337004742236</v>
      </c>
    </row>
    <row r="342" spans="1:60" s="67" customFormat="1" x14ac:dyDescent="0.25">
      <c r="A342" s="67" t="str">
        <f t="shared" ref="A342:E342" si="257">A167</f>
        <v>DOD</v>
      </c>
      <c r="B342" s="67" t="str">
        <f t="shared" si="257"/>
        <v>RDT&amp;E</v>
      </c>
      <c r="C342" s="67">
        <f t="shared" si="257"/>
        <v>6.6</v>
      </c>
      <c r="D342" s="67" t="str">
        <f t="shared" si="257"/>
        <v>Steady</v>
      </c>
      <c r="E342" s="67" t="str">
        <f t="shared" si="257"/>
        <v>Subprograms</v>
      </c>
      <c r="F342" s="67" t="s">
        <v>90</v>
      </c>
      <c r="H342" s="67" t="str">
        <f t="shared" si="213"/>
        <v>Management Support</v>
      </c>
      <c r="I342" s="67">
        <f t="shared" si="214"/>
        <v>0</v>
      </c>
      <c r="J342" s="67">
        <f t="shared" si="252"/>
        <v>0</v>
      </c>
      <c r="K342" s="67">
        <f t="shared" si="252"/>
        <v>0</v>
      </c>
      <c r="L342" s="67">
        <f t="shared" si="252"/>
        <v>0</v>
      </c>
      <c r="M342" s="67">
        <f t="shared" si="252"/>
        <v>0</v>
      </c>
      <c r="N342" s="67">
        <f t="shared" si="252"/>
        <v>0</v>
      </c>
      <c r="O342" s="67">
        <f t="shared" si="252"/>
        <v>0</v>
      </c>
      <c r="P342" s="67">
        <f t="shared" si="252"/>
        <v>0</v>
      </c>
      <c r="Q342" s="67">
        <f t="shared" si="252"/>
        <v>0</v>
      </c>
      <c r="R342" s="67">
        <f t="shared" si="252"/>
        <v>0</v>
      </c>
      <c r="S342" s="67">
        <f t="shared" si="252"/>
        <v>0</v>
      </c>
      <c r="T342" s="67">
        <f t="shared" si="252"/>
        <v>0</v>
      </c>
      <c r="U342" s="67">
        <f t="shared" si="252"/>
        <v>0</v>
      </c>
      <c r="V342" s="67">
        <f t="shared" si="252"/>
        <v>0</v>
      </c>
      <c r="W342" s="67">
        <f t="shared" si="252"/>
        <v>0</v>
      </c>
      <c r="X342" s="67">
        <f t="shared" si="252"/>
        <v>0</v>
      </c>
      <c r="Y342" s="67">
        <f t="shared" si="252"/>
        <v>0</v>
      </c>
      <c r="Z342" s="67">
        <f t="shared" si="252"/>
        <v>0</v>
      </c>
      <c r="AA342" s="67">
        <f t="shared" si="252"/>
        <v>5298.3003274598477</v>
      </c>
      <c r="AB342" s="67">
        <f t="shared" si="252"/>
        <v>5139.1728979093541</v>
      </c>
      <c r="AC342" s="67">
        <f t="shared" si="252"/>
        <v>5526.0011954572619</v>
      </c>
      <c r="AD342" s="67">
        <f t="shared" si="252"/>
        <v>5359.3429158110885</v>
      </c>
      <c r="AE342" s="67">
        <f t="shared" si="252"/>
        <v>4993.5149156939042</v>
      </c>
      <c r="AF342" s="67">
        <f t="shared" si="252"/>
        <v>5004.2698548249364</v>
      </c>
      <c r="AG342" s="67">
        <f t="shared" si="252"/>
        <v>4995.0794320258674</v>
      </c>
      <c r="AH342" s="67">
        <f t="shared" si="252"/>
        <v>4306.5693430656938</v>
      </c>
      <c r="AI342" s="67">
        <f t="shared" si="252"/>
        <v>4493.7474788221052</v>
      </c>
      <c r="AJ342" s="67">
        <f t="shared" si="252"/>
        <v>4826.5819433412762</v>
      </c>
      <c r="AK342" s="67">
        <f t="shared" si="252"/>
        <v>5129.9606948142518</v>
      </c>
      <c r="AL342" s="67">
        <f t="shared" si="252"/>
        <v>5466.9619785898858</v>
      </c>
      <c r="AM342" s="67">
        <f t="shared" si="252"/>
        <v>5634.0579191991419</v>
      </c>
      <c r="AN342" s="67">
        <f t="shared" si="252"/>
        <v>4676.0357225701691</v>
      </c>
      <c r="AO342" s="67">
        <f t="shared" si="252"/>
        <v>6210.8078627428695</v>
      </c>
      <c r="AP342" s="67">
        <f t="shared" si="252"/>
        <v>5119.7543961309193</v>
      </c>
      <c r="AQ342" s="67">
        <f t="shared" si="252"/>
        <v>6671.272301516502</v>
      </c>
      <c r="AR342" s="67">
        <f t="shared" si="252"/>
        <v>5198.7024486226501</v>
      </c>
      <c r="AS342" s="67">
        <f t="shared" si="252"/>
        <v>6078.1264762722776</v>
      </c>
      <c r="AT342" s="67">
        <f t="shared" si="252"/>
        <v>6004.093641252769</v>
      </c>
      <c r="AU342" s="67">
        <f t="shared" si="252"/>
        <v>4311.3127643164871</v>
      </c>
      <c r="AV342" s="67">
        <f t="shared" si="252"/>
        <v>5428.5629356293557</v>
      </c>
      <c r="AW342" s="67">
        <f t="shared" si="252"/>
        <v>5510.7250355908072</v>
      </c>
      <c r="AX342" s="67">
        <f t="shared" si="252"/>
        <v>5579.2890000000007</v>
      </c>
      <c r="AY342" s="67">
        <f t="shared" si="252"/>
        <v>5718.1040892193314</v>
      </c>
      <c r="AZ342" s="67">
        <f t="shared" si="252"/>
        <v>6386.3711459033711</v>
      </c>
      <c r="BA342" s="67">
        <f t="shared" si="252"/>
        <v>8603.3488195695463</v>
      </c>
      <c r="BB342" s="67">
        <f t="shared" si="252"/>
        <v>8743.0733272227335</v>
      </c>
      <c r="BC342" s="67">
        <f t="shared" ref="J342:BH347" si="258">BC167/BC$175</f>
        <v>7577.7837745224024</v>
      </c>
      <c r="BD342" s="67">
        <f t="shared" si="258"/>
        <v>8282.679610059804</v>
      </c>
      <c r="BE342" s="67">
        <f t="shared" si="258"/>
        <v>9305.449613021623</v>
      </c>
      <c r="BF342" s="67">
        <f t="shared" si="258"/>
        <v>6869.00062460962</v>
      </c>
      <c r="BG342" s="67">
        <f t="shared" si="258"/>
        <v>6481.5692182641851</v>
      </c>
      <c r="BH342" s="67">
        <f t="shared" si="258"/>
        <v>7527.8529906685053</v>
      </c>
    </row>
    <row r="343" spans="1:60" s="67" customFormat="1" x14ac:dyDescent="0.25">
      <c r="A343" s="67" t="str">
        <f t="shared" ref="A343:E343" si="259">A168</f>
        <v>DOD</v>
      </c>
      <c r="B343" s="67" t="str">
        <f t="shared" si="259"/>
        <v>RDT&amp;E</v>
      </c>
      <c r="C343" s="67">
        <f t="shared" si="259"/>
        <v>6.7</v>
      </c>
      <c r="D343" s="67" t="str">
        <f t="shared" si="259"/>
        <v>Steady</v>
      </c>
      <c r="E343" s="67" t="str">
        <f t="shared" si="259"/>
        <v>Subprograms</v>
      </c>
      <c r="F343" s="67" t="s">
        <v>90</v>
      </c>
      <c r="H343" s="67" t="str">
        <f t="shared" si="213"/>
        <v>Operational Systems Development</v>
      </c>
      <c r="I343" s="67">
        <f t="shared" si="214"/>
        <v>0</v>
      </c>
      <c r="J343" s="67">
        <f t="shared" si="258"/>
        <v>0</v>
      </c>
      <c r="K343" s="67">
        <f t="shared" si="258"/>
        <v>0</v>
      </c>
      <c r="L343" s="67">
        <f t="shared" si="258"/>
        <v>0</v>
      </c>
      <c r="M343" s="67">
        <f t="shared" si="258"/>
        <v>0</v>
      </c>
      <c r="N343" s="67">
        <f t="shared" si="258"/>
        <v>0</v>
      </c>
      <c r="O343" s="67">
        <f t="shared" si="258"/>
        <v>0</v>
      </c>
      <c r="P343" s="67">
        <f t="shared" si="258"/>
        <v>0</v>
      </c>
      <c r="Q343" s="67">
        <f t="shared" si="258"/>
        <v>0</v>
      </c>
      <c r="R343" s="67">
        <f t="shared" si="258"/>
        <v>0</v>
      </c>
      <c r="S343" s="67">
        <f t="shared" si="258"/>
        <v>0</v>
      </c>
      <c r="T343" s="67">
        <f t="shared" si="258"/>
        <v>0</v>
      </c>
      <c r="U343" s="67">
        <f t="shared" si="258"/>
        <v>0</v>
      </c>
      <c r="V343" s="67">
        <f t="shared" si="258"/>
        <v>0</v>
      </c>
      <c r="W343" s="67">
        <f t="shared" si="258"/>
        <v>0</v>
      </c>
      <c r="X343" s="67">
        <f t="shared" si="258"/>
        <v>0</v>
      </c>
      <c r="Y343" s="67">
        <f t="shared" si="258"/>
        <v>0</v>
      </c>
      <c r="Z343" s="67">
        <f t="shared" si="258"/>
        <v>0</v>
      </c>
      <c r="AA343" s="67">
        <f t="shared" si="258"/>
        <v>16429.128333073444</v>
      </c>
      <c r="AB343" s="67">
        <f t="shared" si="258"/>
        <v>17155.348695254081</v>
      </c>
      <c r="AC343" s="67">
        <f t="shared" si="258"/>
        <v>14920.800956365809</v>
      </c>
      <c r="AD343" s="67">
        <f t="shared" si="258"/>
        <v>14906.130830155471</v>
      </c>
      <c r="AE343" s="67">
        <f t="shared" si="258"/>
        <v>16061.392131431043</v>
      </c>
      <c r="AF343" s="67">
        <f t="shared" si="258"/>
        <v>15819.812126387702</v>
      </c>
      <c r="AG343" s="67">
        <f t="shared" si="258"/>
        <v>16824.124841838886</v>
      </c>
      <c r="AH343" s="67">
        <f t="shared" si="258"/>
        <v>16372.400495799477</v>
      </c>
      <c r="AI343" s="67">
        <f t="shared" si="258"/>
        <v>17453.274169692078</v>
      </c>
      <c r="AJ343" s="67">
        <f t="shared" si="258"/>
        <v>18934.339422822348</v>
      </c>
      <c r="AK343" s="67">
        <f t="shared" si="258"/>
        <v>24728.033472803349</v>
      </c>
      <c r="AL343" s="67">
        <f t="shared" si="258"/>
        <v>24298.01894918174</v>
      </c>
      <c r="AM343" s="67">
        <f t="shared" si="258"/>
        <v>24308.795137647478</v>
      </c>
      <c r="AN343" s="67">
        <f t="shared" si="258"/>
        <v>24718.73347251218</v>
      </c>
      <c r="AO343" s="67">
        <f t="shared" si="258"/>
        <v>27542.49744347233</v>
      </c>
      <c r="AP343" s="67">
        <f t="shared" si="258"/>
        <v>30443.991283770105</v>
      </c>
      <c r="AQ343" s="67">
        <f t="shared" si="258"/>
        <v>31578.441123996432</v>
      </c>
      <c r="AR343" s="67">
        <f t="shared" si="258"/>
        <v>33408.822693484915</v>
      </c>
      <c r="AS343" s="67">
        <f t="shared" si="258"/>
        <v>12554.952759287091</v>
      </c>
      <c r="AT343" s="67">
        <f t="shared" si="258"/>
        <v>11187.60835178741</v>
      </c>
      <c r="AU343" s="67">
        <f t="shared" si="258"/>
        <v>9337.790703914663</v>
      </c>
      <c r="AV343" s="67">
        <f t="shared" si="258"/>
        <v>7718.1191061910622</v>
      </c>
      <c r="AW343" s="67">
        <f t="shared" si="258"/>
        <v>8134.1458206223324</v>
      </c>
      <c r="AX343" s="67">
        <f t="shared" si="258"/>
        <v>8370.4459999999999</v>
      </c>
      <c r="AY343" s="67">
        <f t="shared" si="258"/>
        <v>26359.77499510859</v>
      </c>
      <c r="AZ343" s="67">
        <f t="shared" si="258"/>
        <v>11060.270867351841</v>
      </c>
      <c r="BA343" s="67">
        <f t="shared" si="258"/>
        <v>33103.973641793877</v>
      </c>
      <c r="BB343" s="67">
        <f t="shared" si="258"/>
        <v>34334.401466544448</v>
      </c>
      <c r="BC343" s="67">
        <f t="shared" si="258"/>
        <v>28678.974556669233</v>
      </c>
      <c r="BD343" s="67">
        <f t="shared" si="258"/>
        <v>30725.174899647744</v>
      </c>
      <c r="BE343" s="67">
        <f t="shared" si="258"/>
        <v>33140.719699992012</v>
      </c>
      <c r="BF343" s="67">
        <f t="shared" si="258"/>
        <v>33663.46189881325</v>
      </c>
      <c r="BG343" s="67">
        <f t="shared" si="258"/>
        <v>37646.269733923255</v>
      </c>
      <c r="BH343" s="67">
        <f t="shared" si="258"/>
        <v>41606.160318188769</v>
      </c>
    </row>
    <row r="344" spans="1:60" s="67" customFormat="1" x14ac:dyDescent="0.25">
      <c r="A344" s="67" t="str">
        <f t="shared" ref="A344:E344" si="260">A169</f>
        <v>DOD</v>
      </c>
      <c r="B344" s="67" t="str">
        <f t="shared" si="260"/>
        <v>RDT&amp;E</v>
      </c>
      <c r="C344" s="67">
        <f t="shared" si="260"/>
        <v>6.8</v>
      </c>
      <c r="D344" s="67" t="str">
        <f t="shared" si="260"/>
        <v>Steady</v>
      </c>
      <c r="E344" s="67" t="str">
        <f t="shared" si="260"/>
        <v>Subprograms</v>
      </c>
      <c r="F344" s="67" t="s">
        <v>90</v>
      </c>
      <c r="H344" s="67" t="str">
        <f t="shared" si="213"/>
        <v>Software and Digital Technology Pilot Programs</v>
      </c>
      <c r="I344" s="67">
        <f t="shared" si="214"/>
        <v>0</v>
      </c>
      <c r="J344" s="67">
        <f t="shared" si="258"/>
        <v>0</v>
      </c>
      <c r="K344" s="67">
        <f t="shared" si="258"/>
        <v>0</v>
      </c>
      <c r="L344" s="67">
        <f t="shared" si="258"/>
        <v>0</v>
      </c>
      <c r="M344" s="67">
        <f t="shared" si="258"/>
        <v>0</v>
      </c>
      <c r="N344" s="67">
        <f t="shared" si="258"/>
        <v>0</v>
      </c>
      <c r="O344" s="67">
        <f t="shared" si="258"/>
        <v>0</v>
      </c>
      <c r="P344" s="67">
        <f t="shared" si="258"/>
        <v>0</v>
      </c>
      <c r="Q344" s="67">
        <f t="shared" si="258"/>
        <v>0</v>
      </c>
      <c r="R344" s="67">
        <f t="shared" si="258"/>
        <v>0</v>
      </c>
      <c r="S344" s="67">
        <f t="shared" si="258"/>
        <v>0</v>
      </c>
      <c r="T344" s="67">
        <f t="shared" si="258"/>
        <v>0</v>
      </c>
      <c r="U344" s="67">
        <f t="shared" si="258"/>
        <v>0</v>
      </c>
      <c r="V344" s="67">
        <f t="shared" si="258"/>
        <v>0</v>
      </c>
      <c r="W344" s="67">
        <f t="shared" si="258"/>
        <v>0</v>
      </c>
      <c r="X344" s="67">
        <f t="shared" si="258"/>
        <v>0</v>
      </c>
      <c r="Y344" s="67">
        <f t="shared" si="258"/>
        <v>0</v>
      </c>
      <c r="Z344" s="67">
        <f t="shared" si="258"/>
        <v>0</v>
      </c>
      <c r="AA344" s="67">
        <f t="shared" si="258"/>
        <v>0</v>
      </c>
      <c r="AB344" s="67">
        <f t="shared" si="258"/>
        <v>0</v>
      </c>
      <c r="AC344" s="67">
        <f t="shared" si="258"/>
        <v>0</v>
      </c>
      <c r="AD344" s="67">
        <f t="shared" si="258"/>
        <v>0</v>
      </c>
      <c r="AE344" s="67">
        <f t="shared" si="258"/>
        <v>0</v>
      </c>
      <c r="AF344" s="67">
        <f t="shared" si="258"/>
        <v>0</v>
      </c>
      <c r="AG344" s="67">
        <f t="shared" si="258"/>
        <v>0</v>
      </c>
      <c r="AH344" s="67">
        <f t="shared" si="258"/>
        <v>0</v>
      </c>
      <c r="AI344" s="67">
        <f t="shared" si="258"/>
        <v>0</v>
      </c>
      <c r="AJ344" s="67">
        <f t="shared" si="258"/>
        <v>0</v>
      </c>
      <c r="AK344" s="67">
        <f t="shared" si="258"/>
        <v>0</v>
      </c>
      <c r="AL344" s="67">
        <f t="shared" si="258"/>
        <v>0</v>
      </c>
      <c r="AM344" s="67">
        <f t="shared" si="258"/>
        <v>0</v>
      </c>
      <c r="AN344" s="67">
        <f t="shared" si="258"/>
        <v>0</v>
      </c>
      <c r="AO344" s="67">
        <f t="shared" si="258"/>
        <v>0</v>
      </c>
      <c r="AP344" s="67">
        <f t="shared" si="258"/>
        <v>0</v>
      </c>
      <c r="AQ344" s="67">
        <f t="shared" si="258"/>
        <v>0</v>
      </c>
      <c r="AR344" s="67">
        <f t="shared" si="258"/>
        <v>0</v>
      </c>
      <c r="AS344" s="67">
        <f t="shared" si="258"/>
        <v>0</v>
      </c>
      <c r="AT344" s="67">
        <f t="shared" si="258"/>
        <v>0</v>
      </c>
      <c r="AU344" s="67">
        <f t="shared" si="258"/>
        <v>0</v>
      </c>
      <c r="AV344" s="67">
        <f t="shared" si="258"/>
        <v>0</v>
      </c>
      <c r="AW344" s="67">
        <f t="shared" si="258"/>
        <v>0</v>
      </c>
      <c r="AX344" s="67">
        <f t="shared" si="258"/>
        <v>0</v>
      </c>
      <c r="AY344" s="67">
        <f t="shared" si="258"/>
        <v>0</v>
      </c>
      <c r="AZ344" s="67">
        <f t="shared" si="258"/>
        <v>0</v>
      </c>
      <c r="BA344" s="67">
        <f t="shared" si="258"/>
        <v>0</v>
      </c>
      <c r="BB344" s="67">
        <f t="shared" si="258"/>
        <v>0</v>
      </c>
      <c r="BC344" s="67">
        <f t="shared" si="258"/>
        <v>370.86010451469207</v>
      </c>
      <c r="BD344" s="67">
        <f t="shared" si="258"/>
        <v>525.68690095846637</v>
      </c>
      <c r="BE344" s="67">
        <f t="shared" si="258"/>
        <v>235.02513364717146</v>
      </c>
      <c r="BF344" s="67">
        <f t="shared" si="258"/>
        <v>585.43956901936292</v>
      </c>
      <c r="BG344" s="67">
        <f t="shared" si="258"/>
        <v>662.23193289687197</v>
      </c>
      <c r="BH344" s="67">
        <f t="shared" si="258"/>
        <v>634.30166743154359</v>
      </c>
    </row>
    <row r="345" spans="1:60" s="67" customFormat="1" x14ac:dyDescent="0.25">
      <c r="A345" s="67" t="str">
        <f t="shared" ref="A345:E345" si="261">A170</f>
        <v>DOD</v>
      </c>
      <c r="B345" s="67" t="str">
        <f t="shared" si="261"/>
        <v>RDT&amp;E</v>
      </c>
      <c r="C345" s="67" t="str">
        <f t="shared" si="261"/>
        <v>Development</v>
      </c>
      <c r="D345" s="67" t="str">
        <f t="shared" si="261"/>
        <v>Steady</v>
      </c>
      <c r="E345" s="67" t="str">
        <f t="shared" si="261"/>
        <v>Subprograms</v>
      </c>
      <c r="F345" s="67" t="s">
        <v>90</v>
      </c>
      <c r="I345" s="67">
        <f t="shared" si="214"/>
        <v>26988.835132117598</v>
      </c>
      <c r="J345" s="67">
        <f t="shared" si="258"/>
        <v>27876.826722338206</v>
      </c>
      <c r="K345" s="67">
        <f t="shared" si="258"/>
        <v>28910.12329656068</v>
      </c>
      <c r="L345" s="67">
        <f t="shared" si="258"/>
        <v>29405.290361812098</v>
      </c>
      <c r="M345" s="67">
        <f t="shared" si="258"/>
        <v>29176.933895921236</v>
      </c>
      <c r="N345" s="67">
        <f t="shared" si="258"/>
        <v>29058.214747736092</v>
      </c>
      <c r="O345" s="67">
        <f t="shared" si="258"/>
        <v>33066.446748350616</v>
      </c>
      <c r="P345" s="67">
        <f t="shared" si="258"/>
        <v>37827.715355805238</v>
      </c>
      <c r="Q345" s="67">
        <f t="shared" si="258"/>
        <v>41348.321722609238</v>
      </c>
      <c r="R345" s="67">
        <f t="shared" si="258"/>
        <v>48672.101080089669</v>
      </c>
      <c r="S345" s="67">
        <f t="shared" si="258"/>
        <v>54141.195030565963</v>
      </c>
      <c r="T345" s="67">
        <f t="shared" si="258"/>
        <v>58714.75409836066</v>
      </c>
      <c r="U345" s="67">
        <f t="shared" si="258"/>
        <v>61694.963214487834</v>
      </c>
      <c r="V345" s="67">
        <f t="shared" si="258"/>
        <v>61605.335282294902</v>
      </c>
      <c r="W345" s="67">
        <f t="shared" si="258"/>
        <v>59736.740428521247</v>
      </c>
      <c r="X345" s="67">
        <f t="shared" si="258"/>
        <v>56415.452389020676</v>
      </c>
      <c r="Y345" s="67">
        <f t="shared" si="258"/>
        <v>52849.010305905445</v>
      </c>
      <c r="Z345" s="67">
        <f t="shared" si="258"/>
        <v>51896.744334503666</v>
      </c>
      <c r="AA345" s="67">
        <f t="shared" si="258"/>
        <v>0</v>
      </c>
      <c r="AB345" s="67">
        <f t="shared" si="258"/>
        <v>0</v>
      </c>
      <c r="AC345" s="67">
        <f t="shared" si="258"/>
        <v>0</v>
      </c>
      <c r="AD345" s="67">
        <f t="shared" si="258"/>
        <v>0</v>
      </c>
      <c r="AE345" s="67">
        <f t="shared" si="258"/>
        <v>0</v>
      </c>
      <c r="AF345" s="67">
        <f t="shared" si="258"/>
        <v>0</v>
      </c>
      <c r="AG345" s="67">
        <f t="shared" si="258"/>
        <v>0</v>
      </c>
      <c r="AH345" s="67">
        <f t="shared" si="258"/>
        <v>0</v>
      </c>
      <c r="AI345" s="67">
        <f t="shared" si="258"/>
        <v>0</v>
      </c>
      <c r="AJ345" s="67">
        <f t="shared" si="258"/>
        <v>0</v>
      </c>
      <c r="AK345" s="67">
        <f t="shared" si="258"/>
        <v>0</v>
      </c>
      <c r="AL345" s="67">
        <f t="shared" si="258"/>
        <v>0</v>
      </c>
      <c r="AM345" s="67">
        <f t="shared" si="258"/>
        <v>0</v>
      </c>
      <c r="AN345" s="67">
        <f t="shared" si="258"/>
        <v>0</v>
      </c>
      <c r="AO345" s="67">
        <f t="shared" si="258"/>
        <v>0</v>
      </c>
      <c r="AP345" s="67">
        <f t="shared" si="258"/>
        <v>0</v>
      </c>
      <c r="AQ345" s="67">
        <f t="shared" si="258"/>
        <v>0</v>
      </c>
      <c r="AR345" s="67">
        <f t="shared" si="258"/>
        <v>0</v>
      </c>
      <c r="AS345" s="67">
        <f t="shared" si="258"/>
        <v>0</v>
      </c>
      <c r="AT345" s="67">
        <f t="shared" si="258"/>
        <v>0</v>
      </c>
      <c r="AU345" s="67">
        <f t="shared" si="258"/>
        <v>0</v>
      </c>
      <c r="AV345" s="67">
        <f t="shared" si="258"/>
        <v>0</v>
      </c>
      <c r="AW345" s="67">
        <f t="shared" si="258"/>
        <v>0</v>
      </c>
      <c r="AX345" s="67">
        <f t="shared" si="258"/>
        <v>0</v>
      </c>
      <c r="AY345" s="67">
        <f t="shared" si="258"/>
        <v>0</v>
      </c>
      <c r="AZ345" s="67">
        <f t="shared" si="258"/>
        <v>0</v>
      </c>
      <c r="BA345" s="67">
        <f t="shared" si="258"/>
        <v>0</v>
      </c>
      <c r="BB345" s="67">
        <f t="shared" si="258"/>
        <v>0</v>
      </c>
      <c r="BC345" s="67">
        <f t="shared" si="258"/>
        <v>0</v>
      </c>
      <c r="BD345" s="67">
        <f t="shared" si="258"/>
        <v>0</v>
      </c>
      <c r="BE345" s="67">
        <f t="shared" si="258"/>
        <v>0</v>
      </c>
      <c r="BF345" s="67">
        <f t="shared" si="258"/>
        <v>0</v>
      </c>
      <c r="BG345" s="67">
        <f t="shared" si="258"/>
        <v>0</v>
      </c>
      <c r="BH345" s="67">
        <f t="shared" si="258"/>
        <v>0</v>
      </c>
    </row>
    <row r="346" spans="1:60" s="67" customFormat="1" x14ac:dyDescent="0.25">
      <c r="A346" s="67" t="str">
        <f t="shared" ref="A346:E346" si="262">A171</f>
        <v>DOD</v>
      </c>
      <c r="B346" s="67" t="str">
        <f t="shared" si="262"/>
        <v>Defense Health</v>
      </c>
      <c r="C346" s="67" t="str">
        <f t="shared" si="262"/>
        <v>Defense Health</v>
      </c>
      <c r="D346" s="67" t="str">
        <f t="shared" si="262"/>
        <v>Steady</v>
      </c>
      <c r="E346" s="67" t="str">
        <f t="shared" si="262"/>
        <v>Program</v>
      </c>
      <c r="F346" s="67" t="s">
        <v>90</v>
      </c>
      <c r="I346" s="67">
        <f t="shared" si="214"/>
        <v>0</v>
      </c>
      <c r="J346" s="67">
        <f t="shared" si="258"/>
        <v>0</v>
      </c>
      <c r="K346" s="67">
        <f t="shared" si="258"/>
        <v>0</v>
      </c>
      <c r="L346" s="67">
        <f t="shared" si="258"/>
        <v>0</v>
      </c>
      <c r="M346" s="67">
        <f t="shared" si="258"/>
        <v>0</v>
      </c>
      <c r="N346" s="67">
        <f t="shared" si="258"/>
        <v>0</v>
      </c>
      <c r="O346" s="67">
        <f t="shared" si="258"/>
        <v>0</v>
      </c>
      <c r="P346" s="67">
        <f t="shared" si="258"/>
        <v>0</v>
      </c>
      <c r="Q346" s="67">
        <f t="shared" si="258"/>
        <v>0</v>
      </c>
      <c r="R346" s="67">
        <f t="shared" si="258"/>
        <v>0</v>
      </c>
      <c r="S346" s="67">
        <f t="shared" si="258"/>
        <v>0</v>
      </c>
      <c r="T346" s="67">
        <f t="shared" si="258"/>
        <v>0</v>
      </c>
      <c r="U346" s="67">
        <f t="shared" si="258"/>
        <v>0</v>
      </c>
      <c r="V346" s="67">
        <f t="shared" si="258"/>
        <v>0</v>
      </c>
      <c r="W346" s="67">
        <f t="shared" si="258"/>
        <v>0</v>
      </c>
      <c r="X346" s="67">
        <f t="shared" si="258"/>
        <v>0</v>
      </c>
      <c r="Y346" s="67">
        <f t="shared" si="258"/>
        <v>0</v>
      </c>
      <c r="Z346" s="67">
        <f t="shared" si="258"/>
        <v>0</v>
      </c>
      <c r="AA346" s="67">
        <f t="shared" si="258"/>
        <v>0</v>
      </c>
      <c r="AB346" s="67">
        <f t="shared" si="258"/>
        <v>0</v>
      </c>
      <c r="AC346" s="67">
        <f t="shared" si="258"/>
        <v>0</v>
      </c>
      <c r="AD346" s="67">
        <f t="shared" si="258"/>
        <v>0</v>
      </c>
      <c r="AE346" s="67">
        <f t="shared" si="258"/>
        <v>0</v>
      </c>
      <c r="AF346" s="67">
        <f t="shared" si="258"/>
        <v>0</v>
      </c>
      <c r="AG346" s="67">
        <f t="shared" si="258"/>
        <v>53.42330943343174</v>
      </c>
      <c r="AH346" s="67">
        <f t="shared" si="258"/>
        <v>406.2801267043107</v>
      </c>
      <c r="AI346" s="67">
        <f t="shared" si="258"/>
        <v>580.8793868495361</v>
      </c>
      <c r="AJ346" s="67">
        <f t="shared" si="258"/>
        <v>614.24410908128152</v>
      </c>
      <c r="AK346" s="67">
        <f t="shared" si="258"/>
        <v>580.70242170660583</v>
      </c>
      <c r="AL346" s="67">
        <f t="shared" si="258"/>
        <v>598.00664451827242</v>
      </c>
      <c r="AM346" s="67">
        <f t="shared" si="258"/>
        <v>623.42271481349076</v>
      </c>
      <c r="AN346" s="67">
        <f t="shared" si="258"/>
        <v>622.68963117606131</v>
      </c>
      <c r="AO346" s="67">
        <f t="shared" si="258"/>
        <v>772.29860243154189</v>
      </c>
      <c r="AP346" s="67">
        <f t="shared" si="258"/>
        <v>1004.7780452142616</v>
      </c>
      <c r="AQ346" s="67">
        <f t="shared" si="258"/>
        <v>1006.4206066012488</v>
      </c>
      <c r="AR346" s="67">
        <f t="shared" si="258"/>
        <v>1399.2643200699608</v>
      </c>
      <c r="AS346" s="67">
        <f t="shared" si="258"/>
        <v>1294.5565814902297</v>
      </c>
      <c r="AT346" s="67">
        <f t="shared" si="258"/>
        <v>1341.8084994200146</v>
      </c>
      <c r="AU346" s="67">
        <f t="shared" si="258"/>
        <v>1248.0501971893123</v>
      </c>
      <c r="AV346" s="67">
        <f t="shared" si="258"/>
        <v>1753.058630586306</v>
      </c>
      <c r="AW346" s="67">
        <f t="shared" si="258"/>
        <v>1727.2879804758998</v>
      </c>
      <c r="AX346" s="67">
        <f t="shared" si="258"/>
        <v>2121.4520000000002</v>
      </c>
      <c r="AY346" s="67">
        <f t="shared" si="258"/>
        <v>2055.9841518293874</v>
      </c>
      <c r="AZ346" s="67">
        <f t="shared" si="258"/>
        <v>1958.807991547402</v>
      </c>
      <c r="BA346" s="67">
        <f t="shared" si="258"/>
        <v>2186.4937897032332</v>
      </c>
      <c r="BB346" s="67">
        <f t="shared" si="258"/>
        <v>3352.8826764436299</v>
      </c>
      <c r="BC346" s="67">
        <f t="shared" si="258"/>
        <v>2051.81273023216</v>
      </c>
      <c r="BD346" s="67">
        <f t="shared" si="258"/>
        <v>2157.3588924387645</v>
      </c>
      <c r="BE346" s="67">
        <f t="shared" si="258"/>
        <v>2426.8810340700552</v>
      </c>
      <c r="BF346" s="67">
        <f t="shared" si="258"/>
        <v>2246.2898188632103</v>
      </c>
      <c r="BG346" s="67">
        <f t="shared" si="258"/>
        <v>1296.7997552394065</v>
      </c>
      <c r="BH346" s="67">
        <f t="shared" si="258"/>
        <v>800.82606700321253</v>
      </c>
    </row>
    <row r="347" spans="1:60" s="67" customFormat="1" x14ac:dyDescent="0.25">
      <c r="A347" s="67" t="str">
        <f t="shared" ref="A347:E347" si="263">A172</f>
        <v>DOD</v>
      </c>
      <c r="B347" s="67" t="str">
        <f t="shared" si="263"/>
        <v>DARPA</v>
      </c>
      <c r="C347" s="67" t="str">
        <f t="shared" si="263"/>
        <v>DARPA</v>
      </c>
      <c r="D347" s="67" t="str">
        <f t="shared" si="263"/>
        <v>Steady</v>
      </c>
      <c r="E347" s="67" t="str">
        <f t="shared" si="263"/>
        <v>Program</v>
      </c>
      <c r="F347" s="67" t="s">
        <v>90</v>
      </c>
      <c r="H347" s="67" t="str">
        <f t="shared" si="213"/>
        <v>Defense Advanced Research Projects Agency</v>
      </c>
      <c r="I347" s="67">
        <f t="shared" si="214"/>
        <v>0</v>
      </c>
      <c r="J347" s="67">
        <f t="shared" si="258"/>
        <v>0</v>
      </c>
      <c r="K347" s="67">
        <f t="shared" si="258"/>
        <v>0</v>
      </c>
      <c r="L347" s="67">
        <f t="shared" si="258"/>
        <v>0</v>
      </c>
      <c r="M347" s="67">
        <f t="shared" si="258"/>
        <v>0</v>
      </c>
      <c r="N347" s="67">
        <f t="shared" si="258"/>
        <v>0</v>
      </c>
      <c r="O347" s="67">
        <f t="shared" si="258"/>
        <v>1367.1065032987749</v>
      </c>
      <c r="P347" s="67">
        <f t="shared" si="258"/>
        <v>1487.9929499889843</v>
      </c>
      <c r="Q347" s="67">
        <f t="shared" si="258"/>
        <v>1540.2153261557949</v>
      </c>
      <c r="R347" s="67">
        <f t="shared" si="258"/>
        <v>1759.5272060321988</v>
      </c>
      <c r="S347" s="67">
        <f t="shared" si="258"/>
        <v>1251.0352987576414</v>
      </c>
      <c r="T347" s="67">
        <f t="shared" si="258"/>
        <v>1335.7762777242046</v>
      </c>
      <c r="U347" s="67">
        <f t="shared" si="258"/>
        <v>1470.477268439917</v>
      </c>
      <c r="V347" s="67">
        <f t="shared" si="258"/>
        <v>1594.0069431755892</v>
      </c>
      <c r="W347" s="67">
        <f t="shared" si="258"/>
        <v>2263.962065331928</v>
      </c>
      <c r="X347" s="67">
        <f t="shared" si="258"/>
        <v>2061.335140630295</v>
      </c>
      <c r="Y347" s="67">
        <f t="shared" si="258"/>
        <v>2397.34991002781</v>
      </c>
      <c r="Z347" s="67">
        <f t="shared" si="258"/>
        <v>2549.1541653367376</v>
      </c>
      <c r="AA347" s="67">
        <f t="shared" si="258"/>
        <v>3553.4071417433343</v>
      </c>
      <c r="AB347" s="67">
        <f t="shared" si="258"/>
        <v>4041.8129101175032</v>
      </c>
      <c r="AC347" s="67">
        <f t="shared" si="258"/>
        <v>3544.5307830245069</v>
      </c>
      <c r="AD347" s="67">
        <f t="shared" si="258"/>
        <v>3327.9554121443239</v>
      </c>
      <c r="AE347" s="67">
        <f t="shared" si="258"/>
        <v>2983.1387808041504</v>
      </c>
      <c r="AF347" s="67">
        <f t="shared" si="258"/>
        <v>2852.2630230572158</v>
      </c>
      <c r="AG347" s="67">
        <f t="shared" si="258"/>
        <v>2654.2949529031348</v>
      </c>
      <c r="AH347" s="67">
        <f t="shared" si="258"/>
        <v>2583.6661616857182</v>
      </c>
      <c r="AI347" s="67">
        <f t="shared" si="258"/>
        <v>2658.3299717628074</v>
      </c>
      <c r="AJ347" s="67">
        <f t="shared" si="258"/>
        <v>2991.7924278527935</v>
      </c>
      <c r="AK347" s="67">
        <f t="shared" si="258"/>
        <v>3366.2989729935339</v>
      </c>
      <c r="AL347" s="67">
        <f t="shared" si="258"/>
        <v>3463.7627660883477</v>
      </c>
      <c r="AM347" s="67">
        <f t="shared" si="258"/>
        <v>3512.0962936479564</v>
      </c>
      <c r="AN347" s="67">
        <f t="shared" si="258"/>
        <v>3329.8538622129436</v>
      </c>
      <c r="AO347" s="67">
        <f t="shared" si="258"/>
        <v>3304.1699806840134</v>
      </c>
      <c r="AP347" s="67">
        <f t="shared" si="258"/>
        <v>2824.204251490271</v>
      </c>
      <c r="AQ347" s="67">
        <f t="shared" si="258"/>
        <v>3361.5789473684213</v>
      </c>
      <c r="AR347" s="67">
        <f t="shared" si="258"/>
        <v>3269.8283777874949</v>
      </c>
      <c r="AS347" s="67">
        <f t="shared" si="258"/>
        <v>3043.9188318660085</v>
      </c>
      <c r="AT347" s="67">
        <f t="shared" si="258"/>
        <v>2967.4976273331222</v>
      </c>
      <c r="AU347" s="67">
        <f t="shared" si="258"/>
        <v>2877.6470588235293</v>
      </c>
      <c r="AV347" s="67">
        <f t="shared" si="258"/>
        <v>2821.5006150061499</v>
      </c>
      <c r="AW347" s="67">
        <f t="shared" si="258"/>
        <v>2965.1535489119378</v>
      </c>
      <c r="AX347" s="67">
        <f t="shared" si="258"/>
        <v>2868.2809999999999</v>
      </c>
      <c r="AY347" s="67">
        <f t="shared" si="258"/>
        <v>2824.9471727646255</v>
      </c>
      <c r="AZ347" s="67">
        <f t="shared" si="258"/>
        <v>2950.3275381807698</v>
      </c>
      <c r="BA347" s="67">
        <f t="shared" si="258"/>
        <v>3247.8894472361808</v>
      </c>
      <c r="BB347" s="67">
        <f t="shared" si="258"/>
        <v>3273.4381301558205</v>
      </c>
      <c r="BC347" s="67">
        <f t="shared" ref="J347:BH348" si="264">BC172/BC$175</f>
        <v>3001.840143921871</v>
      </c>
      <c r="BD347" s="67">
        <f t="shared" si="264"/>
        <v>3168.5016793642994</v>
      </c>
      <c r="BE347" s="67">
        <f t="shared" si="264"/>
        <v>3220.5170350275271</v>
      </c>
      <c r="BF347" s="67">
        <f t="shared" si="264"/>
        <v>3426.2820112429731</v>
      </c>
      <c r="BG347" s="67">
        <f t="shared" si="264"/>
        <v>3170.9446229157111</v>
      </c>
      <c r="BH347" s="67">
        <f t="shared" si="264"/>
        <v>3492.2709193819796</v>
      </c>
    </row>
    <row r="348" spans="1:60" s="67" customFormat="1" x14ac:dyDescent="0.25">
      <c r="A348" s="67" t="str">
        <f t="shared" ref="A348:E348" si="265">A173</f>
        <v>DOD</v>
      </c>
      <c r="B348" s="67" t="str">
        <f t="shared" si="265"/>
        <v>ChemBio</v>
      </c>
      <c r="C348" s="67" t="str">
        <f t="shared" si="265"/>
        <v>ChemBio</v>
      </c>
      <c r="D348" s="67" t="str">
        <f t="shared" si="265"/>
        <v>Steady</v>
      </c>
      <c r="E348" s="67" t="str">
        <f t="shared" si="265"/>
        <v>Program</v>
      </c>
      <c r="F348" s="67" t="s">
        <v>90</v>
      </c>
      <c r="H348" s="67" t="str">
        <f t="shared" si="213"/>
        <v>Chemical and Biological Defense</v>
      </c>
      <c r="I348" s="67">
        <f t="shared" si="214"/>
        <v>0</v>
      </c>
      <c r="J348" s="67">
        <f t="shared" si="264"/>
        <v>0</v>
      </c>
      <c r="K348" s="67">
        <f t="shared" si="264"/>
        <v>0</v>
      </c>
      <c r="L348" s="67">
        <f t="shared" si="264"/>
        <v>0</v>
      </c>
      <c r="M348" s="67">
        <f t="shared" si="264"/>
        <v>0</v>
      </c>
      <c r="N348" s="67">
        <f t="shared" si="264"/>
        <v>0</v>
      </c>
      <c r="O348" s="67">
        <f t="shared" si="264"/>
        <v>0</v>
      </c>
      <c r="P348" s="67">
        <f t="shared" si="264"/>
        <v>0</v>
      </c>
      <c r="Q348" s="67">
        <f t="shared" si="264"/>
        <v>0</v>
      </c>
      <c r="R348" s="67">
        <f t="shared" si="264"/>
        <v>0</v>
      </c>
      <c r="S348" s="67">
        <f t="shared" si="264"/>
        <v>0</v>
      </c>
      <c r="T348" s="67">
        <f t="shared" si="264"/>
        <v>0</v>
      </c>
      <c r="U348" s="67">
        <f t="shared" si="264"/>
        <v>0</v>
      </c>
      <c r="V348" s="67">
        <f t="shared" si="264"/>
        <v>0</v>
      </c>
      <c r="W348" s="67">
        <f t="shared" si="264"/>
        <v>0</v>
      </c>
      <c r="X348" s="67">
        <f t="shared" si="264"/>
        <v>0</v>
      </c>
      <c r="Y348" s="67">
        <f t="shared" si="264"/>
        <v>0</v>
      </c>
      <c r="Z348" s="67">
        <f t="shared" si="264"/>
        <v>0</v>
      </c>
      <c r="AA348" s="67">
        <f t="shared" si="264"/>
        <v>0</v>
      </c>
      <c r="AB348" s="67">
        <f t="shared" si="264"/>
        <v>0</v>
      </c>
      <c r="AC348" s="67">
        <f t="shared" si="264"/>
        <v>0</v>
      </c>
      <c r="AD348" s="67">
        <f t="shared" si="264"/>
        <v>371.07656204165448</v>
      </c>
      <c r="AE348" s="67">
        <f t="shared" si="264"/>
        <v>435.22121343133017</v>
      </c>
      <c r="AF348" s="67">
        <f t="shared" si="264"/>
        <v>481.07031027611725</v>
      </c>
      <c r="AG348" s="67">
        <f t="shared" si="264"/>
        <v>491.06846618866865</v>
      </c>
      <c r="AH348" s="67">
        <f t="shared" si="264"/>
        <v>564.47321305605283</v>
      </c>
      <c r="AI348" s="67">
        <f t="shared" si="264"/>
        <v>544.57442517144011</v>
      </c>
      <c r="AJ348" s="67">
        <f t="shared" si="264"/>
        <v>788.98596769923222</v>
      </c>
      <c r="AK348" s="67">
        <f t="shared" si="264"/>
        <v>808.92608089260818</v>
      </c>
      <c r="AL348" s="67">
        <f t="shared" si="264"/>
        <v>865.01784176202784</v>
      </c>
      <c r="AM348" s="67">
        <f t="shared" si="264"/>
        <v>852.10344416636872</v>
      </c>
      <c r="AN348" s="67">
        <f t="shared" si="264"/>
        <v>1215.4952447228022</v>
      </c>
      <c r="AO348" s="67">
        <f t="shared" si="264"/>
        <v>1116.9185319850017</v>
      </c>
      <c r="AP348" s="67">
        <f t="shared" si="264"/>
        <v>1182.0942526150038</v>
      </c>
      <c r="AQ348" s="67">
        <f t="shared" si="264"/>
        <v>1205.4371097234612</v>
      </c>
      <c r="AR348" s="67">
        <f t="shared" si="264"/>
        <v>1339.1681241801487</v>
      </c>
      <c r="AS348" s="67">
        <f t="shared" si="264"/>
        <v>1223.8157612196694</v>
      </c>
      <c r="AT348" s="67">
        <f t="shared" si="264"/>
        <v>1202.3779394706314</v>
      </c>
      <c r="AU348" s="67">
        <f t="shared" si="264"/>
        <v>1150.8347141673571</v>
      </c>
      <c r="AV348" s="67">
        <f t="shared" si="264"/>
        <v>1139.0385403854038</v>
      </c>
      <c r="AW348" s="67">
        <f t="shared" si="264"/>
        <v>1082.4323774659345</v>
      </c>
      <c r="AX348" s="67">
        <f t="shared" si="264"/>
        <v>978.327</v>
      </c>
      <c r="AY348" s="67">
        <f t="shared" si="264"/>
        <v>890.18391704167482</v>
      </c>
      <c r="AZ348" s="67">
        <f t="shared" si="264"/>
        <v>1015.0946114686388</v>
      </c>
      <c r="BA348" s="67">
        <f t="shared" si="264"/>
        <v>946.92424386081348</v>
      </c>
      <c r="BB348" s="67">
        <f t="shared" si="264"/>
        <v>1065.3409715857013</v>
      </c>
      <c r="BC348" s="67">
        <f t="shared" si="264"/>
        <v>0</v>
      </c>
      <c r="BD348" s="67">
        <f t="shared" si="264"/>
        <v>860.30556238223971</v>
      </c>
      <c r="BE348" s="67">
        <f t="shared" si="264"/>
        <v>1002.7224128301284</v>
      </c>
      <c r="BF348" s="67">
        <f t="shared" si="264"/>
        <v>214.00374765771394</v>
      </c>
      <c r="BG348" s="67">
        <f t="shared" si="264"/>
        <v>918.33409821018836</v>
      </c>
      <c r="BH348" s="67">
        <f t="shared" si="264"/>
        <v>909.68869512008575</v>
      </c>
    </row>
    <row r="349" spans="1:60" ht="11" customHeight="1" x14ac:dyDescent="0.25"/>
    <row r="350" spans="1:60" x14ac:dyDescent="0.25">
      <c r="AY350" s="112"/>
      <c r="AZ350" s="112"/>
      <c r="BA350" s="112"/>
      <c r="BB350" s="112"/>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8E20-5E8E-41A8-BE1C-03D2B85B4E75}">
  <dimension ref="A1:BQ78"/>
  <sheetViews>
    <sheetView zoomScale="71" zoomScaleNormal="71" workbookViewId="0">
      <pane xSplit="3" ySplit="1" topLeftCell="U2" activePane="bottomRight" state="frozen"/>
      <selection pane="topRight" activeCell="D1" sqref="D1"/>
      <selection pane="bottomLeft" activeCell="A2" sqref="A2"/>
      <selection pane="bottomRight" activeCell="V12" sqref="V12"/>
    </sheetView>
  </sheetViews>
  <sheetFormatPr defaultRowHeight="14.5" x14ac:dyDescent="0.35"/>
  <cols>
    <col min="2" max="2" width="15.81640625" customWidth="1"/>
  </cols>
  <sheetData>
    <row r="1" spans="1:69" s="109" customFormat="1" ht="11.5" x14ac:dyDescent="0.25">
      <c r="A1" s="108" t="s">
        <v>247</v>
      </c>
      <c r="B1" s="108" t="s">
        <v>248</v>
      </c>
      <c r="C1" s="108" t="s">
        <v>242</v>
      </c>
      <c r="D1" s="109">
        <v>1975</v>
      </c>
      <c r="E1" s="109">
        <v>1976</v>
      </c>
      <c r="F1" s="109">
        <v>1977</v>
      </c>
      <c r="G1" s="109">
        <v>1978</v>
      </c>
      <c r="H1" s="109">
        <v>1979</v>
      </c>
      <c r="I1" s="109">
        <v>1980</v>
      </c>
      <c r="J1" s="109">
        <v>1981</v>
      </c>
      <c r="K1" s="109">
        <v>1982</v>
      </c>
      <c r="L1" s="109">
        <v>1983</v>
      </c>
      <c r="M1" s="109">
        <v>1984</v>
      </c>
      <c r="N1" s="109">
        <v>1985</v>
      </c>
      <c r="O1" s="109">
        <v>1986</v>
      </c>
      <c r="P1" s="109">
        <v>1987</v>
      </c>
      <c r="Q1" s="109">
        <v>1988</v>
      </c>
      <c r="R1" s="109">
        <v>1989</v>
      </c>
      <c r="S1" s="109">
        <v>1990</v>
      </c>
      <c r="T1" s="109">
        <v>1991</v>
      </c>
      <c r="U1" s="109">
        <v>1992</v>
      </c>
      <c r="V1" s="109">
        <v>1993</v>
      </c>
      <c r="W1" s="109">
        <v>1994</v>
      </c>
      <c r="X1" s="109">
        <v>1995</v>
      </c>
      <c r="Y1" s="109">
        <v>1996</v>
      </c>
      <c r="Z1" s="109">
        <v>1997</v>
      </c>
      <c r="AA1" s="109">
        <v>1998</v>
      </c>
      <c r="AB1" s="109">
        <v>1999</v>
      </c>
      <c r="AC1" s="109">
        <v>2000</v>
      </c>
      <c r="AD1" s="109">
        <v>2001</v>
      </c>
      <c r="AE1" s="109">
        <v>2002</v>
      </c>
      <c r="AF1" s="109">
        <v>2003</v>
      </c>
      <c r="AG1" s="109">
        <v>2004</v>
      </c>
      <c r="AH1" s="109">
        <v>2005</v>
      </c>
      <c r="AI1" s="109">
        <v>2006</v>
      </c>
      <c r="AJ1" s="109">
        <v>2007</v>
      </c>
      <c r="AK1" s="110">
        <v>2008</v>
      </c>
      <c r="AL1" s="110">
        <v>2009</v>
      </c>
      <c r="AM1" s="110">
        <v>2010</v>
      </c>
      <c r="AN1" s="110">
        <v>2011</v>
      </c>
      <c r="AO1" s="110">
        <v>2012</v>
      </c>
      <c r="AP1" s="110">
        <v>2013</v>
      </c>
      <c r="AQ1" s="110">
        <v>2014</v>
      </c>
      <c r="AR1" s="110">
        <v>2015</v>
      </c>
      <c r="AS1" s="110">
        <v>2016</v>
      </c>
      <c r="AT1" s="110">
        <v>2017</v>
      </c>
      <c r="AU1" s="110">
        <v>2018</v>
      </c>
      <c r="AV1" s="110">
        <v>2019</v>
      </c>
      <c r="AW1" s="110">
        <v>2020</v>
      </c>
      <c r="AX1" s="110">
        <v>2021</v>
      </c>
      <c r="AY1" s="110">
        <v>2022</v>
      </c>
      <c r="AZ1" s="110">
        <v>2023</v>
      </c>
      <c r="BA1" s="110">
        <v>2024</v>
      </c>
      <c r="BB1" s="110">
        <v>2025</v>
      </c>
      <c r="BC1" s="110">
        <v>2026</v>
      </c>
      <c r="BD1" s="110"/>
      <c r="BE1" s="110"/>
      <c r="BF1" s="110"/>
      <c r="BG1" s="111"/>
      <c r="BH1" s="111"/>
      <c r="BI1" s="111"/>
    </row>
    <row r="2" spans="1:69" s="112" customFormat="1" ht="11.5" x14ac:dyDescent="0.25">
      <c r="A2" s="112" t="s">
        <v>252</v>
      </c>
      <c r="B2" s="112" t="s">
        <v>249</v>
      </c>
      <c r="C2" s="112" t="s">
        <v>91</v>
      </c>
      <c r="D2" s="113">
        <v>2146</v>
      </c>
      <c r="E2" s="113">
        <v>2469</v>
      </c>
      <c r="F2" s="113">
        <v>2892</v>
      </c>
      <c r="G2" s="113">
        <v>3982</v>
      </c>
      <c r="H2" s="113">
        <v>4492</v>
      </c>
      <c r="I2" s="113">
        <v>5108</v>
      </c>
      <c r="J2" s="113">
        <v>5107</v>
      </c>
      <c r="K2" s="113">
        <v>5440</v>
      </c>
      <c r="L2" s="113">
        <v>6243</v>
      </c>
      <c r="M2" s="113">
        <v>7064.5</v>
      </c>
      <c r="N2" s="113">
        <v>7795.4</v>
      </c>
      <c r="O2" s="27">
        <v>8161</v>
      </c>
      <c r="P2" s="27">
        <v>9014</v>
      </c>
      <c r="Q2" s="27">
        <v>9506</v>
      </c>
      <c r="R2" s="27">
        <v>10617.9</v>
      </c>
      <c r="S2" s="27">
        <v>11278.7</v>
      </c>
      <c r="T2" s="27">
        <v>12407</v>
      </c>
      <c r="U2" s="27">
        <v>12943</v>
      </c>
      <c r="V2" s="27">
        <v>13444</v>
      </c>
      <c r="W2" s="27">
        <v>13693</v>
      </c>
      <c r="X2" s="27">
        <v>13772</v>
      </c>
      <c r="Y2" s="27">
        <v>14442.339883569719</v>
      </c>
      <c r="Z2" s="27">
        <v>14961.136241237626</v>
      </c>
      <c r="AA2" s="27">
        <v>15523.069</v>
      </c>
      <c r="AB2" s="27">
        <v>17432.823884120142</v>
      </c>
      <c r="AC2" s="27">
        <v>19470.051998519739</v>
      </c>
      <c r="AD2" s="27">
        <v>21375.709329854391</v>
      </c>
      <c r="AE2" s="27">
        <v>23848.1025764892</v>
      </c>
      <c r="AF2" s="27">
        <v>25323.420791208086</v>
      </c>
      <c r="AG2" s="28">
        <v>26528.691766677261</v>
      </c>
      <c r="AH2" s="28">
        <v>27678.171449343234</v>
      </c>
      <c r="AI2" s="28">
        <v>27336.139967904171</v>
      </c>
      <c r="AJ2" s="28">
        <v>28165.50353599351</v>
      </c>
      <c r="AK2" s="28">
        <v>28739.823947368423</v>
      </c>
      <c r="AL2" s="28">
        <v>28160.914747141669</v>
      </c>
      <c r="AM2" s="28">
        <v>29316.931094856176</v>
      </c>
      <c r="AN2" s="28">
        <v>29800.654289357866</v>
      </c>
      <c r="AO2" s="28">
        <v>31805.809000000001</v>
      </c>
      <c r="AP2" s="28">
        <v>30202.480309999999</v>
      </c>
      <c r="AQ2" s="28">
        <v>32086.446000000004</v>
      </c>
      <c r="AR2" s="28">
        <v>31908.834109000003</v>
      </c>
      <c r="AS2" s="28">
        <v>32913</v>
      </c>
      <c r="AT2" s="28">
        <v>34070.334999999999</v>
      </c>
      <c r="AU2" s="28">
        <v>36208.068225000003</v>
      </c>
      <c r="AV2" s="28">
        <v>39351.768747999995</v>
      </c>
      <c r="AW2" s="28">
        <v>44331.229999999996</v>
      </c>
      <c r="AX2" s="28">
        <v>42627.41</v>
      </c>
      <c r="AY2" s="28">
        <v>45239.129000000001</v>
      </c>
      <c r="AZ2" s="28">
        <v>47209.94</v>
      </c>
      <c r="BA2" s="28">
        <v>44941.661999999997</v>
      </c>
      <c r="BB2" s="28">
        <v>44685.815510053661</v>
      </c>
      <c r="BC2" s="28">
        <v>29533.071</v>
      </c>
      <c r="BD2" s="28"/>
      <c r="BE2" s="28"/>
      <c r="BF2" s="29"/>
      <c r="BG2" s="114"/>
      <c r="BM2" s="115"/>
      <c r="BN2" s="115"/>
      <c r="BO2" s="53"/>
      <c r="BP2" s="53"/>
      <c r="BQ2" s="53"/>
    </row>
    <row r="3" spans="1:69" s="112" customFormat="1" ht="11.5" x14ac:dyDescent="0.25">
      <c r="A3" s="1" t="s">
        <v>102</v>
      </c>
      <c r="B3" s="112" t="s">
        <v>249</v>
      </c>
      <c r="C3" s="112" t="s">
        <v>91</v>
      </c>
      <c r="D3" s="30">
        <v>592</v>
      </c>
      <c r="E3" s="30">
        <v>658</v>
      </c>
      <c r="F3" s="30">
        <v>669</v>
      </c>
      <c r="G3" s="30">
        <v>1156</v>
      </c>
      <c r="H3" s="30">
        <v>1463</v>
      </c>
      <c r="I3" s="30">
        <v>1644</v>
      </c>
      <c r="J3" s="30">
        <v>1768</v>
      </c>
      <c r="K3" s="30">
        <v>1954</v>
      </c>
      <c r="L3" s="30">
        <v>2475</v>
      </c>
      <c r="M3" s="30">
        <v>2813</v>
      </c>
      <c r="N3" s="30">
        <v>3243</v>
      </c>
      <c r="O3" s="30">
        <v>3324</v>
      </c>
      <c r="P3" s="30">
        <v>3860</v>
      </c>
      <c r="Q3" s="30">
        <v>4087</v>
      </c>
      <c r="R3" s="30">
        <v>4412.8</v>
      </c>
      <c r="S3" s="30">
        <v>4659</v>
      </c>
      <c r="T3" s="30">
        <v>5021</v>
      </c>
      <c r="U3" s="30">
        <v>5473</v>
      </c>
      <c r="V3" s="30">
        <v>5708</v>
      </c>
      <c r="W3" s="30">
        <v>5887</v>
      </c>
      <c r="X3" s="30">
        <v>6067</v>
      </c>
      <c r="Y3" s="113">
        <v>6393.9189999999999</v>
      </c>
      <c r="Z3" s="116">
        <v>6851.4380000000001</v>
      </c>
      <c r="AA3" s="116">
        <v>7354.7719999999999</v>
      </c>
      <c r="AB3" s="116">
        <v>8632.3559999999998</v>
      </c>
      <c r="AC3" s="116">
        <v>10097.25296327772</v>
      </c>
      <c r="AD3" s="116">
        <v>11638.579873982328</v>
      </c>
      <c r="AE3" s="116">
        <v>12954.118686130809</v>
      </c>
      <c r="AF3" s="116">
        <v>14159.283715407339</v>
      </c>
      <c r="AG3" s="117">
        <v>14842.105049223082</v>
      </c>
      <c r="AH3" s="117">
        <v>15823.189777203996</v>
      </c>
      <c r="AI3" s="117">
        <v>15529.068527404404</v>
      </c>
      <c r="AJ3" s="117">
        <v>15635.447671722581</v>
      </c>
      <c r="AK3" s="117">
        <v>15906.414000000002</v>
      </c>
      <c r="AL3" s="117">
        <v>15764.269</v>
      </c>
      <c r="AM3" s="117">
        <v>16121.928963355309</v>
      </c>
      <c r="AN3" s="117">
        <v>16010</v>
      </c>
      <c r="AO3" s="117">
        <v>15901.215</v>
      </c>
      <c r="AP3" s="117">
        <v>15228.35031</v>
      </c>
      <c r="AQ3" s="117">
        <v>15784.273000000001</v>
      </c>
      <c r="AR3" s="117">
        <v>14937.580109000002</v>
      </c>
      <c r="AS3" s="117">
        <v>15492.73821</v>
      </c>
      <c r="AT3" s="117">
        <v>16625</v>
      </c>
      <c r="AU3" s="117">
        <v>18149.998225000003</v>
      </c>
      <c r="AV3" s="117">
        <v>18993.646747999992</v>
      </c>
      <c r="AW3" s="117">
        <v>21737</v>
      </c>
      <c r="AX3" s="117">
        <v>20995</v>
      </c>
      <c r="AY3" s="117">
        <v>21749</v>
      </c>
      <c r="AZ3" s="117">
        <v>22856</v>
      </c>
      <c r="BA3" s="117">
        <v>22734</v>
      </c>
      <c r="BB3" s="117">
        <v>22421</v>
      </c>
      <c r="BC3" s="117">
        <v>14158</v>
      </c>
      <c r="BD3" s="117"/>
      <c r="BE3" s="117"/>
      <c r="BF3" s="118"/>
      <c r="BG3" s="114"/>
      <c r="BM3" s="115"/>
      <c r="BN3" s="115"/>
      <c r="BO3" s="53"/>
      <c r="BP3" s="53"/>
      <c r="BQ3" s="53"/>
    </row>
    <row r="4" spans="1:69" s="112" customFormat="1" ht="11.5" x14ac:dyDescent="0.25">
      <c r="A4" s="1" t="s">
        <v>0</v>
      </c>
      <c r="B4" s="112" t="s">
        <v>249</v>
      </c>
      <c r="C4" s="112" t="s">
        <v>91</v>
      </c>
      <c r="D4" s="30">
        <v>486</v>
      </c>
      <c r="E4" s="30">
        <v>541</v>
      </c>
      <c r="F4" s="113">
        <v>625</v>
      </c>
      <c r="G4" s="113">
        <v>678</v>
      </c>
      <c r="H4" s="113">
        <v>733</v>
      </c>
      <c r="I4" s="113">
        <v>830</v>
      </c>
      <c r="J4" s="113">
        <v>879</v>
      </c>
      <c r="K4" s="113">
        <v>913</v>
      </c>
      <c r="L4" s="113">
        <v>993</v>
      </c>
      <c r="M4" s="113">
        <v>1132</v>
      </c>
      <c r="N4" s="113">
        <v>1262</v>
      </c>
      <c r="O4" s="27">
        <v>1256</v>
      </c>
      <c r="P4" s="27">
        <v>1383</v>
      </c>
      <c r="Q4" s="27">
        <v>1423</v>
      </c>
      <c r="R4" s="27">
        <v>1562.9</v>
      </c>
      <c r="S4" s="27">
        <v>1569.2</v>
      </c>
      <c r="T4" s="27">
        <v>1750</v>
      </c>
      <c r="U4" s="27">
        <v>1743</v>
      </c>
      <c r="V4" s="27">
        <v>1745</v>
      </c>
      <c r="W4" s="27">
        <v>1867</v>
      </c>
      <c r="X4" s="27">
        <v>1937</v>
      </c>
      <c r="Y4" s="27">
        <v>1991</v>
      </c>
      <c r="Z4" s="27">
        <v>2056</v>
      </c>
      <c r="AA4" s="27">
        <v>2115</v>
      </c>
      <c r="AB4" s="27">
        <v>2321</v>
      </c>
      <c r="AC4" s="27">
        <v>2540</v>
      </c>
      <c r="AD4" s="27">
        <v>2852</v>
      </c>
      <c r="AE4" s="27">
        <v>3076</v>
      </c>
      <c r="AF4" s="27">
        <v>3401.4460758007513</v>
      </c>
      <c r="AG4" s="28">
        <v>3514.9157174541729</v>
      </c>
      <c r="AH4" s="28">
        <v>3406.5910849963952</v>
      </c>
      <c r="AI4" s="28">
        <v>3491.6974404997654</v>
      </c>
      <c r="AJ4" s="28">
        <v>3625.5626642709281</v>
      </c>
      <c r="AK4" s="28">
        <v>3715.52</v>
      </c>
      <c r="AL4" s="28">
        <v>3986.6990000000001</v>
      </c>
      <c r="AM4" s="28">
        <v>4587.2943937578029</v>
      </c>
      <c r="AN4" s="28">
        <v>4645.9823393578627</v>
      </c>
      <c r="AO4" s="28">
        <v>4652.38</v>
      </c>
      <c r="AP4" s="28">
        <v>4361.8</v>
      </c>
      <c r="AQ4" s="28">
        <v>4725.21</v>
      </c>
      <c r="AR4" s="28">
        <v>4973.9000000000005</v>
      </c>
      <c r="AS4" s="28">
        <v>4829.3</v>
      </c>
      <c r="AT4" s="28">
        <v>4739.0499999999993</v>
      </c>
      <c r="AU4" s="28">
        <v>5089.17</v>
      </c>
      <c r="AV4" s="28">
        <v>5212.09</v>
      </c>
      <c r="AW4" s="28">
        <v>5456.63</v>
      </c>
      <c r="AX4" s="28">
        <v>5974</v>
      </c>
      <c r="AY4" s="28">
        <v>5649</v>
      </c>
      <c r="AZ4" s="28">
        <v>6138</v>
      </c>
      <c r="BA4" s="28">
        <v>5602</v>
      </c>
      <c r="BB4" s="28">
        <v>5606</v>
      </c>
      <c r="BC4" s="28">
        <v>2417</v>
      </c>
      <c r="BD4" s="28"/>
      <c r="BE4" s="28"/>
      <c r="BF4" s="29"/>
      <c r="BG4" s="114"/>
      <c r="BM4" s="115"/>
      <c r="BN4" s="115"/>
      <c r="BO4" s="53"/>
      <c r="BP4" s="53"/>
      <c r="BQ4" s="53"/>
    </row>
    <row r="5" spans="1:69" s="112" customFormat="1" ht="11.5" x14ac:dyDescent="0.25">
      <c r="A5" s="1" t="s">
        <v>22</v>
      </c>
      <c r="B5" s="112" t="s">
        <v>249</v>
      </c>
      <c r="C5" s="112" t="s">
        <v>91</v>
      </c>
      <c r="D5" s="30">
        <v>247</v>
      </c>
      <c r="E5" s="30">
        <v>348</v>
      </c>
      <c r="F5" s="113">
        <v>390</v>
      </c>
      <c r="G5" s="113">
        <v>568</v>
      </c>
      <c r="H5" s="113">
        <v>618</v>
      </c>
      <c r="I5" s="113">
        <v>683</v>
      </c>
      <c r="J5" s="113">
        <v>597</v>
      </c>
      <c r="K5" s="113">
        <v>779</v>
      </c>
      <c r="L5" s="113">
        <v>763</v>
      </c>
      <c r="M5" s="113">
        <v>846</v>
      </c>
      <c r="N5" s="113">
        <v>851</v>
      </c>
      <c r="O5" s="27">
        <v>961</v>
      </c>
      <c r="P5" s="27">
        <v>1060</v>
      </c>
      <c r="Q5" s="27">
        <v>1171</v>
      </c>
      <c r="R5" s="27">
        <v>1382.7</v>
      </c>
      <c r="S5" s="27">
        <v>1510.2</v>
      </c>
      <c r="T5" s="27">
        <v>1685</v>
      </c>
      <c r="U5" s="27">
        <v>1713</v>
      </c>
      <c r="V5" s="27">
        <v>1729</v>
      </c>
      <c r="W5" s="27">
        <v>1603</v>
      </c>
      <c r="X5" s="27">
        <v>1621</v>
      </c>
      <c r="Y5" s="27">
        <v>1918</v>
      </c>
      <c r="Z5" s="27">
        <v>2043</v>
      </c>
      <c r="AA5" s="27">
        <v>2094</v>
      </c>
      <c r="AB5" s="27">
        <v>2225</v>
      </c>
      <c r="AC5" s="27">
        <v>2263</v>
      </c>
      <c r="AD5" s="27">
        <v>2390</v>
      </c>
      <c r="AE5" s="27">
        <v>2580</v>
      </c>
      <c r="AF5" s="27">
        <v>2555.94</v>
      </c>
      <c r="AG5" s="28">
        <v>2721.8409999999999</v>
      </c>
      <c r="AH5" s="28">
        <v>2866.7950000000001</v>
      </c>
      <c r="AI5" s="28">
        <v>2930.0970000000002</v>
      </c>
      <c r="AJ5" s="28">
        <v>3133.9009999999998</v>
      </c>
      <c r="AK5" s="28">
        <v>3461</v>
      </c>
      <c r="AL5" s="28">
        <v>3795</v>
      </c>
      <c r="AM5" s="28">
        <v>3971</v>
      </c>
      <c r="AN5" s="28">
        <v>3979</v>
      </c>
      <c r="AO5" s="28">
        <v>3912</v>
      </c>
      <c r="AP5" s="28">
        <v>3850.9929999999999</v>
      </c>
      <c r="AQ5" s="28">
        <v>4090.5390000000002</v>
      </c>
      <c r="AR5" s="28">
        <v>4476.6179999999995</v>
      </c>
      <c r="AS5" s="28">
        <v>4605.28</v>
      </c>
      <c r="AT5" s="28">
        <v>4556.3190000000004</v>
      </c>
      <c r="AU5" s="28">
        <v>5003.9090000000006</v>
      </c>
      <c r="AV5" s="28">
        <v>5145.2820000000002</v>
      </c>
      <c r="AW5" s="28">
        <v>5514.8050000000003</v>
      </c>
      <c r="AX5" s="28">
        <v>5563</v>
      </c>
      <c r="AY5" s="28">
        <v>6483</v>
      </c>
      <c r="AZ5" s="28">
        <v>6605</v>
      </c>
      <c r="BA5" s="28">
        <v>6693</v>
      </c>
      <c r="BB5" s="28">
        <v>6799.1596543952992</v>
      </c>
      <c r="BC5" s="28">
        <v>5816</v>
      </c>
      <c r="BD5" s="28"/>
      <c r="BE5" s="28"/>
      <c r="BF5" s="29"/>
      <c r="BG5" s="114"/>
      <c r="BM5" s="115"/>
      <c r="BN5" s="115"/>
      <c r="BO5" s="53"/>
      <c r="BP5" s="53"/>
      <c r="BQ5" s="53"/>
    </row>
    <row r="6" spans="1:69" s="112" customFormat="1" ht="11.5" x14ac:dyDescent="0.25">
      <c r="A6" s="1" t="s">
        <v>63</v>
      </c>
      <c r="B6" s="112" t="s">
        <v>249</v>
      </c>
      <c r="C6" s="112" t="s">
        <v>91</v>
      </c>
      <c r="D6" s="30">
        <v>242</v>
      </c>
      <c r="E6" s="30">
        <v>293</v>
      </c>
      <c r="F6" s="113">
        <v>414</v>
      </c>
      <c r="G6" s="113">
        <v>563</v>
      </c>
      <c r="H6" s="113">
        <v>664</v>
      </c>
      <c r="I6" s="113">
        <v>766</v>
      </c>
      <c r="J6" s="113">
        <v>532</v>
      </c>
      <c r="K6" s="113">
        <v>536</v>
      </c>
      <c r="L6" s="113">
        <v>617</v>
      </c>
      <c r="M6" s="113">
        <v>755</v>
      </c>
      <c r="N6" s="113">
        <v>751</v>
      </c>
      <c r="O6" s="27">
        <v>919</v>
      </c>
      <c r="P6" s="27">
        <v>1073</v>
      </c>
      <c r="Q6" s="27">
        <v>1141</v>
      </c>
      <c r="R6" s="27">
        <v>1384.5</v>
      </c>
      <c r="S6" s="27">
        <v>1630.8</v>
      </c>
      <c r="T6" s="27">
        <v>1725</v>
      </c>
      <c r="U6" s="27">
        <v>1764</v>
      </c>
      <c r="V6" s="27">
        <v>1822</v>
      </c>
      <c r="W6" s="27">
        <v>2013</v>
      </c>
      <c r="X6" s="27">
        <v>1968</v>
      </c>
      <c r="Y6" s="27">
        <v>2102</v>
      </c>
      <c r="Z6" s="27">
        <v>2051</v>
      </c>
      <c r="AA6" s="27">
        <v>2013</v>
      </c>
      <c r="AB6" s="27">
        <v>1981</v>
      </c>
      <c r="AC6" s="27">
        <v>2148</v>
      </c>
      <c r="AD6" s="27">
        <v>1695</v>
      </c>
      <c r="AE6" s="27">
        <v>1912</v>
      </c>
      <c r="AF6" s="27">
        <v>2206.4879999999998</v>
      </c>
      <c r="AG6" s="28">
        <v>2473.4569999999999</v>
      </c>
      <c r="AH6" s="28">
        <v>2485.6802299999999</v>
      </c>
      <c r="AI6" s="28">
        <v>2299</v>
      </c>
      <c r="AJ6" s="28">
        <v>2318.35</v>
      </c>
      <c r="AK6" s="28">
        <v>2182.6109999999999</v>
      </c>
      <c r="AL6" s="28">
        <v>900</v>
      </c>
      <c r="AM6" s="28">
        <v>835</v>
      </c>
      <c r="AN6" s="28">
        <v>1197</v>
      </c>
      <c r="AO6" s="28">
        <v>3181</v>
      </c>
      <c r="AP6" s="28">
        <v>2949.8</v>
      </c>
      <c r="AQ6" s="28">
        <v>3319.7000000000003</v>
      </c>
      <c r="AR6" s="28">
        <v>3210</v>
      </c>
      <c r="AS6" s="28">
        <v>3578.2999999999997</v>
      </c>
      <c r="AT6" s="28">
        <v>3606.4</v>
      </c>
      <c r="AU6" s="28">
        <v>3281.3999999999996</v>
      </c>
      <c r="AV6" s="28">
        <v>4948</v>
      </c>
      <c r="AW6" s="28">
        <v>6655</v>
      </c>
      <c r="AX6" s="28">
        <v>4505</v>
      </c>
      <c r="AY6" s="28">
        <v>5718</v>
      </c>
      <c r="AZ6" s="28">
        <v>5627</v>
      </c>
      <c r="BA6" s="28">
        <v>4344</v>
      </c>
      <c r="BB6" s="28">
        <v>4414</v>
      </c>
      <c r="BC6" s="28">
        <v>2564</v>
      </c>
      <c r="BD6" s="28"/>
      <c r="BE6" s="28"/>
      <c r="BF6" s="29"/>
      <c r="BG6" s="114"/>
      <c r="BM6" s="115"/>
      <c r="BN6" s="115"/>
      <c r="BO6" s="53"/>
      <c r="BP6" s="53"/>
      <c r="BQ6" s="53"/>
    </row>
    <row r="7" spans="1:69" s="112" customFormat="1" ht="11.5" x14ac:dyDescent="0.25">
      <c r="A7" s="1" t="s">
        <v>236</v>
      </c>
      <c r="B7" s="112" t="s">
        <v>249</v>
      </c>
      <c r="C7" s="112" t="s">
        <v>91</v>
      </c>
      <c r="D7" s="30">
        <v>236</v>
      </c>
      <c r="E7" s="30">
        <v>250</v>
      </c>
      <c r="F7" s="30">
        <v>290</v>
      </c>
      <c r="G7" s="30">
        <v>320</v>
      </c>
      <c r="H7" s="30">
        <v>365</v>
      </c>
      <c r="I7" s="30">
        <v>552</v>
      </c>
      <c r="J7" s="30">
        <v>615</v>
      </c>
      <c r="K7" s="30">
        <v>697</v>
      </c>
      <c r="L7" s="30">
        <v>787</v>
      </c>
      <c r="M7" s="30">
        <v>843</v>
      </c>
      <c r="N7" s="30">
        <v>851</v>
      </c>
      <c r="O7" s="30">
        <v>954</v>
      </c>
      <c r="P7" s="30">
        <v>894</v>
      </c>
      <c r="Q7" s="30">
        <v>897</v>
      </c>
      <c r="R7" s="30">
        <v>951</v>
      </c>
      <c r="S7" s="113">
        <v>931.33900000000006</v>
      </c>
      <c r="T7" s="113">
        <v>1155.0409999999999</v>
      </c>
      <c r="U7" s="113">
        <v>1140.211</v>
      </c>
      <c r="V7" s="113">
        <v>1311.9649999999999</v>
      </c>
      <c r="W7" s="113">
        <v>1178.883</v>
      </c>
      <c r="X7" s="113">
        <v>1174.819</v>
      </c>
      <c r="Y7" s="113">
        <v>1099</v>
      </c>
      <c r="Z7" s="113">
        <v>1032</v>
      </c>
      <c r="AA7" s="113">
        <v>1011.9349999999999</v>
      </c>
      <c r="AB7" s="113">
        <v>1063.5909999999999</v>
      </c>
      <c r="AC7" s="116">
        <v>1136</v>
      </c>
      <c r="AD7" s="116">
        <v>1287.3620000000001</v>
      </c>
      <c r="AE7" s="116">
        <v>1350</v>
      </c>
      <c r="AF7" s="116">
        <v>1368.607</v>
      </c>
      <c r="AG7" s="117">
        <v>1357.9880000000001</v>
      </c>
      <c r="AH7" s="117">
        <v>1484.6</v>
      </c>
      <c r="AI7" s="117">
        <v>1457.2850000000001</v>
      </c>
      <c r="AJ7" s="117">
        <v>1524.7080000000001</v>
      </c>
      <c r="AK7" s="117">
        <v>1590.62</v>
      </c>
      <c r="AL7" s="117">
        <v>1747.7587667495136</v>
      </c>
      <c r="AM7" s="117">
        <v>1814.69</v>
      </c>
      <c r="AN7" s="117">
        <v>1876.828</v>
      </c>
      <c r="AO7" s="117">
        <v>2010.15</v>
      </c>
      <c r="AP7" s="117">
        <v>1901.3720000000001</v>
      </c>
      <c r="AQ7" s="117">
        <v>2103.6080000000002</v>
      </c>
      <c r="AR7" s="117">
        <v>2213.498</v>
      </c>
      <c r="AS7" s="117">
        <v>2230.3240000000001</v>
      </c>
      <c r="AT7" s="117">
        <v>2204.1320000000001</v>
      </c>
      <c r="AU7" s="117">
        <v>2269.9449999999997</v>
      </c>
      <c r="AV7" s="117">
        <v>2480.652</v>
      </c>
      <c r="AW7" s="117">
        <v>2546.8180000000002</v>
      </c>
      <c r="AX7" s="117">
        <v>2540.41</v>
      </c>
      <c r="AY7" s="117">
        <v>2682.1289999999999</v>
      </c>
      <c r="AZ7" s="117">
        <v>2972.94</v>
      </c>
      <c r="BA7" s="117">
        <v>2646.6620000000003</v>
      </c>
      <c r="BB7" s="117">
        <v>2495.655855658365</v>
      </c>
      <c r="BC7" s="117">
        <v>2121.0709999999999</v>
      </c>
      <c r="BD7" s="117"/>
      <c r="BE7" s="117"/>
      <c r="BF7" s="2"/>
      <c r="BG7" s="114"/>
      <c r="BM7" s="115"/>
      <c r="BN7" s="115"/>
      <c r="BO7" s="53"/>
      <c r="BP7" s="53"/>
      <c r="BQ7" s="53"/>
    </row>
    <row r="8" spans="1:69" s="112" customFormat="1" ht="11.5" x14ac:dyDescent="0.25">
      <c r="A8" s="1" t="s">
        <v>16</v>
      </c>
      <c r="B8" s="112" t="s">
        <v>249</v>
      </c>
      <c r="C8" s="112" t="s">
        <v>91</v>
      </c>
      <c r="D8" s="30">
        <v>154</v>
      </c>
      <c r="E8" s="30">
        <v>176</v>
      </c>
      <c r="F8" s="113">
        <v>195</v>
      </c>
      <c r="G8" s="113">
        <v>228</v>
      </c>
      <c r="H8" s="113">
        <v>255</v>
      </c>
      <c r="I8" s="113">
        <v>280</v>
      </c>
      <c r="J8" s="113">
        <v>319</v>
      </c>
      <c r="K8" s="113">
        <v>334</v>
      </c>
      <c r="L8" s="113">
        <v>365</v>
      </c>
      <c r="M8" s="113">
        <v>394</v>
      </c>
      <c r="N8" s="113">
        <v>450</v>
      </c>
      <c r="O8" s="27">
        <v>433</v>
      </c>
      <c r="P8" s="27">
        <v>448</v>
      </c>
      <c r="Q8" s="27">
        <v>479</v>
      </c>
      <c r="R8" s="27">
        <v>488.9</v>
      </c>
      <c r="S8" s="27">
        <v>517</v>
      </c>
      <c r="T8" s="27">
        <v>553</v>
      </c>
      <c r="U8" s="27">
        <v>597</v>
      </c>
      <c r="V8" s="27">
        <v>622</v>
      </c>
      <c r="W8" s="27">
        <v>600</v>
      </c>
      <c r="X8" s="27">
        <v>600</v>
      </c>
      <c r="Y8" s="27">
        <v>582</v>
      </c>
      <c r="Z8" s="27">
        <v>582</v>
      </c>
      <c r="AA8" s="27">
        <v>607</v>
      </c>
      <c r="AB8" s="27">
        <v>634</v>
      </c>
      <c r="AC8" s="27">
        <v>684</v>
      </c>
      <c r="AD8" s="27">
        <v>801</v>
      </c>
      <c r="AE8" s="27">
        <v>797</v>
      </c>
      <c r="AF8" s="27">
        <v>870.52200000000005</v>
      </c>
      <c r="AG8" s="28">
        <v>829.45800000000008</v>
      </c>
      <c r="AH8" s="28">
        <v>838</v>
      </c>
      <c r="AI8" s="28">
        <v>852.97</v>
      </c>
      <c r="AJ8" s="28">
        <v>891</v>
      </c>
      <c r="AK8" s="28">
        <v>875</v>
      </c>
      <c r="AL8" s="28">
        <v>907</v>
      </c>
      <c r="AM8" s="28">
        <v>991</v>
      </c>
      <c r="AN8" s="28">
        <v>933</v>
      </c>
      <c r="AO8" s="28">
        <v>927</v>
      </c>
      <c r="AP8" s="28">
        <v>830</v>
      </c>
      <c r="AQ8" s="28">
        <v>992</v>
      </c>
      <c r="AR8" s="28">
        <v>993</v>
      </c>
      <c r="AS8" s="28">
        <v>1031</v>
      </c>
      <c r="AT8" s="28">
        <v>1119</v>
      </c>
      <c r="AU8" s="28">
        <v>1085</v>
      </c>
      <c r="AV8" s="28">
        <v>1213</v>
      </c>
      <c r="AW8" s="28">
        <v>1061</v>
      </c>
      <c r="AX8" s="28">
        <v>1661</v>
      </c>
      <c r="AY8" s="28">
        <v>1464</v>
      </c>
      <c r="AZ8" s="28">
        <v>1398</v>
      </c>
      <c r="BA8" s="28">
        <v>1388</v>
      </c>
      <c r="BB8" s="28">
        <v>1421</v>
      </c>
      <c r="BC8" s="28">
        <v>1069</v>
      </c>
      <c r="BD8" s="28"/>
      <c r="BE8" s="28"/>
      <c r="BF8" s="29"/>
      <c r="BG8" s="114"/>
      <c r="BM8" s="115"/>
      <c r="BN8" s="115"/>
      <c r="BO8" s="53"/>
      <c r="BP8" s="53"/>
      <c r="BQ8" s="53"/>
    </row>
    <row r="9" spans="1:69" s="112" customFormat="1" ht="11.5" x14ac:dyDescent="0.25">
      <c r="A9" s="1" t="s">
        <v>253</v>
      </c>
      <c r="B9" s="112" t="s">
        <v>249</v>
      </c>
      <c r="C9" s="112" t="s">
        <v>91</v>
      </c>
      <c r="D9" s="113">
        <v>189</v>
      </c>
      <c r="E9" s="113">
        <v>203</v>
      </c>
      <c r="F9" s="113">
        <v>309</v>
      </c>
      <c r="G9" s="113">
        <v>469</v>
      </c>
      <c r="H9" s="113">
        <v>394</v>
      </c>
      <c r="I9" s="113">
        <v>353</v>
      </c>
      <c r="J9" s="113">
        <v>397</v>
      </c>
      <c r="K9" s="113">
        <v>227</v>
      </c>
      <c r="L9" s="113">
        <v>243</v>
      </c>
      <c r="M9" s="113">
        <v>281.5</v>
      </c>
      <c r="N9" s="113">
        <v>387.39999999999964</v>
      </c>
      <c r="O9" s="113">
        <v>314</v>
      </c>
      <c r="P9" s="113">
        <v>296</v>
      </c>
      <c r="Q9" s="113">
        <v>308</v>
      </c>
      <c r="R9" s="113">
        <v>435.09999999999854</v>
      </c>
      <c r="S9" s="113">
        <v>461.16100000000188</v>
      </c>
      <c r="T9" s="113">
        <v>517.95900000000074</v>
      </c>
      <c r="U9" s="113">
        <v>512.78900000000067</v>
      </c>
      <c r="V9" s="113">
        <v>506.03499999999985</v>
      </c>
      <c r="W9" s="113">
        <v>544.11700000000019</v>
      </c>
      <c r="X9" s="113">
        <v>404.18100000000049</v>
      </c>
      <c r="Y9" s="113">
        <v>356.42088356971908</v>
      </c>
      <c r="Z9" s="113">
        <v>345.69824123762555</v>
      </c>
      <c r="AA9" s="113">
        <v>327.36199999999917</v>
      </c>
      <c r="AB9" s="113">
        <v>575.87688412014177</v>
      </c>
      <c r="AC9" s="113">
        <v>601.79903524201654</v>
      </c>
      <c r="AD9" s="113">
        <v>711.76745587206096</v>
      </c>
      <c r="AE9" s="113">
        <v>1178.9838903583914</v>
      </c>
      <c r="AF9" s="113">
        <v>761.13399999999456</v>
      </c>
      <c r="AG9" s="117">
        <v>788.92700000000696</v>
      </c>
      <c r="AH9" s="117">
        <v>773.31535714284473</v>
      </c>
      <c r="AI9" s="117">
        <v>776.02200000000084</v>
      </c>
      <c r="AJ9" s="117">
        <v>1036.5342000000055</v>
      </c>
      <c r="AK9" s="117">
        <v>1008.6589473684217</v>
      </c>
      <c r="AL9" s="117">
        <v>1060.1879803921547</v>
      </c>
      <c r="AM9" s="117">
        <v>996.01773774306639</v>
      </c>
      <c r="AN9" s="117">
        <v>1158.8439500000022</v>
      </c>
      <c r="AO9" s="117">
        <v>1222.0639999999985</v>
      </c>
      <c r="AP9" s="117">
        <v>1080.1650000000009</v>
      </c>
      <c r="AQ9" s="117">
        <v>1071.1160000000018</v>
      </c>
      <c r="AR9" s="117">
        <v>1104.2380000000012</v>
      </c>
      <c r="AS9" s="117">
        <v>1146.0577900000026</v>
      </c>
      <c r="AT9" s="117">
        <v>1220.4340000000011</v>
      </c>
      <c r="AU9" s="117">
        <v>1328.6460000000006</v>
      </c>
      <c r="AV9" s="117">
        <v>1359.0980000000054</v>
      </c>
      <c r="AW9" s="117">
        <v>1359.976999999999</v>
      </c>
      <c r="AX9" s="117">
        <v>1389</v>
      </c>
      <c r="AY9" s="117">
        <v>1494</v>
      </c>
      <c r="AZ9" s="117">
        <v>1613</v>
      </c>
      <c r="BA9" s="117">
        <v>1534</v>
      </c>
      <c r="BB9" s="117">
        <v>1529</v>
      </c>
      <c r="BC9" s="117">
        <v>1388</v>
      </c>
      <c r="BD9" s="117"/>
      <c r="BE9" s="117"/>
      <c r="BF9" s="119"/>
      <c r="BM9" s="115"/>
      <c r="BN9" s="115"/>
      <c r="BO9" s="53"/>
      <c r="BP9" s="53"/>
      <c r="BQ9" s="53"/>
    </row>
    <row r="10" spans="1:69" s="112" customFormat="1" ht="11.5" x14ac:dyDescent="0.25">
      <c r="A10" s="1" t="s">
        <v>21</v>
      </c>
      <c r="B10" s="112" t="s">
        <v>249</v>
      </c>
      <c r="C10" s="112" t="s">
        <v>91</v>
      </c>
      <c r="D10" s="119"/>
      <c r="E10" s="119"/>
      <c r="F10" s="119"/>
      <c r="G10" s="119"/>
      <c r="H10" s="119"/>
      <c r="I10" s="119"/>
      <c r="J10" s="119"/>
      <c r="K10" s="119"/>
      <c r="L10" s="119"/>
      <c r="M10" s="119"/>
      <c r="N10" s="119"/>
      <c r="O10" s="113"/>
      <c r="P10" s="113"/>
      <c r="Q10" s="113"/>
      <c r="R10" s="113"/>
      <c r="S10" s="113"/>
      <c r="T10" s="113"/>
      <c r="U10" s="113"/>
      <c r="V10" s="113"/>
      <c r="W10" s="113"/>
      <c r="X10" s="113"/>
      <c r="Y10" s="113"/>
      <c r="Z10" s="113"/>
      <c r="AA10" s="113"/>
      <c r="AB10" s="113"/>
      <c r="AC10" s="113"/>
      <c r="AD10" s="113"/>
      <c r="AE10" s="113"/>
      <c r="AF10" s="113"/>
      <c r="AG10" s="117"/>
      <c r="AH10" s="117"/>
      <c r="AI10" s="117"/>
      <c r="AJ10" s="117"/>
      <c r="AK10" s="117"/>
      <c r="AL10" s="117">
        <v>8240</v>
      </c>
      <c r="AM10" s="117"/>
      <c r="AN10" s="117"/>
      <c r="AO10" s="117"/>
      <c r="AP10" s="117"/>
      <c r="AQ10" s="117"/>
      <c r="AR10" s="117"/>
      <c r="AS10" s="117"/>
      <c r="AT10" s="117"/>
      <c r="AU10" s="117"/>
      <c r="AV10" s="117"/>
      <c r="AW10" s="117"/>
      <c r="AX10" s="117"/>
      <c r="AY10" s="117"/>
      <c r="AZ10" s="117"/>
      <c r="BA10" s="117"/>
      <c r="BB10" s="117"/>
      <c r="BC10" s="117"/>
      <c r="BD10" s="117"/>
      <c r="BE10" s="117"/>
      <c r="BF10" s="119"/>
      <c r="BM10" s="115"/>
      <c r="BN10" s="115"/>
      <c r="BO10" s="53"/>
      <c r="BP10" s="53"/>
      <c r="BQ10" s="53"/>
    </row>
    <row r="11" spans="1:69" s="112" customFormat="1" ht="11.5" x14ac:dyDescent="0.25">
      <c r="A11" s="112" t="s">
        <v>252</v>
      </c>
      <c r="B11" s="112" t="s">
        <v>250</v>
      </c>
      <c r="C11" s="112" t="s">
        <v>91</v>
      </c>
      <c r="D11" s="32">
        <v>4583.7079999999996</v>
      </c>
      <c r="E11" s="32">
        <v>5150.3320000000003</v>
      </c>
      <c r="F11" s="32">
        <v>5622.1149999999998</v>
      </c>
      <c r="G11" s="32">
        <v>5624.7579999999998</v>
      </c>
      <c r="H11" s="32">
        <v>6043.0049999999992</v>
      </c>
      <c r="I11" s="32">
        <v>6489.3780000000006</v>
      </c>
      <c r="J11" s="32">
        <v>7105.7800000000007</v>
      </c>
      <c r="K11" s="32">
        <v>7582.1849999999995</v>
      </c>
      <c r="L11" s="32">
        <v>8010.5</v>
      </c>
      <c r="M11" s="32">
        <v>7914.2999999999993</v>
      </c>
      <c r="N11" s="32">
        <v>8338</v>
      </c>
      <c r="O11" s="32">
        <v>8341.2000000000007</v>
      </c>
      <c r="P11" s="32">
        <v>8926.5</v>
      </c>
      <c r="Q11" s="32">
        <v>9144.0999999999985</v>
      </c>
      <c r="R11" s="32">
        <v>10147.6</v>
      </c>
      <c r="S11" s="32">
        <v>10343.700000000001</v>
      </c>
      <c r="T11" s="32">
        <v>11561.400000000001</v>
      </c>
      <c r="U11" s="32">
        <v>11547.599999999999</v>
      </c>
      <c r="V11" s="32">
        <v>13446.5</v>
      </c>
      <c r="W11" s="32">
        <v>13718.2</v>
      </c>
      <c r="X11" s="32">
        <v>14283.800155167701</v>
      </c>
      <c r="Y11" s="32">
        <v>14136.567975143047</v>
      </c>
      <c r="Z11" s="32">
        <v>14424.863758762374</v>
      </c>
      <c r="AA11" s="32">
        <v>15459.931</v>
      </c>
      <c r="AB11" s="32">
        <v>15992.176115879858</v>
      </c>
      <c r="AC11" s="32">
        <v>18954.948001480261</v>
      </c>
      <c r="AD11" s="32">
        <v>22450.290670145609</v>
      </c>
      <c r="AE11" s="32">
        <v>24406.8974235108</v>
      </c>
      <c r="AF11" s="32">
        <v>27466.09789364845</v>
      </c>
      <c r="AG11" s="32">
        <v>28797.080398347909</v>
      </c>
      <c r="AH11" s="32">
        <v>28852.306013136014</v>
      </c>
      <c r="AI11" s="32">
        <v>28309.385071620462</v>
      </c>
      <c r="AJ11" s="32">
        <v>28598.598493224457</v>
      </c>
      <c r="AK11" s="32">
        <v>28103.940072685036</v>
      </c>
      <c r="AL11" s="32">
        <v>30191</v>
      </c>
      <c r="AM11" s="32">
        <v>31796.104042536987</v>
      </c>
      <c r="AN11" s="32">
        <v>32425.65187984439</v>
      </c>
      <c r="AO11" s="32">
        <v>33326.378927836988</v>
      </c>
      <c r="AP11" s="32">
        <v>32967.110820290582</v>
      </c>
      <c r="AQ11" s="32">
        <v>34789.191227530733</v>
      </c>
      <c r="AR11" s="32">
        <v>36100.808223304557</v>
      </c>
      <c r="AS11" s="32">
        <v>39404.538232721396</v>
      </c>
      <c r="AT11" s="32">
        <v>40631.842931385152</v>
      </c>
      <c r="AU11" s="32">
        <v>43425.016674000006</v>
      </c>
      <c r="AV11" s="32">
        <v>45692.456160999995</v>
      </c>
      <c r="AW11" s="32">
        <v>46738.52506154</v>
      </c>
      <c r="AX11" s="32">
        <v>44654.461170000002</v>
      </c>
      <c r="AY11" s="32">
        <v>47991.699000000001</v>
      </c>
      <c r="AZ11" s="32">
        <v>49924.890000794898</v>
      </c>
      <c r="BA11" s="32">
        <v>53562.537000000004</v>
      </c>
      <c r="BB11" s="32">
        <v>51387.673192051676</v>
      </c>
      <c r="BC11" s="32">
        <v>32933.648999999998</v>
      </c>
      <c r="BD11" s="32"/>
      <c r="BE11" s="32"/>
      <c r="BF11" s="29"/>
      <c r="BG11" s="114"/>
      <c r="BM11" s="115"/>
      <c r="BN11" s="115"/>
      <c r="BO11" s="53"/>
      <c r="BP11" s="53"/>
      <c r="BQ11" s="53"/>
    </row>
    <row r="12" spans="1:69" s="112" customFormat="1" ht="11.5" x14ac:dyDescent="0.25">
      <c r="A12" s="1" t="s">
        <v>102</v>
      </c>
      <c r="B12" s="112" t="s">
        <v>250</v>
      </c>
      <c r="C12" s="112" t="s">
        <v>91</v>
      </c>
      <c r="D12" s="32">
        <v>1012.2170000000001</v>
      </c>
      <c r="E12" s="32">
        <v>1109.692</v>
      </c>
      <c r="F12" s="32">
        <v>1299.6579999999999</v>
      </c>
      <c r="G12" s="32">
        <v>1076.596</v>
      </c>
      <c r="H12" s="32">
        <v>1067.1109999999999</v>
      </c>
      <c r="I12" s="32">
        <v>1143.4699999999998</v>
      </c>
      <c r="J12" s="32">
        <v>1180.3090000000002</v>
      </c>
      <c r="K12" s="32">
        <v>1170.4520000000002</v>
      </c>
      <c r="L12" s="32">
        <v>1003.2049999999999</v>
      </c>
      <c r="M12" s="32">
        <v>1097.4169999999999</v>
      </c>
      <c r="N12" s="32">
        <v>1185.1000000000004</v>
      </c>
      <c r="O12" s="32">
        <v>1263.6000000000004</v>
      </c>
      <c r="P12" s="32">
        <v>1454.6999999999998</v>
      </c>
      <c r="Q12" s="32">
        <v>1593.6999999999998</v>
      </c>
      <c r="R12" s="32">
        <v>1649</v>
      </c>
      <c r="S12" s="32">
        <v>1676.8000000000002</v>
      </c>
      <c r="T12" s="32">
        <v>1762</v>
      </c>
      <c r="U12" s="32">
        <v>1925.6999999999998</v>
      </c>
      <c r="V12" s="32">
        <v>2930.5</v>
      </c>
      <c r="W12" s="32">
        <v>3192.7000000000007</v>
      </c>
      <c r="X12" s="32">
        <v>3258.8590000000004</v>
      </c>
      <c r="Y12" s="32">
        <v>3439.1360000000004</v>
      </c>
      <c r="Z12" s="32">
        <v>3669.4560000000001</v>
      </c>
      <c r="AA12" s="32">
        <v>3934.2280000000001</v>
      </c>
      <c r="AB12" s="32">
        <v>4244.6440000000002</v>
      </c>
      <c r="AC12" s="32">
        <v>6895.7470367222795</v>
      </c>
      <c r="AD12" s="32">
        <v>7922.4201260176724</v>
      </c>
      <c r="AE12" s="32">
        <v>9344.8813138691912</v>
      </c>
      <c r="AF12" s="32">
        <v>11097.207284592663</v>
      </c>
      <c r="AG12" s="32">
        <v>12188.413950776918</v>
      </c>
      <c r="AH12" s="32">
        <v>11754.694222796006</v>
      </c>
      <c r="AI12" s="32">
        <v>12094.823168957028</v>
      </c>
      <c r="AJ12" s="32">
        <v>12611.470085862817</v>
      </c>
      <c r="AK12" s="32">
        <v>12498.594999999999</v>
      </c>
      <c r="AL12" s="32">
        <v>13854.642</v>
      </c>
      <c r="AM12" s="32">
        <v>14198.97603664469</v>
      </c>
      <c r="AN12" s="120">
        <v>13763</v>
      </c>
      <c r="AO12" s="120">
        <v>13975.628000000001</v>
      </c>
      <c r="AP12" s="120">
        <v>12986.905509</v>
      </c>
      <c r="AQ12" s="120">
        <v>13330.308000000001</v>
      </c>
      <c r="AR12" s="120">
        <v>13675.555076999997</v>
      </c>
      <c r="AS12" s="120">
        <v>15021.862346999998</v>
      </c>
      <c r="AT12" s="120">
        <v>15794</v>
      </c>
      <c r="AU12" s="120">
        <v>17081.672674000001</v>
      </c>
      <c r="AV12" s="120">
        <v>17883.068450999999</v>
      </c>
      <c r="AW12" s="120">
        <v>20927</v>
      </c>
      <c r="AX12" s="120">
        <v>19551</v>
      </c>
      <c r="AY12" s="120">
        <v>21689</v>
      </c>
      <c r="AZ12" s="120">
        <v>23066</v>
      </c>
      <c r="BA12" s="117">
        <v>24843</v>
      </c>
      <c r="BB12" s="117">
        <v>25904</v>
      </c>
      <c r="BC12" s="117">
        <v>16637</v>
      </c>
      <c r="BD12" s="117"/>
      <c r="BE12" s="117"/>
      <c r="BF12" s="118"/>
      <c r="BG12" s="114"/>
      <c r="BM12" s="115"/>
      <c r="BN12" s="115"/>
      <c r="BO12" s="53"/>
      <c r="BP12" s="53"/>
      <c r="BQ12" s="53"/>
    </row>
    <row r="13" spans="1:69" s="112" customFormat="1" ht="11.5" x14ac:dyDescent="0.25">
      <c r="A13" s="1" t="s">
        <v>0</v>
      </c>
      <c r="B13" s="112" t="s">
        <v>250</v>
      </c>
      <c r="C13" s="112" t="s">
        <v>91</v>
      </c>
      <c r="D13" s="32">
        <v>84.014999999999986</v>
      </c>
      <c r="E13" s="32">
        <v>54.775999999999954</v>
      </c>
      <c r="F13" s="32">
        <v>63.299999999999955</v>
      </c>
      <c r="G13" s="32">
        <v>65.501999999999953</v>
      </c>
      <c r="H13" s="32">
        <v>67.024999999999977</v>
      </c>
      <c r="I13" s="32">
        <v>43.687000000000012</v>
      </c>
      <c r="J13" s="32">
        <v>76.464000000000055</v>
      </c>
      <c r="K13" s="32">
        <v>60.164999999999964</v>
      </c>
      <c r="L13" s="32">
        <v>68.990000000000009</v>
      </c>
      <c r="M13" s="32">
        <v>70.819999999999936</v>
      </c>
      <c r="N13" s="32">
        <v>83.599999999999909</v>
      </c>
      <c r="O13" s="32">
        <v>97.299999999999955</v>
      </c>
      <c r="P13" s="32">
        <v>87.5</v>
      </c>
      <c r="Q13" s="32">
        <v>109.79999999999995</v>
      </c>
      <c r="R13" s="32">
        <v>107.5</v>
      </c>
      <c r="S13" s="32">
        <v>120.29999999999995</v>
      </c>
      <c r="T13" s="32">
        <v>35.200000000000045</v>
      </c>
      <c r="U13" s="32">
        <v>125.40000000000009</v>
      </c>
      <c r="V13" s="32">
        <v>136.90000000000009</v>
      </c>
      <c r="W13" s="32">
        <v>173.40000000000009</v>
      </c>
      <c r="X13" s="32">
        <v>171.11360516770128</v>
      </c>
      <c r="Y13" s="32">
        <v>184.1074578507928</v>
      </c>
      <c r="Z13" s="32">
        <v>191.84758030023113</v>
      </c>
      <c r="AA13" s="32">
        <v>171</v>
      </c>
      <c r="AB13" s="32">
        <v>144</v>
      </c>
      <c r="AC13" s="32">
        <v>184</v>
      </c>
      <c r="AD13" s="32">
        <v>180</v>
      </c>
      <c r="AE13" s="32">
        <v>185</v>
      </c>
      <c r="AF13" s="32">
        <v>218.47610905577039</v>
      </c>
      <c r="AG13" s="32">
        <v>265.07344757101964</v>
      </c>
      <c r="AH13" s="32">
        <v>331.77856917116105</v>
      </c>
      <c r="AI13" s="32">
        <v>285.23890266343278</v>
      </c>
      <c r="AJ13" s="32">
        <v>352.44060736164101</v>
      </c>
      <c r="AK13" s="32">
        <v>419.70999999999958</v>
      </c>
      <c r="AL13" s="32">
        <v>330.62000000000035</v>
      </c>
      <c r="AM13" s="32">
        <v>345.70604716018443</v>
      </c>
      <c r="AN13" s="32">
        <v>451.89087564163395</v>
      </c>
      <c r="AO13" s="32">
        <v>517.4</v>
      </c>
      <c r="AP13" s="32">
        <v>594.36</v>
      </c>
      <c r="AQ13" s="32">
        <v>678.1</v>
      </c>
      <c r="AR13" s="32">
        <v>695.82999999999993</v>
      </c>
      <c r="AS13" s="32">
        <v>760.13</v>
      </c>
      <c r="AT13" s="32">
        <v>778.56999999999994</v>
      </c>
      <c r="AU13" s="32">
        <v>760.28</v>
      </c>
      <c r="AV13" s="32">
        <v>784.04</v>
      </c>
      <c r="AW13" s="32">
        <v>837.72</v>
      </c>
      <c r="AX13" s="32">
        <v>968</v>
      </c>
      <c r="AY13" s="32">
        <v>883</v>
      </c>
      <c r="AZ13" s="32">
        <v>1282</v>
      </c>
      <c r="BA13" s="28">
        <v>1171</v>
      </c>
      <c r="BB13" s="28">
        <v>1171</v>
      </c>
      <c r="BC13" s="28">
        <v>359</v>
      </c>
      <c r="BD13" s="28"/>
      <c r="BE13" s="28"/>
      <c r="BF13" s="29"/>
      <c r="BG13" s="114"/>
      <c r="BM13" s="115"/>
      <c r="BN13" s="115"/>
      <c r="BO13" s="53"/>
      <c r="BP13" s="53"/>
      <c r="BQ13" s="53"/>
    </row>
    <row r="14" spans="1:69" s="112" customFormat="1" ht="11.5" x14ac:dyDescent="0.25">
      <c r="A14" s="1" t="s">
        <v>22</v>
      </c>
      <c r="B14" s="112" t="s">
        <v>250</v>
      </c>
      <c r="C14" s="112" t="s">
        <v>91</v>
      </c>
      <c r="D14" s="32">
        <v>346.43100000000004</v>
      </c>
      <c r="E14" s="32">
        <v>398.49900000000002</v>
      </c>
      <c r="F14" s="32">
        <v>501.26599999999996</v>
      </c>
      <c r="G14" s="32">
        <v>534.24299999999994</v>
      </c>
      <c r="H14" s="32">
        <v>513.846</v>
      </c>
      <c r="I14" s="32">
        <v>594.32600000000002</v>
      </c>
      <c r="J14" s="32">
        <v>816.60500000000002</v>
      </c>
      <c r="K14" s="32">
        <v>917.08799999999997</v>
      </c>
      <c r="L14" s="32">
        <v>1198.127</v>
      </c>
      <c r="M14" s="32">
        <v>1178.8889999999999</v>
      </c>
      <c r="N14" s="32">
        <v>1290</v>
      </c>
      <c r="O14" s="32">
        <v>1079.3</v>
      </c>
      <c r="P14" s="32">
        <v>1037.9000000000001</v>
      </c>
      <c r="Q14" s="32">
        <v>1064.4000000000001</v>
      </c>
      <c r="R14" s="32">
        <v>1048.9999999999998</v>
      </c>
      <c r="S14" s="32">
        <v>1060.3</v>
      </c>
      <c r="T14" s="32">
        <v>1588.6</v>
      </c>
      <c r="U14" s="32">
        <v>1699.5</v>
      </c>
      <c r="V14" s="32">
        <v>1711.1999999999998</v>
      </c>
      <c r="W14" s="32">
        <v>1679.5</v>
      </c>
      <c r="X14" s="32">
        <v>1787.7055499999997</v>
      </c>
      <c r="Y14" s="32">
        <v>1580.9905493304514</v>
      </c>
      <c r="Z14" s="32">
        <v>1620.0339999999992</v>
      </c>
      <c r="AA14" s="32">
        <v>1734</v>
      </c>
      <c r="AB14" s="32">
        <v>1799</v>
      </c>
      <c r="AC14" s="32">
        <v>1886</v>
      </c>
      <c r="AD14" s="32">
        <v>2307</v>
      </c>
      <c r="AE14" s="32">
        <v>2446</v>
      </c>
      <c r="AF14" s="32">
        <v>2685.430499999999</v>
      </c>
      <c r="AG14" s="32">
        <v>2759.0000000000005</v>
      </c>
      <c r="AH14" s="32">
        <v>2891</v>
      </c>
      <c r="AI14" s="32">
        <v>2689.9999999999995</v>
      </c>
      <c r="AJ14" s="32">
        <v>3014</v>
      </c>
      <c r="AK14" s="32">
        <v>3180</v>
      </c>
      <c r="AL14" s="32">
        <v>3010</v>
      </c>
      <c r="AM14" s="32">
        <v>3407</v>
      </c>
      <c r="AN14" s="32">
        <v>3575</v>
      </c>
      <c r="AO14" s="32">
        <v>3584</v>
      </c>
      <c r="AP14" s="32">
        <v>3853.8220000000001</v>
      </c>
      <c r="AQ14" s="32">
        <v>4548.6259999999993</v>
      </c>
      <c r="AR14" s="32">
        <v>5600.49</v>
      </c>
      <c r="AS14" s="32">
        <v>6380.8590000000004</v>
      </c>
      <c r="AT14" s="32">
        <v>6684.3289999999997</v>
      </c>
      <c r="AU14" s="32">
        <v>7970.3090000000011</v>
      </c>
      <c r="AV14" s="32">
        <v>8252.1</v>
      </c>
      <c r="AW14" s="32">
        <v>8290.81</v>
      </c>
      <c r="AX14" s="32">
        <v>6323.5</v>
      </c>
      <c r="AY14" s="32">
        <v>6462</v>
      </c>
      <c r="AZ14" s="32">
        <v>6685</v>
      </c>
      <c r="BA14" s="28">
        <v>7444</v>
      </c>
      <c r="BB14" s="28">
        <v>5995.1391158677507</v>
      </c>
      <c r="BC14" s="28">
        <v>2171</v>
      </c>
      <c r="BD14" s="28"/>
      <c r="BE14" s="28"/>
      <c r="BF14" s="29"/>
      <c r="BG14" s="114"/>
      <c r="BM14" s="115"/>
      <c r="BN14" s="115"/>
      <c r="BO14" s="53"/>
      <c r="BP14" s="53"/>
      <c r="BQ14" s="53"/>
    </row>
    <row r="15" spans="1:69" s="112" customFormat="1" ht="11.5" x14ac:dyDescent="0.25">
      <c r="A15" s="1" t="s">
        <v>63</v>
      </c>
      <c r="B15" s="112" t="s">
        <v>250</v>
      </c>
      <c r="C15" s="112" t="s">
        <v>91</v>
      </c>
      <c r="D15" s="32">
        <v>693.13900000000001</v>
      </c>
      <c r="E15" s="32">
        <v>929.84099999999989</v>
      </c>
      <c r="F15" s="32">
        <v>792.07600000000002</v>
      </c>
      <c r="G15" s="32">
        <v>782.16699999999992</v>
      </c>
      <c r="H15" s="32">
        <v>787.2360000000001</v>
      </c>
      <c r="I15" s="32">
        <v>843.64400000000001</v>
      </c>
      <c r="J15" s="32">
        <v>875.1579999999999</v>
      </c>
      <c r="K15" s="32">
        <v>871.1400000000001</v>
      </c>
      <c r="L15" s="32">
        <v>927.81999999999994</v>
      </c>
      <c r="M15" s="32">
        <v>954.2</v>
      </c>
      <c r="N15" s="32">
        <v>1032.5999999999999</v>
      </c>
      <c r="O15" s="32">
        <v>1150</v>
      </c>
      <c r="P15" s="32">
        <v>1196.1999999999998</v>
      </c>
      <c r="Q15" s="32">
        <v>1190.5999999999999</v>
      </c>
      <c r="R15" s="32">
        <v>1494.3000000000002</v>
      </c>
      <c r="S15" s="32">
        <v>1429.8999999999999</v>
      </c>
      <c r="T15" s="32">
        <v>1646.1999999999998</v>
      </c>
      <c r="U15" s="32">
        <v>1465.3000000000002</v>
      </c>
      <c r="V15" s="32">
        <v>1726.6999999999998</v>
      </c>
      <c r="W15" s="32">
        <v>1827.6</v>
      </c>
      <c r="X15" s="32">
        <v>1922.808</v>
      </c>
      <c r="Y15" s="32">
        <v>2078.1669999999995</v>
      </c>
      <c r="Z15" s="32">
        <v>2013.3650000000007</v>
      </c>
      <c r="AA15" s="32">
        <v>2392</v>
      </c>
      <c r="AB15" s="32">
        <v>2305</v>
      </c>
      <c r="AC15" s="32">
        <v>1542</v>
      </c>
      <c r="AD15" s="32">
        <v>2599</v>
      </c>
      <c r="AE15" s="32">
        <v>2768</v>
      </c>
      <c r="AF15" s="32">
        <v>3188.596</v>
      </c>
      <c r="AG15" s="32">
        <v>3005.9829999999997</v>
      </c>
      <c r="AH15" s="32">
        <v>2187.3978900000002</v>
      </c>
      <c r="AI15" s="32">
        <v>1680</v>
      </c>
      <c r="AJ15" s="32">
        <v>1035.9389999999999</v>
      </c>
      <c r="AK15" s="32">
        <v>561.40700000000015</v>
      </c>
      <c r="AL15" s="32">
        <v>700</v>
      </c>
      <c r="AM15" s="32">
        <v>653</v>
      </c>
      <c r="AN15" s="32">
        <v>2343</v>
      </c>
      <c r="AO15" s="32">
        <v>2650</v>
      </c>
      <c r="AP15" s="32">
        <v>2717.1</v>
      </c>
      <c r="AQ15" s="32">
        <v>2442</v>
      </c>
      <c r="AR15" s="32">
        <v>2330</v>
      </c>
      <c r="AS15" s="32">
        <v>2439.2999999999997</v>
      </c>
      <c r="AT15" s="32">
        <v>2476.1999999999998</v>
      </c>
      <c r="AU15" s="32">
        <v>2011.1000000000001</v>
      </c>
      <c r="AV15" s="32">
        <v>2743</v>
      </c>
      <c r="AW15" s="32">
        <v>2668</v>
      </c>
      <c r="AX15" s="32">
        <v>2652</v>
      </c>
      <c r="AY15" s="32">
        <v>2427</v>
      </c>
      <c r="AZ15" s="32">
        <v>2484</v>
      </c>
      <c r="BA15" s="28">
        <v>1723</v>
      </c>
      <c r="BB15" s="28">
        <v>1725</v>
      </c>
      <c r="BC15" s="28">
        <v>1277</v>
      </c>
      <c r="BD15" s="28"/>
      <c r="BE15" s="28"/>
      <c r="BF15" s="29"/>
      <c r="BG15" s="114"/>
      <c r="BM15" s="115"/>
      <c r="BN15" s="115"/>
      <c r="BO15" s="53"/>
      <c r="BP15" s="53"/>
      <c r="BQ15" s="53"/>
    </row>
    <row r="16" spans="1:69" s="112" customFormat="1" ht="11.5" x14ac:dyDescent="0.25">
      <c r="A16" s="1" t="s">
        <v>236</v>
      </c>
      <c r="B16" s="112" t="s">
        <v>250</v>
      </c>
      <c r="C16" s="112" t="s">
        <v>91</v>
      </c>
      <c r="D16" s="32">
        <v>1195.0070000000001</v>
      </c>
      <c r="E16" s="32">
        <v>1277.481</v>
      </c>
      <c r="F16" s="32">
        <v>1425.845</v>
      </c>
      <c r="G16" s="32">
        <v>1504.058</v>
      </c>
      <c r="H16" s="32">
        <v>1649.098</v>
      </c>
      <c r="I16" s="32">
        <v>1709.7689999999998</v>
      </c>
      <c r="J16" s="32">
        <v>1985.9</v>
      </c>
      <c r="K16" s="32">
        <v>2255.8209999999999</v>
      </c>
      <c r="L16" s="32">
        <v>2435.6489999999999</v>
      </c>
      <c r="M16" s="32">
        <v>2205.5309999999999</v>
      </c>
      <c r="N16" s="32">
        <v>2317.3000000000002</v>
      </c>
      <c r="O16" s="32">
        <v>2273.3000000000002</v>
      </c>
      <c r="P16" s="32">
        <v>2453.6</v>
      </c>
      <c r="Q16" s="32">
        <v>2342.1</v>
      </c>
      <c r="R16" s="32">
        <v>2705.1</v>
      </c>
      <c r="S16" s="32">
        <v>2597.8609999999999</v>
      </c>
      <c r="T16" s="32">
        <v>2562.8590000000004</v>
      </c>
      <c r="U16" s="32">
        <v>2933.1890000000003</v>
      </c>
      <c r="V16" s="32">
        <v>3471.5349999999999</v>
      </c>
      <c r="W16" s="32">
        <v>3061.7170000000006</v>
      </c>
      <c r="X16" s="32">
        <v>2934.181</v>
      </c>
      <c r="Y16" s="32">
        <v>2836.08</v>
      </c>
      <c r="Z16" s="32">
        <v>2821</v>
      </c>
      <c r="AA16" s="32">
        <v>2910.0650000000001</v>
      </c>
      <c r="AB16" s="32">
        <v>3095.4090000000001</v>
      </c>
      <c r="AC16" s="32">
        <v>3704</v>
      </c>
      <c r="AD16" s="32">
        <v>4105.6379999999999</v>
      </c>
      <c r="AE16" s="32">
        <v>4529</v>
      </c>
      <c r="AF16" s="32">
        <v>4726.3</v>
      </c>
      <c r="AG16" s="32">
        <v>4833.8019999999997</v>
      </c>
      <c r="AH16" s="32">
        <v>5310.5139999999992</v>
      </c>
      <c r="AI16" s="32">
        <v>5514.2860000000001</v>
      </c>
      <c r="AJ16" s="32">
        <v>5782.6999999999989</v>
      </c>
      <c r="AK16" s="32">
        <v>5748.3490000000002</v>
      </c>
      <c r="AL16" s="32">
        <v>5866.6438733761288</v>
      </c>
      <c r="AM16" s="32">
        <v>6779.027</v>
      </c>
      <c r="AN16" s="120">
        <v>5927.1049999999996</v>
      </c>
      <c r="AO16" s="120">
        <v>6413.4089999999997</v>
      </c>
      <c r="AP16" s="120">
        <v>5926.7260000000006</v>
      </c>
      <c r="AQ16" s="120">
        <v>6918.3140000000003</v>
      </c>
      <c r="AR16" s="120">
        <v>6895.5339999999997</v>
      </c>
      <c r="AS16" s="120">
        <v>7731.6779999999999</v>
      </c>
      <c r="AT16" s="120">
        <v>7817.0560000000005</v>
      </c>
      <c r="AU16" s="120">
        <v>8481.15</v>
      </c>
      <c r="AV16" s="120">
        <v>8892.0560000000005</v>
      </c>
      <c r="AW16" s="120">
        <v>7169.5309999999999</v>
      </c>
      <c r="AX16" s="120">
        <v>7438.7690000000002</v>
      </c>
      <c r="AY16" s="120">
        <v>10564.804</v>
      </c>
      <c r="AZ16" s="120">
        <v>12121.57</v>
      </c>
      <c r="BA16" s="117">
        <v>11539.236999999999</v>
      </c>
      <c r="BB16" s="117">
        <v>9897.2340761839278</v>
      </c>
      <c r="BC16" s="117">
        <v>7399.3490000000002</v>
      </c>
      <c r="BD16" s="117"/>
      <c r="BE16" s="117"/>
      <c r="BF16" s="2"/>
      <c r="BG16" s="114"/>
      <c r="BM16" s="115"/>
      <c r="BN16" s="115"/>
      <c r="BO16" s="53"/>
      <c r="BP16" s="53"/>
      <c r="BQ16" s="53"/>
    </row>
    <row r="17" spans="1:69" s="112" customFormat="1" ht="11.5" x14ac:dyDescent="0.25">
      <c r="A17" s="1" t="s">
        <v>16</v>
      </c>
      <c r="B17" s="112" t="s">
        <v>250</v>
      </c>
      <c r="C17" s="112" t="s">
        <v>91</v>
      </c>
      <c r="D17" s="32">
        <v>247.94400000000002</v>
      </c>
      <c r="E17" s="32">
        <v>266.22399999999999</v>
      </c>
      <c r="F17" s="32">
        <v>329.02</v>
      </c>
      <c r="G17" s="32">
        <v>366.48400000000004</v>
      </c>
      <c r="H17" s="32">
        <v>376.91999999999996</v>
      </c>
      <c r="I17" s="32">
        <v>377.43499999999995</v>
      </c>
      <c r="J17" s="32">
        <v>421.98400000000004</v>
      </c>
      <c r="K17" s="32">
        <v>432.46299999999997</v>
      </c>
      <c r="L17" s="32">
        <v>452.55799999999999</v>
      </c>
      <c r="M17" s="32">
        <v>440.88699999999994</v>
      </c>
      <c r="N17" s="32">
        <v>460.9</v>
      </c>
      <c r="O17" s="32">
        <v>463.4</v>
      </c>
      <c r="P17" s="32">
        <v>470.9</v>
      </c>
      <c r="Q17" s="32">
        <v>506.20000000000005</v>
      </c>
      <c r="R17" s="32">
        <v>513.30000000000007</v>
      </c>
      <c r="S17" s="32">
        <v>544.29999999999995</v>
      </c>
      <c r="T17" s="32">
        <v>622.5</v>
      </c>
      <c r="U17" s="32">
        <v>664</v>
      </c>
      <c r="V17" s="32">
        <v>629.70000000000005</v>
      </c>
      <c r="W17" s="32">
        <v>722.5</v>
      </c>
      <c r="X17" s="32">
        <v>720</v>
      </c>
      <c r="Y17" s="32">
        <v>699.36599999999999</v>
      </c>
      <c r="Z17" s="32">
        <v>703.09099999999989</v>
      </c>
      <c r="AA17" s="32">
        <v>728</v>
      </c>
      <c r="AB17" s="32">
        <v>743</v>
      </c>
      <c r="AC17" s="32">
        <v>834</v>
      </c>
      <c r="AD17" s="32">
        <v>1044</v>
      </c>
      <c r="AE17" s="32">
        <v>875</v>
      </c>
      <c r="AF17" s="32">
        <v>977.31499999999994</v>
      </c>
      <c r="AG17" s="32">
        <v>1055.2</v>
      </c>
      <c r="AH17" s="32">
        <v>1132.3809999999999</v>
      </c>
      <c r="AI17" s="32">
        <v>1149.403</v>
      </c>
      <c r="AJ17" s="32">
        <v>1072</v>
      </c>
      <c r="AK17" s="32">
        <v>1146</v>
      </c>
      <c r="AL17" s="32">
        <v>1214</v>
      </c>
      <c r="AM17" s="32">
        <v>1244</v>
      </c>
      <c r="AN17" s="32">
        <v>1174</v>
      </c>
      <c r="AO17" s="32">
        <v>1124</v>
      </c>
      <c r="AP17" s="32">
        <v>1046</v>
      </c>
      <c r="AQ17" s="32">
        <v>1090</v>
      </c>
      <c r="AR17" s="32">
        <v>1114.373</v>
      </c>
      <c r="AS17" s="32">
        <v>1119.373</v>
      </c>
      <c r="AT17" s="32">
        <v>1069.7570000000001</v>
      </c>
      <c r="AU17" s="32">
        <v>1071.7570000000001</v>
      </c>
      <c r="AV17" s="32">
        <v>1124.7570000000001</v>
      </c>
      <c r="AW17" s="32">
        <v>1284.7570000000001</v>
      </c>
      <c r="AX17" s="32">
        <v>1885</v>
      </c>
      <c r="AY17" s="32">
        <v>1603</v>
      </c>
      <c r="AZ17" s="32">
        <v>1525</v>
      </c>
      <c r="BA17" s="28">
        <v>1399</v>
      </c>
      <c r="BB17" s="28">
        <v>1393</v>
      </c>
      <c r="BC17" s="28">
        <v>1020</v>
      </c>
      <c r="BD17" s="28"/>
      <c r="BE17" s="28"/>
      <c r="BF17" s="29"/>
      <c r="BG17" s="114"/>
      <c r="BM17" s="115"/>
      <c r="BN17" s="115"/>
      <c r="BO17" s="53"/>
      <c r="BP17" s="53"/>
      <c r="BQ17" s="53"/>
    </row>
    <row r="18" spans="1:69" s="112" customFormat="1" ht="11.5" x14ac:dyDescent="0.25">
      <c r="A18" s="1" t="s">
        <v>253</v>
      </c>
      <c r="B18" s="112" t="s">
        <v>250</v>
      </c>
      <c r="C18" s="112" t="s">
        <v>91</v>
      </c>
      <c r="D18" s="120">
        <v>1004.9549999999995</v>
      </c>
      <c r="E18" s="120">
        <v>1113.8190000000004</v>
      </c>
      <c r="F18" s="120">
        <v>1210.9500000000007</v>
      </c>
      <c r="G18" s="120">
        <v>1295.7079999999996</v>
      </c>
      <c r="H18" s="120">
        <v>1581.7689999999993</v>
      </c>
      <c r="I18" s="120">
        <v>1777.0470000000023</v>
      </c>
      <c r="J18" s="120">
        <v>1749.3600000000006</v>
      </c>
      <c r="K18" s="120">
        <v>1875.0559999999996</v>
      </c>
      <c r="L18" s="120">
        <v>1924.1510000000007</v>
      </c>
      <c r="M18" s="120">
        <v>1966.5559999999996</v>
      </c>
      <c r="N18" s="120">
        <v>1968.5</v>
      </c>
      <c r="O18" s="120">
        <v>2014.3000000000011</v>
      </c>
      <c r="P18" s="120">
        <v>2225.7000000000007</v>
      </c>
      <c r="Q18" s="120">
        <v>2337.2999999999993</v>
      </c>
      <c r="R18" s="120">
        <v>2629.4000000000005</v>
      </c>
      <c r="S18" s="120">
        <v>2914.2390000000005</v>
      </c>
      <c r="T18" s="120">
        <v>3344.0410000000011</v>
      </c>
      <c r="U18" s="120">
        <v>2734.5109999999986</v>
      </c>
      <c r="V18" s="120">
        <v>2839.9650000000001</v>
      </c>
      <c r="W18" s="120">
        <v>3060.7829999999994</v>
      </c>
      <c r="X18" s="120">
        <v>3489.1329999999998</v>
      </c>
      <c r="Y18" s="120">
        <v>3318.7209679618027</v>
      </c>
      <c r="Z18" s="120">
        <v>3406.0701784621415</v>
      </c>
      <c r="AA18" s="120">
        <v>3590.6380000000008</v>
      </c>
      <c r="AB18" s="120">
        <v>3661.1231158798582</v>
      </c>
      <c r="AC18" s="120">
        <v>3909.2009647579816</v>
      </c>
      <c r="AD18" s="120">
        <v>4292.2325441279354</v>
      </c>
      <c r="AE18" s="120">
        <v>4259.0161096416086</v>
      </c>
      <c r="AF18" s="120">
        <v>4572.7730000000192</v>
      </c>
      <c r="AG18" s="120">
        <v>4689.6079999999711</v>
      </c>
      <c r="AH18" s="120">
        <v>5244.540331168846</v>
      </c>
      <c r="AI18" s="120">
        <v>4895.6340000000018</v>
      </c>
      <c r="AJ18" s="120">
        <v>4730.0488000000005</v>
      </c>
      <c r="AK18" s="120">
        <v>4549.8790726850348</v>
      </c>
      <c r="AL18" s="120">
        <v>5215.0941266238697</v>
      </c>
      <c r="AM18" s="120">
        <v>5168.3949587321113</v>
      </c>
      <c r="AN18" s="120">
        <v>5191.6560042027559</v>
      </c>
      <c r="AO18" s="120">
        <v>5061.9419278369896</v>
      </c>
      <c r="AP18" s="120">
        <v>5842.1973112905835</v>
      </c>
      <c r="AQ18" s="120">
        <v>5781.843227530735</v>
      </c>
      <c r="AR18" s="120">
        <v>5789.0261463045608</v>
      </c>
      <c r="AS18" s="120">
        <v>3593.7976530000014</v>
      </c>
      <c r="AT18" s="120">
        <v>6011.9309313851554</v>
      </c>
      <c r="AU18" s="120">
        <v>6048.7480000000069</v>
      </c>
      <c r="AV18" s="120">
        <v>6013.4347100000014</v>
      </c>
      <c r="AW18" s="120">
        <v>5560.7070615400007</v>
      </c>
      <c r="AX18" s="120">
        <v>5836.1921700000021</v>
      </c>
      <c r="AY18" s="120">
        <v>4362.8949999999968</v>
      </c>
      <c r="AZ18" s="120">
        <v>2761.3200007948981</v>
      </c>
      <c r="BA18" s="117">
        <v>5443.3000000000029</v>
      </c>
      <c r="BB18" s="117">
        <v>5302.2999999999956</v>
      </c>
      <c r="BC18" s="117">
        <v>4070.2999999999956</v>
      </c>
      <c r="BD18" s="117"/>
      <c r="BE18" s="117"/>
      <c r="BF18" s="119"/>
      <c r="BM18" s="115"/>
      <c r="BN18" s="115"/>
      <c r="BO18" s="53"/>
      <c r="BP18" s="53"/>
      <c r="BQ18" s="53"/>
    </row>
    <row r="19" spans="1:69" s="112" customFormat="1" ht="11.5" x14ac:dyDescent="0.25">
      <c r="A19" s="1" t="s">
        <v>21</v>
      </c>
      <c r="B19" s="112" t="s">
        <v>250</v>
      </c>
      <c r="C19" s="112" t="s">
        <v>91</v>
      </c>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v>5386</v>
      </c>
      <c r="AM19" s="120"/>
      <c r="AN19" s="120"/>
      <c r="AO19" s="120"/>
      <c r="AP19" s="120"/>
      <c r="AQ19" s="120"/>
      <c r="AR19" s="120"/>
      <c r="AS19" s="120"/>
      <c r="AT19" s="120"/>
      <c r="AU19" s="120"/>
      <c r="AV19" s="120"/>
      <c r="AW19" s="120"/>
      <c r="AX19" s="120"/>
      <c r="AY19" s="120"/>
      <c r="AZ19" s="120"/>
      <c r="BA19" s="120"/>
      <c r="BB19" s="120"/>
      <c r="BC19" s="120"/>
      <c r="BD19" s="120"/>
      <c r="BE19" s="120"/>
      <c r="BF19" s="119"/>
      <c r="BM19" s="115"/>
      <c r="BN19" s="115"/>
      <c r="BO19" s="53"/>
      <c r="BP19" s="53"/>
      <c r="BQ19" s="53"/>
    </row>
    <row r="20" spans="1:69" s="112" customFormat="1" ht="11.5" x14ac:dyDescent="0.25">
      <c r="A20" s="112" t="s">
        <v>252</v>
      </c>
      <c r="B20" s="112" t="s">
        <v>251</v>
      </c>
      <c r="C20" s="112" t="s">
        <v>91</v>
      </c>
      <c r="D20" s="121">
        <v>12309.11</v>
      </c>
      <c r="E20" s="121">
        <v>13160.325999999999</v>
      </c>
      <c r="F20" s="121">
        <v>14936.262000000001</v>
      </c>
      <c r="G20" s="121">
        <v>16238.379000000001</v>
      </c>
      <c r="H20" s="121">
        <v>17610.136999999999</v>
      </c>
      <c r="I20" s="121">
        <v>18233.054</v>
      </c>
      <c r="J20" s="121">
        <v>20891.144</v>
      </c>
      <c r="K20" s="121">
        <v>23410.403999999999</v>
      </c>
      <c r="L20" s="121">
        <v>24458</v>
      </c>
      <c r="M20" s="121">
        <v>27246.1</v>
      </c>
      <c r="N20" s="121">
        <v>32226.1</v>
      </c>
      <c r="O20" s="121">
        <v>34910.199999999997</v>
      </c>
      <c r="P20" s="121">
        <v>37313.199999999997</v>
      </c>
      <c r="Q20" s="121">
        <v>38119.300000000003</v>
      </c>
      <c r="R20" s="121">
        <v>40641</v>
      </c>
      <c r="S20" s="121">
        <v>41937.1</v>
      </c>
      <c r="T20" s="121">
        <v>37326.800000000003</v>
      </c>
      <c r="U20" s="121">
        <v>41102</v>
      </c>
      <c r="V20" s="121">
        <v>40423.5</v>
      </c>
      <c r="W20" s="121">
        <v>39824.199999999997</v>
      </c>
      <c r="X20" s="121">
        <v>40700</v>
      </c>
      <c r="Y20" s="121">
        <v>40600</v>
      </c>
      <c r="Z20" s="121">
        <v>42338</v>
      </c>
      <c r="AA20" s="121">
        <v>42600</v>
      </c>
      <c r="AB20" s="121">
        <v>44321</v>
      </c>
      <c r="AC20" s="121">
        <v>40425</v>
      </c>
      <c r="AD20" s="121">
        <v>42959</v>
      </c>
      <c r="AE20" s="121">
        <v>49412</v>
      </c>
      <c r="AF20" s="121">
        <v>59809</v>
      </c>
      <c r="AG20" s="121">
        <v>66591.831999999995</v>
      </c>
      <c r="AH20" s="121">
        <v>70119.531311688319</v>
      </c>
      <c r="AI20" s="121">
        <v>76022.305999999997</v>
      </c>
      <c r="AJ20" s="121">
        <v>81366.067999999999</v>
      </c>
      <c r="AK20" s="121">
        <v>83326.547979949552</v>
      </c>
      <c r="AL20" s="121">
        <v>82603.003594826019</v>
      </c>
      <c r="AM20" s="121">
        <v>83802.808032632078</v>
      </c>
      <c r="AN20" s="121">
        <v>79666.151794562335</v>
      </c>
      <c r="AO20" s="121">
        <v>76203.114072163022</v>
      </c>
      <c r="AP20" s="121">
        <v>67678.954534321965</v>
      </c>
      <c r="AQ20" s="121">
        <v>67048.737772469278</v>
      </c>
      <c r="AR20" s="121">
        <v>68081.031853695444</v>
      </c>
      <c r="AS20" s="121">
        <v>75760</v>
      </c>
      <c r="AT20" s="121">
        <v>50036.606068614856</v>
      </c>
      <c r="AU20" s="121">
        <v>60976.063999999998</v>
      </c>
      <c r="AV20" s="32">
        <v>60573.704410000006</v>
      </c>
      <c r="AW20" s="32">
        <v>72797.127283369991</v>
      </c>
      <c r="AX20" s="32">
        <v>72016.964829999997</v>
      </c>
      <c r="AY20" s="32">
        <v>85082.952000000005</v>
      </c>
      <c r="AZ20" s="32">
        <v>94781.83178200273</v>
      </c>
      <c r="BA20" s="32">
        <v>90440.74</v>
      </c>
      <c r="BB20" s="32">
        <v>95054.443991041713</v>
      </c>
      <c r="BC20" s="32">
        <v>88824.802000000011</v>
      </c>
      <c r="BD20" s="32"/>
      <c r="BE20" s="32"/>
      <c r="BG20" s="114"/>
    </row>
    <row r="21" spans="1:69" s="112" customFormat="1" ht="11.5" x14ac:dyDescent="0.25">
      <c r="A21" s="1" t="s">
        <v>102</v>
      </c>
      <c r="B21" s="112" t="s">
        <v>251</v>
      </c>
      <c r="C21" s="112" t="s">
        <v>91</v>
      </c>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v>0</v>
      </c>
      <c r="AD21" s="121">
        <v>0</v>
      </c>
      <c r="AE21" s="121">
        <v>0</v>
      </c>
      <c r="AF21" s="121">
        <v>0</v>
      </c>
      <c r="AG21" s="121">
        <v>0</v>
      </c>
      <c r="AH21" s="121">
        <v>0</v>
      </c>
      <c r="AI21" s="121">
        <v>0</v>
      </c>
      <c r="AJ21" s="121">
        <v>0</v>
      </c>
      <c r="AK21" s="121">
        <v>0</v>
      </c>
      <c r="AL21" s="121">
        <v>0</v>
      </c>
      <c r="AM21" s="121">
        <v>0</v>
      </c>
      <c r="AN21" s="121">
        <v>0</v>
      </c>
      <c r="AO21" s="121">
        <v>0</v>
      </c>
      <c r="AP21" s="121">
        <v>0</v>
      </c>
      <c r="AQ21" s="121">
        <v>0</v>
      </c>
      <c r="AR21" s="121">
        <v>0</v>
      </c>
      <c r="AS21" s="121">
        <v>0</v>
      </c>
      <c r="AT21" s="121">
        <v>0</v>
      </c>
      <c r="AU21" s="121">
        <v>0</v>
      </c>
      <c r="AV21" s="121">
        <v>0</v>
      </c>
      <c r="AW21" s="121">
        <v>0</v>
      </c>
      <c r="AX21" s="121">
        <v>0</v>
      </c>
      <c r="AY21" s="121">
        <v>0</v>
      </c>
      <c r="AZ21" s="121">
        <v>0</v>
      </c>
      <c r="BA21" s="117">
        <v>7</v>
      </c>
      <c r="BB21" s="117">
        <v>7</v>
      </c>
      <c r="BC21" s="117">
        <v>2</v>
      </c>
      <c r="BD21" s="117"/>
      <c r="BE21" s="117"/>
      <c r="BF21" s="119"/>
      <c r="BM21" s="115"/>
      <c r="BN21" s="115"/>
      <c r="BO21" s="53"/>
      <c r="BP21" s="53"/>
      <c r="BQ21" s="53"/>
    </row>
    <row r="22" spans="1:69" s="112" customFormat="1" ht="11.5" x14ac:dyDescent="0.25">
      <c r="A22" s="1" t="s">
        <v>0</v>
      </c>
      <c r="B22" s="112" t="s">
        <v>251</v>
      </c>
      <c r="C22" s="112" t="s">
        <v>91</v>
      </c>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v>0</v>
      </c>
      <c r="AD22" s="121">
        <v>0</v>
      </c>
      <c r="AE22" s="121">
        <v>0</v>
      </c>
      <c r="AF22" s="121">
        <v>0</v>
      </c>
      <c r="AG22" s="121">
        <v>0</v>
      </c>
      <c r="AH22" s="121">
        <v>0</v>
      </c>
      <c r="AI22" s="121">
        <v>0</v>
      </c>
      <c r="AJ22" s="121">
        <v>0</v>
      </c>
      <c r="AK22" s="121">
        <v>0</v>
      </c>
      <c r="AL22" s="121">
        <v>0</v>
      </c>
      <c r="AM22" s="121">
        <v>0</v>
      </c>
      <c r="AN22" s="121">
        <v>0</v>
      </c>
      <c r="AO22" s="121">
        <v>0</v>
      </c>
      <c r="AP22" s="121">
        <v>0</v>
      </c>
      <c r="AQ22" s="121">
        <v>0</v>
      </c>
      <c r="AR22" s="121">
        <v>0</v>
      </c>
      <c r="AS22" s="121">
        <v>0</v>
      </c>
      <c r="AT22" s="121">
        <v>0</v>
      </c>
      <c r="AU22" s="121">
        <v>0</v>
      </c>
      <c r="AV22" s="121">
        <v>0</v>
      </c>
      <c r="AW22" s="121">
        <v>0</v>
      </c>
      <c r="AX22" s="121">
        <v>0</v>
      </c>
      <c r="AY22" s="121">
        <v>0</v>
      </c>
      <c r="AZ22" s="121">
        <v>0</v>
      </c>
      <c r="BA22" s="28">
        <v>0</v>
      </c>
      <c r="BB22" s="28">
        <v>0</v>
      </c>
      <c r="BC22" s="28">
        <v>0</v>
      </c>
      <c r="BD22" s="28"/>
      <c r="BE22" s="28"/>
      <c r="BF22" s="119"/>
      <c r="BM22" s="115"/>
      <c r="BN22" s="115"/>
      <c r="BO22" s="53"/>
      <c r="BP22" s="53"/>
      <c r="BQ22" s="53"/>
    </row>
    <row r="23" spans="1:69" s="112" customFormat="1" ht="11.5" x14ac:dyDescent="0.25">
      <c r="A23" s="1" t="s">
        <v>22</v>
      </c>
      <c r="B23" s="112" t="s">
        <v>251</v>
      </c>
      <c r="C23" s="112" t="s">
        <v>91</v>
      </c>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v>1907</v>
      </c>
      <c r="AD23" s="121">
        <v>1965</v>
      </c>
      <c r="AE23" s="121">
        <v>1981</v>
      </c>
      <c r="AF23" s="121">
        <v>2057</v>
      </c>
      <c r="AG23" s="121">
        <v>1984</v>
      </c>
      <c r="AH23" s="121">
        <v>1843</v>
      </c>
      <c r="AI23" s="121">
        <v>1937</v>
      </c>
      <c r="AJ23" s="121">
        <v>2091</v>
      </c>
      <c r="AK23" s="121">
        <v>2339</v>
      </c>
      <c r="AL23" s="121">
        <v>2422</v>
      </c>
      <c r="AM23" s="121">
        <v>2520</v>
      </c>
      <c r="AN23" s="121">
        <v>2361</v>
      </c>
      <c r="AO23" s="121">
        <v>2446</v>
      </c>
      <c r="AP23" s="121">
        <v>2443.7650000000003</v>
      </c>
      <c r="AQ23" s="121">
        <v>2564.2579999999998</v>
      </c>
      <c r="AR23" s="121">
        <v>3314.0209999999997</v>
      </c>
      <c r="AS23" s="121">
        <v>2864.0070000000001</v>
      </c>
      <c r="AT23" s="121">
        <v>2820.5460000000003</v>
      </c>
      <c r="AU23" s="121">
        <v>2534.7419999999997</v>
      </c>
      <c r="AV23" s="121">
        <v>2624.7060000000001</v>
      </c>
      <c r="AW23" s="121">
        <v>2955.645</v>
      </c>
      <c r="AX23" s="121">
        <v>3022.5</v>
      </c>
      <c r="AY23" s="121">
        <v>4807</v>
      </c>
      <c r="AZ23" s="121">
        <v>5046</v>
      </c>
      <c r="BA23" s="28">
        <v>3793</v>
      </c>
      <c r="BB23" s="28">
        <v>4121.1072267139416</v>
      </c>
      <c r="BC23" s="28">
        <v>3435</v>
      </c>
      <c r="BD23" s="28"/>
      <c r="BE23" s="28"/>
      <c r="BF23" s="119"/>
      <c r="BM23" s="115"/>
      <c r="BN23" s="115"/>
      <c r="BO23" s="53"/>
      <c r="BP23" s="53"/>
      <c r="BQ23" s="53"/>
    </row>
    <row r="24" spans="1:69" s="112" customFormat="1" ht="11.5" x14ac:dyDescent="0.25">
      <c r="A24" s="1" t="s">
        <v>63</v>
      </c>
      <c r="B24" s="112" t="s">
        <v>251</v>
      </c>
      <c r="C24" s="112" t="s">
        <v>91</v>
      </c>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v>2716</v>
      </c>
      <c r="AD24" s="121">
        <v>2768</v>
      </c>
      <c r="AE24" s="121">
        <v>2588</v>
      </c>
      <c r="AF24" s="121">
        <v>2963</v>
      </c>
      <c r="AG24" s="121">
        <v>3189</v>
      </c>
      <c r="AH24" s="121">
        <v>3579</v>
      </c>
      <c r="AI24" s="121">
        <v>5119</v>
      </c>
      <c r="AJ24" s="121">
        <v>6263</v>
      </c>
      <c r="AK24" s="121">
        <v>6090</v>
      </c>
      <c r="AL24" s="121">
        <v>5019</v>
      </c>
      <c r="AM24" s="121">
        <v>5461</v>
      </c>
      <c r="AN24" s="121">
        <v>5299</v>
      </c>
      <c r="AO24" s="121">
        <v>5344</v>
      </c>
      <c r="AP24" s="121">
        <v>5331.9000000000005</v>
      </c>
      <c r="AQ24" s="121">
        <v>5768.8</v>
      </c>
      <c r="AR24" s="121">
        <v>5821</v>
      </c>
      <c r="AS24" s="121">
        <v>7233.5</v>
      </c>
      <c r="AT24" s="121">
        <v>4568.8999999999996</v>
      </c>
      <c r="AU24" s="121">
        <v>5695.7</v>
      </c>
      <c r="AV24" s="121">
        <v>2890</v>
      </c>
      <c r="AW24" s="121">
        <v>5430</v>
      </c>
      <c r="AX24" s="121">
        <v>4977</v>
      </c>
      <c r="AY24" s="121">
        <v>4234</v>
      </c>
      <c r="AZ24" s="121">
        <v>4886</v>
      </c>
      <c r="BA24" s="28">
        <v>4846</v>
      </c>
      <c r="BB24" s="28">
        <v>4798</v>
      </c>
      <c r="BC24" s="28">
        <v>3345</v>
      </c>
      <c r="BD24" s="28"/>
      <c r="BE24" s="28"/>
      <c r="BF24" s="119"/>
      <c r="BM24" s="115"/>
      <c r="BN24" s="115"/>
      <c r="BO24" s="53"/>
      <c r="BP24" s="53"/>
      <c r="BQ24" s="53"/>
    </row>
    <row r="25" spans="1:69" s="112" customFormat="1" ht="11.5" x14ac:dyDescent="0.25">
      <c r="A25" s="1" t="s">
        <v>236</v>
      </c>
      <c r="B25" s="112" t="s">
        <v>251</v>
      </c>
      <c r="C25" s="112" t="s">
        <v>91</v>
      </c>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v>35022</v>
      </c>
      <c r="AD25" s="121">
        <v>37326</v>
      </c>
      <c r="AE25" s="121">
        <v>43779</v>
      </c>
      <c r="AF25" s="121">
        <v>53156</v>
      </c>
      <c r="AG25" s="121">
        <v>59705</v>
      </c>
      <c r="AH25" s="121">
        <v>63339</v>
      </c>
      <c r="AI25" s="121">
        <v>67154</v>
      </c>
      <c r="AJ25" s="121">
        <v>71641</v>
      </c>
      <c r="AK25" s="121">
        <v>73618</v>
      </c>
      <c r="AL25" s="121">
        <v>73641</v>
      </c>
      <c r="AM25" s="121">
        <v>74239</v>
      </c>
      <c r="AN25" s="121">
        <v>70664.503000000012</v>
      </c>
      <c r="AO25" s="121">
        <v>67056.3</v>
      </c>
      <c r="AP25" s="121">
        <v>58622.395000000004</v>
      </c>
      <c r="AQ25" s="121">
        <v>57247.418000000005</v>
      </c>
      <c r="AR25" s="121">
        <v>57514.553</v>
      </c>
      <c r="AS25" s="121">
        <v>63842.235000000001</v>
      </c>
      <c r="AT25" s="121">
        <v>40885.749000000003</v>
      </c>
      <c r="AU25" s="121">
        <v>50977.326000000001</v>
      </c>
      <c r="AV25" s="121">
        <v>53289.987000000008</v>
      </c>
      <c r="AW25" s="121">
        <v>62535.074999999997</v>
      </c>
      <c r="AX25" s="121">
        <v>62115.574000000001</v>
      </c>
      <c r="AY25" s="121">
        <v>69164.229000000007</v>
      </c>
      <c r="AZ25" s="121">
        <v>81243.481999999989</v>
      </c>
      <c r="BA25" s="117">
        <v>78629.740000000005</v>
      </c>
      <c r="BB25" s="117">
        <v>83307.336764327774</v>
      </c>
      <c r="BC25" s="117">
        <v>79078.802000000011</v>
      </c>
      <c r="BD25" s="117"/>
      <c r="BE25" s="117"/>
      <c r="BF25" s="119"/>
      <c r="BM25" s="115"/>
      <c r="BN25" s="115"/>
      <c r="BO25" s="53"/>
      <c r="BP25" s="53"/>
      <c r="BQ25" s="53"/>
    </row>
    <row r="26" spans="1:69" s="112" customFormat="1" ht="11.5" x14ac:dyDescent="0.25">
      <c r="A26" s="1" t="s">
        <v>16</v>
      </c>
      <c r="B26" s="112" t="s">
        <v>251</v>
      </c>
      <c r="C26" s="112" t="s">
        <v>91</v>
      </c>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v>111</v>
      </c>
      <c r="AD26" s="121">
        <v>152</v>
      </c>
      <c r="AE26" s="121">
        <v>132</v>
      </c>
      <c r="AF26" s="121">
        <v>146</v>
      </c>
      <c r="AG26" s="121">
        <v>159</v>
      </c>
      <c r="AH26" s="121">
        <v>156</v>
      </c>
      <c r="AI26" s="121">
        <v>167</v>
      </c>
      <c r="AJ26" s="121">
        <v>198</v>
      </c>
      <c r="AK26" s="121">
        <v>158</v>
      </c>
      <c r="AL26" s="121">
        <v>165</v>
      </c>
      <c r="AM26" s="121">
        <v>186</v>
      </c>
      <c r="AN26" s="121">
        <v>177</v>
      </c>
      <c r="AO26" s="121">
        <v>191</v>
      </c>
      <c r="AP26" s="121">
        <v>162</v>
      </c>
      <c r="AQ26" s="121">
        <v>179</v>
      </c>
      <c r="AR26" s="121">
        <v>177</v>
      </c>
      <c r="AS26" s="121">
        <v>177</v>
      </c>
      <c r="AT26" s="121">
        <v>174</v>
      </c>
      <c r="AU26" s="121">
        <v>180</v>
      </c>
      <c r="AV26" s="121">
        <v>165</v>
      </c>
      <c r="AW26" s="121">
        <v>295</v>
      </c>
      <c r="AX26" s="121">
        <v>308</v>
      </c>
      <c r="AY26" s="121">
        <v>382</v>
      </c>
      <c r="AZ26" s="121">
        <v>374</v>
      </c>
      <c r="BA26" s="28">
        <v>257</v>
      </c>
      <c r="BB26" s="28">
        <v>269</v>
      </c>
      <c r="BC26" s="28">
        <v>228</v>
      </c>
      <c r="BD26" s="28"/>
      <c r="BE26" s="28"/>
      <c r="BF26" s="119"/>
      <c r="BM26" s="115"/>
      <c r="BN26" s="115"/>
      <c r="BO26" s="53"/>
      <c r="BP26" s="53"/>
      <c r="BQ26" s="53"/>
    </row>
    <row r="27" spans="1:69" s="112" customFormat="1" ht="11.5" x14ac:dyDescent="0.25">
      <c r="A27" s="1" t="s">
        <v>253</v>
      </c>
      <c r="B27" s="112" t="s">
        <v>251</v>
      </c>
      <c r="C27" s="112" t="s">
        <v>91</v>
      </c>
      <c r="D27" s="121">
        <v>12309.11</v>
      </c>
      <c r="E27" s="121">
        <v>13160.325999999999</v>
      </c>
      <c r="F27" s="121">
        <v>14936.262000000001</v>
      </c>
      <c r="G27" s="121">
        <v>16238.379000000001</v>
      </c>
      <c r="H27" s="121">
        <v>17610.136999999999</v>
      </c>
      <c r="I27" s="121">
        <v>18233.054</v>
      </c>
      <c r="J27" s="121">
        <v>20891.144</v>
      </c>
      <c r="K27" s="121">
        <v>23410.403999999999</v>
      </c>
      <c r="L27" s="121">
        <v>24458</v>
      </c>
      <c r="M27" s="121">
        <v>27246.1</v>
      </c>
      <c r="N27" s="121">
        <v>32226.1</v>
      </c>
      <c r="O27" s="121">
        <v>34910.199999999997</v>
      </c>
      <c r="P27" s="121">
        <v>37313.199999999997</v>
      </c>
      <c r="Q27" s="121">
        <v>38119.300000000003</v>
      </c>
      <c r="R27" s="121">
        <v>40641</v>
      </c>
      <c r="S27" s="121">
        <v>41937.1</v>
      </c>
      <c r="T27" s="121">
        <v>37326.800000000003</v>
      </c>
      <c r="U27" s="121">
        <v>41102</v>
      </c>
      <c r="V27" s="121">
        <v>40423.5</v>
      </c>
      <c r="W27" s="121">
        <v>39824.199999999997</v>
      </c>
      <c r="X27" s="121">
        <v>40700</v>
      </c>
      <c r="Y27" s="121">
        <v>40600</v>
      </c>
      <c r="Z27" s="121">
        <v>42338</v>
      </c>
      <c r="AA27" s="121">
        <v>42600</v>
      </c>
      <c r="AB27" s="121">
        <v>44321</v>
      </c>
      <c r="AC27" s="121">
        <v>483</v>
      </c>
      <c r="AD27" s="121">
        <v>505</v>
      </c>
      <c r="AE27" s="121">
        <v>595</v>
      </c>
      <c r="AF27" s="121">
        <v>685</v>
      </c>
      <c r="AG27" s="121">
        <v>699.83199999999488</v>
      </c>
      <c r="AH27" s="121">
        <v>719.53131168831897</v>
      </c>
      <c r="AI27" s="121">
        <v>682.30599999999686</v>
      </c>
      <c r="AJ27" s="121">
        <v>622.0679999999993</v>
      </c>
      <c r="AK27" s="121">
        <v>566.54797994955152</v>
      </c>
      <c r="AL27" s="121">
        <v>704.00359482601925</v>
      </c>
      <c r="AM27" s="121">
        <v>705.80803263207781</v>
      </c>
      <c r="AN27" s="121">
        <v>687.64879456232302</v>
      </c>
      <c r="AO27" s="121">
        <v>724.81407216301886</v>
      </c>
      <c r="AP27" s="121">
        <v>642.89700000001176</v>
      </c>
      <c r="AQ27" s="121">
        <v>708.86299999999756</v>
      </c>
      <c r="AR27" s="121">
        <v>691.48099999999977</v>
      </c>
      <c r="AS27" s="121">
        <v>936.828885721392</v>
      </c>
      <c r="AT27" s="121">
        <v>804.62100000000646</v>
      </c>
      <c r="AU27" s="121">
        <v>826.56000000000495</v>
      </c>
      <c r="AV27" s="121">
        <v>939.72641000000294</v>
      </c>
      <c r="AW27" s="121">
        <v>921.78128336998634</v>
      </c>
      <c r="AX27" s="121">
        <v>984.0058299999946</v>
      </c>
      <c r="AY27" s="121">
        <v>5780.7229999999981</v>
      </c>
      <c r="AZ27" s="121">
        <v>2596.3497820027405</v>
      </c>
      <c r="BA27" s="121">
        <v>2295</v>
      </c>
      <c r="BB27" s="121">
        <v>2032</v>
      </c>
      <c r="BC27" s="121">
        <v>2157</v>
      </c>
      <c r="BD27" s="121"/>
      <c r="BE27" s="121"/>
      <c r="BF27" s="119"/>
      <c r="BM27" s="115"/>
      <c r="BN27" s="115"/>
      <c r="BO27" s="53"/>
      <c r="BP27" s="53"/>
      <c r="BQ27" s="53"/>
    </row>
    <row r="28" spans="1:69" s="112" customFormat="1" ht="11.5" x14ac:dyDescent="0.25">
      <c r="A28" s="1" t="s">
        <v>21</v>
      </c>
      <c r="B28" s="112" t="s">
        <v>251</v>
      </c>
      <c r="C28" s="112" t="s">
        <v>91</v>
      </c>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f>AB27-AB25</f>
        <v>44321</v>
      </c>
      <c r="AC28" s="121"/>
      <c r="AD28" s="121"/>
      <c r="AE28" s="121"/>
      <c r="AF28" s="121"/>
      <c r="AG28" s="121"/>
      <c r="AH28" s="121"/>
      <c r="AI28" s="121"/>
      <c r="AJ28" s="121"/>
      <c r="AK28" s="121"/>
      <c r="AL28" s="121">
        <v>1481</v>
      </c>
      <c r="AM28" s="121"/>
      <c r="AN28" s="121"/>
      <c r="AO28" s="121"/>
      <c r="AP28" s="121"/>
      <c r="AQ28" s="121"/>
      <c r="AR28" s="121"/>
      <c r="AS28" s="121"/>
      <c r="AT28" s="121"/>
      <c r="AU28" s="121"/>
      <c r="AV28" s="121"/>
      <c r="AW28" s="121"/>
      <c r="AX28" s="121"/>
      <c r="AY28" s="121"/>
      <c r="AZ28" s="121"/>
      <c r="BA28" s="121"/>
      <c r="BB28" s="121"/>
      <c r="BC28" s="121"/>
      <c r="BD28" s="121"/>
      <c r="BE28" s="121"/>
      <c r="BF28" s="119"/>
      <c r="BM28" s="115"/>
      <c r="BN28" s="115"/>
      <c r="BO28" s="53"/>
      <c r="BP28" s="53"/>
      <c r="BQ28" s="53"/>
    </row>
    <row r="29" spans="1:69" s="112" customFormat="1" ht="11.5" x14ac:dyDescent="0.25">
      <c r="A29" s="112" t="s">
        <v>252</v>
      </c>
      <c r="B29" s="112" t="s">
        <v>525</v>
      </c>
      <c r="C29" s="112" t="s">
        <v>91</v>
      </c>
      <c r="D29" s="30">
        <v>6729.7079999999996</v>
      </c>
      <c r="E29" s="30">
        <v>7619.3320000000003</v>
      </c>
      <c r="F29" s="30">
        <v>8514.1149999999998</v>
      </c>
      <c r="G29" s="30">
        <v>9606.7579999999998</v>
      </c>
      <c r="H29" s="30">
        <v>10535.004999999999</v>
      </c>
      <c r="I29" s="30">
        <v>11597.378000000001</v>
      </c>
      <c r="J29" s="30">
        <v>12212.78</v>
      </c>
      <c r="K29" s="30">
        <v>13022.184999999999</v>
      </c>
      <c r="L29" s="30">
        <v>14253.5</v>
      </c>
      <c r="M29" s="30">
        <v>14978.8</v>
      </c>
      <c r="N29" s="30">
        <v>16133.4</v>
      </c>
      <c r="O29" s="30">
        <v>16502.2</v>
      </c>
      <c r="P29" s="33">
        <v>17940.5</v>
      </c>
      <c r="Q29" s="33">
        <v>18650.099999999999</v>
      </c>
      <c r="R29" s="33">
        <v>20765.5</v>
      </c>
      <c r="S29" s="33">
        <v>21622.400000000001</v>
      </c>
      <c r="T29" s="33">
        <v>23968.400000000001</v>
      </c>
      <c r="U29" s="33">
        <v>24490.6</v>
      </c>
      <c r="V29" s="33">
        <v>26890.5</v>
      </c>
      <c r="W29" s="33">
        <v>27411.200000000001</v>
      </c>
      <c r="X29" s="33">
        <v>28055.800155167701</v>
      </c>
      <c r="Y29" s="33">
        <v>28578.907858712766</v>
      </c>
      <c r="Z29" s="33">
        <v>29386</v>
      </c>
      <c r="AA29" s="33">
        <v>30983</v>
      </c>
      <c r="AB29" s="33">
        <v>33425</v>
      </c>
      <c r="AC29" s="33">
        <v>38425</v>
      </c>
      <c r="AD29" s="33">
        <v>43826</v>
      </c>
      <c r="AE29" s="33">
        <v>48255</v>
      </c>
      <c r="AF29" s="33">
        <v>52789.518684856535</v>
      </c>
      <c r="AG29" s="33">
        <v>55325.77216502517</v>
      </c>
      <c r="AH29" s="33">
        <v>56530.477462479248</v>
      </c>
      <c r="AI29" s="33">
        <v>55645.525039524633</v>
      </c>
      <c r="AJ29" s="33">
        <v>56764.102029217967</v>
      </c>
      <c r="AK29" s="33">
        <v>56843.764020053459</v>
      </c>
      <c r="AL29" s="33">
        <v>58351.914747141665</v>
      </c>
      <c r="AM29" s="33">
        <v>61113.035137393163</v>
      </c>
      <c r="AN29" s="33">
        <v>62226.306169202253</v>
      </c>
      <c r="AO29" s="33">
        <v>65132.187927836989</v>
      </c>
      <c r="AP29" s="33">
        <v>63169.591130290581</v>
      </c>
      <c r="AQ29" s="33">
        <v>66875.637227530737</v>
      </c>
      <c r="AR29" s="33">
        <v>68009.64233230456</v>
      </c>
      <c r="AS29" s="33">
        <v>72317.538232721388</v>
      </c>
      <c r="AT29" s="33">
        <v>74702.177931385144</v>
      </c>
      <c r="AU29" s="33">
        <v>79633.084899000009</v>
      </c>
      <c r="AV29" s="33">
        <v>85044.224908999982</v>
      </c>
      <c r="AW29" s="33">
        <v>91069.755061539996</v>
      </c>
      <c r="AX29" s="33">
        <v>87281.871169999999</v>
      </c>
      <c r="AY29" s="33">
        <v>93230.828000000009</v>
      </c>
      <c r="AZ29" s="33">
        <v>97134.8300007949</v>
      </c>
      <c r="BA29" s="33">
        <v>98504.198999999993</v>
      </c>
      <c r="BB29" s="33">
        <v>96073.488702105329</v>
      </c>
      <c r="BC29" s="33">
        <v>62466.720000000001</v>
      </c>
      <c r="BD29" s="33"/>
      <c r="BE29" s="33"/>
      <c r="BF29" s="31"/>
      <c r="BG29" s="114"/>
      <c r="BJ29" s="122"/>
    </row>
    <row r="30" spans="1:69" s="112" customFormat="1" ht="11.5" x14ac:dyDescent="0.25">
      <c r="A30" s="1" t="s">
        <v>102</v>
      </c>
      <c r="B30" s="112" t="s">
        <v>525</v>
      </c>
      <c r="C30" s="112" t="s">
        <v>91</v>
      </c>
      <c r="D30" s="30">
        <v>1604.2170000000001</v>
      </c>
      <c r="E30" s="30">
        <v>1767.692</v>
      </c>
      <c r="F30" s="30">
        <v>1968.6579999999999</v>
      </c>
      <c r="G30" s="30">
        <v>2232.596</v>
      </c>
      <c r="H30" s="30">
        <v>2530.1109999999999</v>
      </c>
      <c r="I30" s="30">
        <v>2787.47</v>
      </c>
      <c r="J30" s="30">
        <v>2948.3090000000002</v>
      </c>
      <c r="K30" s="30">
        <v>3124.4520000000002</v>
      </c>
      <c r="L30" s="30">
        <v>3478.2049999999999</v>
      </c>
      <c r="M30" s="30">
        <v>3910.4169999999999</v>
      </c>
      <c r="N30" s="30">
        <v>4428.1000000000004</v>
      </c>
      <c r="O30" s="30">
        <v>4587.6000000000004</v>
      </c>
      <c r="P30" s="123">
        <v>5314.7</v>
      </c>
      <c r="Q30" s="123">
        <v>5680.7</v>
      </c>
      <c r="R30" s="123">
        <v>6061.8</v>
      </c>
      <c r="S30" s="123">
        <v>6335.8</v>
      </c>
      <c r="T30" s="123">
        <v>6783</v>
      </c>
      <c r="U30" s="123">
        <v>7398.7</v>
      </c>
      <c r="V30" s="123">
        <v>8638.5</v>
      </c>
      <c r="W30" s="123">
        <v>9079.7000000000007</v>
      </c>
      <c r="X30" s="123">
        <v>9325.8590000000004</v>
      </c>
      <c r="Y30" s="123">
        <v>9833.0550000000003</v>
      </c>
      <c r="Z30" s="123">
        <v>10520.894</v>
      </c>
      <c r="AA30" s="123">
        <v>11289</v>
      </c>
      <c r="AB30" s="123">
        <v>12877</v>
      </c>
      <c r="AC30" s="123">
        <v>16993</v>
      </c>
      <c r="AD30" s="123">
        <v>19561</v>
      </c>
      <c r="AE30" s="123">
        <v>22299</v>
      </c>
      <c r="AF30" s="123">
        <v>25256.491000000002</v>
      </c>
      <c r="AG30" s="123">
        <v>27030.519</v>
      </c>
      <c r="AH30" s="123">
        <v>27577.884000000002</v>
      </c>
      <c r="AI30" s="123">
        <v>27623.891696361432</v>
      </c>
      <c r="AJ30" s="123">
        <v>28246.917757585397</v>
      </c>
      <c r="AK30" s="123">
        <v>28405.009000000002</v>
      </c>
      <c r="AL30" s="123">
        <v>29618.911</v>
      </c>
      <c r="AM30" s="123">
        <v>30320.904999999999</v>
      </c>
      <c r="AN30" s="123">
        <v>29773</v>
      </c>
      <c r="AO30" s="123">
        <v>29876.843000000001</v>
      </c>
      <c r="AP30" s="123">
        <v>28215.255818999998</v>
      </c>
      <c r="AQ30" s="123">
        <v>29114.581000000002</v>
      </c>
      <c r="AR30" s="123">
        <v>28613.135186</v>
      </c>
      <c r="AS30" s="123">
        <v>30514.600556999998</v>
      </c>
      <c r="AT30" s="33">
        <v>32419</v>
      </c>
      <c r="AU30" s="123">
        <v>35231.670899000004</v>
      </c>
      <c r="AV30" s="123">
        <v>36876.715198999991</v>
      </c>
      <c r="AW30" s="33">
        <v>42664</v>
      </c>
      <c r="AX30" s="33">
        <v>40546</v>
      </c>
      <c r="AY30" s="33">
        <v>43438</v>
      </c>
      <c r="AZ30" s="33">
        <v>45922</v>
      </c>
      <c r="BA30" s="33">
        <v>47577</v>
      </c>
      <c r="BB30" s="33">
        <v>48325</v>
      </c>
      <c r="BC30" s="33">
        <v>30795</v>
      </c>
      <c r="BD30" s="33"/>
      <c r="BE30" s="33"/>
      <c r="BF30" s="123"/>
      <c r="BG30" s="114"/>
    </row>
    <row r="31" spans="1:69" s="112" customFormat="1" ht="11.5" x14ac:dyDescent="0.25">
      <c r="A31" s="1" t="s">
        <v>0</v>
      </c>
      <c r="B31" s="112" t="s">
        <v>525</v>
      </c>
      <c r="C31" s="112" t="s">
        <v>91</v>
      </c>
      <c r="D31" s="30">
        <v>570.01499999999999</v>
      </c>
      <c r="E31" s="30">
        <v>595.77599999999995</v>
      </c>
      <c r="F31" s="30">
        <v>688.3</v>
      </c>
      <c r="G31" s="30">
        <v>743.50199999999995</v>
      </c>
      <c r="H31" s="30">
        <v>800.02499999999998</v>
      </c>
      <c r="I31" s="30">
        <v>873.68700000000001</v>
      </c>
      <c r="J31" s="30">
        <v>955.46400000000006</v>
      </c>
      <c r="K31" s="30">
        <v>973.16499999999996</v>
      </c>
      <c r="L31" s="30">
        <v>1061.99</v>
      </c>
      <c r="M31" s="30">
        <v>1202.82</v>
      </c>
      <c r="N31" s="30">
        <v>1345.6</v>
      </c>
      <c r="O31" s="30">
        <v>1353.3</v>
      </c>
      <c r="P31" s="33">
        <v>1470.5</v>
      </c>
      <c r="Q31" s="33">
        <v>1532.8</v>
      </c>
      <c r="R31" s="33">
        <v>1670.4</v>
      </c>
      <c r="S31" s="33">
        <v>1689.5</v>
      </c>
      <c r="T31" s="33">
        <v>1785.2</v>
      </c>
      <c r="U31" s="33">
        <v>1868.4</v>
      </c>
      <c r="V31" s="33">
        <v>1881.9</v>
      </c>
      <c r="W31" s="33">
        <v>2040.4</v>
      </c>
      <c r="X31" s="33">
        <v>2108.1136051677013</v>
      </c>
      <c r="Y31" s="33">
        <v>2175.1074578507928</v>
      </c>
      <c r="Z31" s="33">
        <v>2247.8475803002311</v>
      </c>
      <c r="AA31" s="33">
        <v>2286</v>
      </c>
      <c r="AB31" s="33">
        <v>2465</v>
      </c>
      <c r="AC31" s="33">
        <v>2724</v>
      </c>
      <c r="AD31" s="33">
        <v>3032</v>
      </c>
      <c r="AE31" s="33">
        <v>3261</v>
      </c>
      <c r="AF31" s="33">
        <v>3619.9221848565217</v>
      </c>
      <c r="AG31" s="33">
        <v>3779.9891650251925</v>
      </c>
      <c r="AH31" s="33">
        <v>3738.3696541675563</v>
      </c>
      <c r="AI31" s="33">
        <v>3776.9363431631982</v>
      </c>
      <c r="AJ31" s="33">
        <v>3978.0032716325691</v>
      </c>
      <c r="AK31" s="33">
        <v>4135.2299999999996</v>
      </c>
      <c r="AL31" s="33">
        <v>4317.3190000000004</v>
      </c>
      <c r="AM31" s="33">
        <v>4933.0004409179874</v>
      </c>
      <c r="AN31" s="33">
        <v>5097.8732149994967</v>
      </c>
      <c r="AO31" s="33">
        <v>5169.78</v>
      </c>
      <c r="AP31" s="33">
        <v>4956.16</v>
      </c>
      <c r="AQ31" s="33">
        <v>5403.31</v>
      </c>
      <c r="AR31" s="33">
        <v>5669.7300000000005</v>
      </c>
      <c r="AS31" s="33">
        <v>5589.43</v>
      </c>
      <c r="AT31" s="33">
        <v>5517.619999999999</v>
      </c>
      <c r="AU31" s="33">
        <v>5849.45</v>
      </c>
      <c r="AV31" s="33">
        <v>5996.13</v>
      </c>
      <c r="AW31" s="33">
        <v>6294.35</v>
      </c>
      <c r="AX31" s="33">
        <v>6942</v>
      </c>
      <c r="AY31" s="33">
        <v>6532</v>
      </c>
      <c r="AZ31" s="33">
        <v>7420</v>
      </c>
      <c r="BA31" s="33">
        <v>6773</v>
      </c>
      <c r="BB31" s="33">
        <v>6777</v>
      </c>
      <c r="BC31" s="33">
        <v>2776</v>
      </c>
      <c r="BD31" s="33"/>
      <c r="BE31" s="33"/>
      <c r="BF31" s="33"/>
      <c r="BG31" s="114"/>
    </row>
    <row r="32" spans="1:69" s="112" customFormat="1" ht="11.5" x14ac:dyDescent="0.25">
      <c r="A32" s="1" t="s">
        <v>22</v>
      </c>
      <c r="B32" s="112" t="s">
        <v>525</v>
      </c>
      <c r="C32" s="112" t="s">
        <v>91</v>
      </c>
      <c r="D32" s="30">
        <v>593.43100000000004</v>
      </c>
      <c r="E32" s="30">
        <v>746.49900000000002</v>
      </c>
      <c r="F32" s="30">
        <v>891.26599999999996</v>
      </c>
      <c r="G32" s="30">
        <v>1102.2429999999999</v>
      </c>
      <c r="H32" s="30">
        <v>1131.846</v>
      </c>
      <c r="I32" s="30">
        <v>1277.326</v>
      </c>
      <c r="J32" s="30">
        <v>1413.605</v>
      </c>
      <c r="K32" s="30">
        <v>1696.088</v>
      </c>
      <c r="L32" s="30">
        <v>1961.127</v>
      </c>
      <c r="M32" s="30">
        <v>2024.8889999999999</v>
      </c>
      <c r="N32" s="30">
        <v>2141</v>
      </c>
      <c r="O32" s="30">
        <v>2040.3</v>
      </c>
      <c r="P32" s="33">
        <v>2097.9</v>
      </c>
      <c r="Q32" s="33">
        <v>2235.4</v>
      </c>
      <c r="R32" s="33">
        <v>2431.6999999999998</v>
      </c>
      <c r="S32" s="33">
        <v>2570.5</v>
      </c>
      <c r="T32" s="33">
        <v>3273.6</v>
      </c>
      <c r="U32" s="33">
        <v>3412.5</v>
      </c>
      <c r="V32" s="33">
        <v>3440.2</v>
      </c>
      <c r="W32" s="33">
        <v>3282.5</v>
      </c>
      <c r="X32" s="33">
        <v>3408.7055499999997</v>
      </c>
      <c r="Y32" s="33">
        <v>3498.9905493304514</v>
      </c>
      <c r="Z32" s="33">
        <v>3663.0339999999992</v>
      </c>
      <c r="AA32" s="33">
        <v>3828</v>
      </c>
      <c r="AB32" s="33">
        <v>4024</v>
      </c>
      <c r="AC32" s="33">
        <v>4149</v>
      </c>
      <c r="AD32" s="33">
        <v>4697</v>
      </c>
      <c r="AE32" s="33">
        <v>5026</v>
      </c>
      <c r="AF32" s="33">
        <v>5241.3704999999991</v>
      </c>
      <c r="AG32" s="33">
        <v>5480.8410000000003</v>
      </c>
      <c r="AH32" s="33">
        <v>5757.7950000000001</v>
      </c>
      <c r="AI32" s="33">
        <v>5620.0969999999998</v>
      </c>
      <c r="AJ32" s="33">
        <v>6147.9009999999998</v>
      </c>
      <c r="AK32" s="33">
        <v>6641</v>
      </c>
      <c r="AL32" s="33">
        <v>6805</v>
      </c>
      <c r="AM32" s="33">
        <v>7378</v>
      </c>
      <c r="AN32" s="33">
        <v>7554</v>
      </c>
      <c r="AO32" s="33">
        <v>7496</v>
      </c>
      <c r="AP32" s="33">
        <v>7704.8150000000005</v>
      </c>
      <c r="AQ32" s="33">
        <v>8639.1649999999991</v>
      </c>
      <c r="AR32" s="33">
        <v>10077.108</v>
      </c>
      <c r="AS32" s="33">
        <v>10986.138999999999</v>
      </c>
      <c r="AT32" s="33">
        <v>11240.648000000001</v>
      </c>
      <c r="AU32" s="33">
        <v>12974.218000000001</v>
      </c>
      <c r="AV32" s="33">
        <v>13397.382000000001</v>
      </c>
      <c r="AW32" s="33">
        <v>13805.615</v>
      </c>
      <c r="AX32" s="33">
        <v>11886.5</v>
      </c>
      <c r="AY32" s="33">
        <v>12945</v>
      </c>
      <c r="AZ32" s="33">
        <v>13290</v>
      </c>
      <c r="BA32" s="33">
        <v>14137</v>
      </c>
      <c r="BB32" s="33">
        <v>12794.298770263049</v>
      </c>
      <c r="BC32" s="33">
        <v>7987</v>
      </c>
      <c r="BD32" s="33"/>
      <c r="BE32" s="33"/>
      <c r="BF32" s="33"/>
      <c r="BG32" s="114"/>
    </row>
    <row r="33" spans="1:69" s="112" customFormat="1" ht="11.5" x14ac:dyDescent="0.25">
      <c r="A33" s="1" t="s">
        <v>63</v>
      </c>
      <c r="B33" s="112" t="s">
        <v>525</v>
      </c>
      <c r="C33" s="112" t="s">
        <v>91</v>
      </c>
      <c r="D33" s="30">
        <v>935.13900000000001</v>
      </c>
      <c r="E33" s="30">
        <v>1222.8409999999999</v>
      </c>
      <c r="F33" s="30">
        <v>1206.076</v>
      </c>
      <c r="G33" s="30">
        <v>1345.1669999999999</v>
      </c>
      <c r="H33" s="30">
        <v>1451.2360000000001</v>
      </c>
      <c r="I33" s="30">
        <v>1609.644</v>
      </c>
      <c r="J33" s="30">
        <v>1407.1579999999999</v>
      </c>
      <c r="K33" s="30">
        <v>1407.14</v>
      </c>
      <c r="L33" s="30">
        <v>1544.82</v>
      </c>
      <c r="M33" s="30">
        <v>1709.2</v>
      </c>
      <c r="N33" s="30">
        <v>1783.6</v>
      </c>
      <c r="O33" s="30">
        <v>2069</v>
      </c>
      <c r="P33" s="33">
        <v>2269.1999999999998</v>
      </c>
      <c r="Q33" s="33">
        <v>2331.6</v>
      </c>
      <c r="R33" s="33">
        <v>2878.8</v>
      </c>
      <c r="S33" s="33">
        <v>3060.7</v>
      </c>
      <c r="T33" s="33">
        <v>3371.2</v>
      </c>
      <c r="U33" s="33">
        <v>3229.3</v>
      </c>
      <c r="V33" s="33">
        <v>3548.7</v>
      </c>
      <c r="W33" s="33">
        <v>3840.6</v>
      </c>
      <c r="X33" s="33">
        <v>3890.808</v>
      </c>
      <c r="Y33" s="33">
        <v>4180.1669999999995</v>
      </c>
      <c r="Z33" s="33">
        <v>4064.3650000000007</v>
      </c>
      <c r="AA33" s="33">
        <v>4405</v>
      </c>
      <c r="AB33" s="33">
        <v>4286</v>
      </c>
      <c r="AC33" s="33">
        <v>3690</v>
      </c>
      <c r="AD33" s="33">
        <v>4294</v>
      </c>
      <c r="AE33" s="33">
        <v>4680</v>
      </c>
      <c r="AF33" s="33">
        <v>5395.0839999999998</v>
      </c>
      <c r="AG33" s="33">
        <v>5479.44</v>
      </c>
      <c r="AH33" s="33">
        <v>4673.0781200000001</v>
      </c>
      <c r="AI33" s="33">
        <v>3979</v>
      </c>
      <c r="AJ33" s="33">
        <v>3354.2889999999998</v>
      </c>
      <c r="AK33" s="33">
        <v>2744.018</v>
      </c>
      <c r="AL33" s="33">
        <v>1600</v>
      </c>
      <c r="AM33" s="33">
        <v>1488</v>
      </c>
      <c r="AN33" s="33">
        <v>3540</v>
      </c>
      <c r="AO33" s="33">
        <v>5831</v>
      </c>
      <c r="AP33" s="33">
        <v>5666.9</v>
      </c>
      <c r="AQ33" s="33">
        <v>5761.7000000000007</v>
      </c>
      <c r="AR33" s="33">
        <v>5540</v>
      </c>
      <c r="AS33" s="33">
        <v>6017.5999999999995</v>
      </c>
      <c r="AT33" s="33">
        <v>6082.6</v>
      </c>
      <c r="AU33" s="33">
        <v>5292.5</v>
      </c>
      <c r="AV33" s="33">
        <v>7691</v>
      </c>
      <c r="AW33" s="33">
        <v>9323</v>
      </c>
      <c r="AX33" s="33">
        <v>7157</v>
      </c>
      <c r="AY33" s="33">
        <v>8145</v>
      </c>
      <c r="AZ33" s="33">
        <v>8111</v>
      </c>
      <c r="BA33" s="33">
        <v>6067</v>
      </c>
      <c r="BB33" s="33">
        <v>6139</v>
      </c>
      <c r="BC33" s="33">
        <v>3841</v>
      </c>
      <c r="BD33" s="33"/>
      <c r="BE33" s="33"/>
      <c r="BF33" s="33"/>
      <c r="BG33" s="114"/>
    </row>
    <row r="34" spans="1:69" s="112" customFormat="1" ht="11.5" x14ac:dyDescent="0.25">
      <c r="A34" s="1" t="s">
        <v>236</v>
      </c>
      <c r="B34" s="112" t="s">
        <v>525</v>
      </c>
      <c r="C34" s="112" t="s">
        <v>91</v>
      </c>
      <c r="D34" s="30">
        <v>1431.0070000000001</v>
      </c>
      <c r="E34" s="30">
        <v>1527.481</v>
      </c>
      <c r="F34" s="30">
        <v>1715.845</v>
      </c>
      <c r="G34" s="30">
        <v>1824.058</v>
      </c>
      <c r="H34" s="30">
        <v>2014.098</v>
      </c>
      <c r="I34" s="30">
        <v>2261.7689999999998</v>
      </c>
      <c r="J34" s="30">
        <v>2600.9</v>
      </c>
      <c r="K34" s="30">
        <v>2952.8209999999999</v>
      </c>
      <c r="L34" s="30">
        <v>3222.6489999999999</v>
      </c>
      <c r="M34" s="30">
        <v>3048.5309999999999</v>
      </c>
      <c r="N34" s="30">
        <v>3168.3</v>
      </c>
      <c r="O34" s="30">
        <v>3227.3</v>
      </c>
      <c r="P34" s="123">
        <v>3347.6</v>
      </c>
      <c r="Q34" s="123">
        <v>3239.1</v>
      </c>
      <c r="R34" s="123">
        <v>3656.1</v>
      </c>
      <c r="S34" s="123">
        <v>3529.2</v>
      </c>
      <c r="T34" s="123">
        <v>3717.9</v>
      </c>
      <c r="U34" s="123">
        <v>4073.4</v>
      </c>
      <c r="V34" s="123">
        <v>4783.5</v>
      </c>
      <c r="W34" s="123">
        <v>4240.6000000000004</v>
      </c>
      <c r="X34" s="123">
        <v>4109</v>
      </c>
      <c r="Y34" s="123">
        <v>3935.08</v>
      </c>
      <c r="Z34" s="123">
        <v>3853</v>
      </c>
      <c r="AA34" s="123">
        <v>3922</v>
      </c>
      <c r="AB34" s="123">
        <v>4159</v>
      </c>
      <c r="AC34" s="123">
        <v>4840</v>
      </c>
      <c r="AD34" s="123">
        <v>5393</v>
      </c>
      <c r="AE34" s="123">
        <v>5879</v>
      </c>
      <c r="AF34" s="123">
        <v>6094.9070000000002</v>
      </c>
      <c r="AG34" s="123">
        <v>6191.79</v>
      </c>
      <c r="AH34" s="123">
        <v>6795.1139999999996</v>
      </c>
      <c r="AI34" s="123">
        <v>6971.5709999999999</v>
      </c>
      <c r="AJ34" s="123">
        <v>7307.4079999999994</v>
      </c>
      <c r="AK34" s="123">
        <v>7338.9690000000001</v>
      </c>
      <c r="AL34" s="123">
        <v>7614.4026401256424</v>
      </c>
      <c r="AM34" s="123">
        <v>8593.7170000000006</v>
      </c>
      <c r="AN34" s="123">
        <v>7803.9329999999991</v>
      </c>
      <c r="AO34" s="123">
        <v>8423.5589999999993</v>
      </c>
      <c r="AP34" s="123">
        <v>7828.0980000000009</v>
      </c>
      <c r="AQ34" s="123">
        <v>9021.9220000000005</v>
      </c>
      <c r="AR34" s="123">
        <v>9109.0319999999992</v>
      </c>
      <c r="AS34" s="123">
        <v>9962.0020000000004</v>
      </c>
      <c r="AT34" s="33">
        <v>10021.188</v>
      </c>
      <c r="AU34" s="123">
        <v>10751.094999999999</v>
      </c>
      <c r="AV34" s="123">
        <v>11372.708000000001</v>
      </c>
      <c r="AW34" s="33">
        <v>9716.3490000000002</v>
      </c>
      <c r="AX34" s="33">
        <v>9979.1790000000001</v>
      </c>
      <c r="AY34" s="33">
        <v>13246.933000000001</v>
      </c>
      <c r="AZ34" s="33">
        <v>15094.51</v>
      </c>
      <c r="BA34" s="33">
        <v>14185.898999999999</v>
      </c>
      <c r="BB34" s="33">
        <v>12392.889931842292</v>
      </c>
      <c r="BC34" s="33">
        <v>9520.42</v>
      </c>
      <c r="BD34" s="33"/>
      <c r="BE34" s="33"/>
      <c r="BF34" s="123"/>
      <c r="BG34" s="114"/>
    </row>
    <row r="35" spans="1:69" s="112" customFormat="1" ht="11.5" x14ac:dyDescent="0.25">
      <c r="A35" s="1" t="s">
        <v>16</v>
      </c>
      <c r="B35" s="112" t="s">
        <v>525</v>
      </c>
      <c r="C35" s="112" t="s">
        <v>91</v>
      </c>
      <c r="D35" s="30">
        <v>401.94400000000002</v>
      </c>
      <c r="E35" s="30">
        <v>442.22399999999999</v>
      </c>
      <c r="F35" s="30">
        <v>524.02</v>
      </c>
      <c r="G35" s="30">
        <v>594.48400000000004</v>
      </c>
      <c r="H35" s="30">
        <v>631.91999999999996</v>
      </c>
      <c r="I35" s="30">
        <v>657.43499999999995</v>
      </c>
      <c r="J35" s="30">
        <v>740.98400000000004</v>
      </c>
      <c r="K35" s="30">
        <v>766.46299999999997</v>
      </c>
      <c r="L35" s="30">
        <v>817.55799999999999</v>
      </c>
      <c r="M35" s="30">
        <v>834.88699999999994</v>
      </c>
      <c r="N35" s="30">
        <v>910.9</v>
      </c>
      <c r="O35" s="30">
        <v>896.4</v>
      </c>
      <c r="P35" s="33">
        <v>918.9</v>
      </c>
      <c r="Q35" s="33">
        <v>985.2</v>
      </c>
      <c r="R35" s="33">
        <v>1002.2</v>
      </c>
      <c r="S35" s="33">
        <v>1061.3</v>
      </c>
      <c r="T35" s="33">
        <v>1175.5</v>
      </c>
      <c r="U35" s="33">
        <v>1261</v>
      </c>
      <c r="V35" s="33">
        <v>1251.7</v>
      </c>
      <c r="W35" s="33">
        <v>1322.5</v>
      </c>
      <c r="X35" s="33">
        <v>1320</v>
      </c>
      <c r="Y35" s="33">
        <v>1281.366</v>
      </c>
      <c r="Z35" s="33">
        <v>1285.0909999999999</v>
      </c>
      <c r="AA35" s="33">
        <v>1335</v>
      </c>
      <c r="AB35" s="33">
        <v>1377</v>
      </c>
      <c r="AC35" s="33">
        <v>1518</v>
      </c>
      <c r="AD35" s="33">
        <v>1845</v>
      </c>
      <c r="AE35" s="33">
        <v>1672</v>
      </c>
      <c r="AF35" s="33">
        <v>1847.837</v>
      </c>
      <c r="AG35" s="33">
        <v>1884.6580000000001</v>
      </c>
      <c r="AH35" s="33">
        <v>1970.3809999999999</v>
      </c>
      <c r="AI35" s="33">
        <v>2002.373</v>
      </c>
      <c r="AJ35" s="33">
        <v>1963</v>
      </c>
      <c r="AK35" s="33">
        <v>2021</v>
      </c>
      <c r="AL35" s="33">
        <v>2121</v>
      </c>
      <c r="AM35" s="33">
        <v>2235</v>
      </c>
      <c r="AN35" s="33">
        <v>2107</v>
      </c>
      <c r="AO35" s="33">
        <v>2051</v>
      </c>
      <c r="AP35" s="33">
        <v>1876</v>
      </c>
      <c r="AQ35" s="33">
        <v>2082</v>
      </c>
      <c r="AR35" s="33">
        <v>2107.373</v>
      </c>
      <c r="AS35" s="33">
        <v>2150.373</v>
      </c>
      <c r="AT35" s="33">
        <v>2188.7570000000001</v>
      </c>
      <c r="AU35" s="33">
        <v>2156.7570000000001</v>
      </c>
      <c r="AV35" s="33">
        <v>2337.7570000000001</v>
      </c>
      <c r="AW35" s="33">
        <v>2345.7570000000001</v>
      </c>
      <c r="AX35" s="33">
        <v>3546</v>
      </c>
      <c r="AY35" s="33">
        <v>3067</v>
      </c>
      <c r="AZ35" s="33">
        <v>2923</v>
      </c>
      <c r="BA35" s="33">
        <v>2787</v>
      </c>
      <c r="BB35" s="33">
        <v>2814</v>
      </c>
      <c r="BC35" s="33">
        <v>2089</v>
      </c>
      <c r="BD35" s="33"/>
      <c r="BE35" s="33"/>
      <c r="BF35" s="33"/>
      <c r="BG35" s="114"/>
    </row>
    <row r="36" spans="1:69" s="112" customFormat="1" ht="11.5" x14ac:dyDescent="0.25">
      <c r="A36" s="1" t="s">
        <v>253</v>
      </c>
      <c r="B36" s="112" t="s">
        <v>525</v>
      </c>
      <c r="C36" s="112" t="s">
        <v>91</v>
      </c>
      <c r="D36" s="30">
        <f t="shared" ref="D36:AJ36" si="0">D29-SUM(D30:D35)</f>
        <v>1193.954999999999</v>
      </c>
      <c r="E36" s="30">
        <f t="shared" si="0"/>
        <v>1316.8190000000013</v>
      </c>
      <c r="F36" s="30">
        <f t="shared" si="0"/>
        <v>1519.9500000000007</v>
      </c>
      <c r="G36" s="30">
        <f t="shared" si="0"/>
        <v>1764.7079999999996</v>
      </c>
      <c r="H36" s="30">
        <f t="shared" si="0"/>
        <v>1975.7690000000002</v>
      </c>
      <c r="I36" s="30">
        <f t="shared" si="0"/>
        <v>2130.0470000000005</v>
      </c>
      <c r="J36" s="30">
        <f t="shared" si="0"/>
        <v>2146.3600000000006</v>
      </c>
      <c r="K36" s="30">
        <f t="shared" si="0"/>
        <v>2102.0559999999987</v>
      </c>
      <c r="L36" s="30">
        <f t="shared" si="0"/>
        <v>2167.1510000000017</v>
      </c>
      <c r="M36" s="30">
        <f t="shared" si="0"/>
        <v>2248.0559999999987</v>
      </c>
      <c r="N36" s="30">
        <f t="shared" si="0"/>
        <v>2355.8999999999978</v>
      </c>
      <c r="O36" s="30">
        <f t="shared" si="0"/>
        <v>2328.3000000000011</v>
      </c>
      <c r="P36" s="123">
        <f t="shared" si="0"/>
        <v>2521.7000000000007</v>
      </c>
      <c r="Q36" s="123">
        <f t="shared" si="0"/>
        <v>2645.2999999999975</v>
      </c>
      <c r="R36" s="123">
        <f t="shared" si="0"/>
        <v>3064.5</v>
      </c>
      <c r="S36" s="123">
        <f t="shared" si="0"/>
        <v>3375.4000000000015</v>
      </c>
      <c r="T36" s="123">
        <f t="shared" si="0"/>
        <v>3862</v>
      </c>
      <c r="U36" s="123">
        <f t="shared" si="0"/>
        <v>3247.2999999999956</v>
      </c>
      <c r="V36" s="123">
        <f t="shared" si="0"/>
        <v>3346</v>
      </c>
      <c r="W36" s="123">
        <f t="shared" si="0"/>
        <v>3604.8999999999978</v>
      </c>
      <c r="X36" s="123">
        <f t="shared" si="0"/>
        <v>3893.3139999999985</v>
      </c>
      <c r="Y36" s="123">
        <f t="shared" si="0"/>
        <v>3675.1418515315163</v>
      </c>
      <c r="Z36" s="123">
        <f t="shared" si="0"/>
        <v>3751.7684196997689</v>
      </c>
      <c r="AA36" s="123">
        <f t="shared" si="0"/>
        <v>3918</v>
      </c>
      <c r="AB36" s="123">
        <f t="shared" si="0"/>
        <v>4237</v>
      </c>
      <c r="AC36" s="123">
        <f t="shared" si="0"/>
        <v>4511</v>
      </c>
      <c r="AD36" s="123">
        <f t="shared" si="0"/>
        <v>5004</v>
      </c>
      <c r="AE36" s="123">
        <f t="shared" si="0"/>
        <v>5438</v>
      </c>
      <c r="AF36" s="123">
        <f t="shared" si="0"/>
        <v>5333.9070000000138</v>
      </c>
      <c r="AG36" s="123">
        <f t="shared" si="0"/>
        <v>5478.5349999999671</v>
      </c>
      <c r="AH36" s="123">
        <f t="shared" si="0"/>
        <v>6017.8556883116908</v>
      </c>
      <c r="AI36" s="123">
        <f t="shared" si="0"/>
        <v>5671.6560000000027</v>
      </c>
      <c r="AJ36" s="123">
        <f t="shared" si="0"/>
        <v>5766.583000000006</v>
      </c>
      <c r="AK36" s="123">
        <v>5558.5380200534637</v>
      </c>
      <c r="AL36" s="123">
        <f>AL29-SUM(AL30:AL35)</f>
        <v>6275.2821070160207</v>
      </c>
      <c r="AM36" s="123">
        <f>AM29-SUM(AM30:AM35)</f>
        <v>6164.4126964751777</v>
      </c>
      <c r="AN36" s="123">
        <f>AN29-SUM(AN30:AN35)</f>
        <v>6350.4999542027581</v>
      </c>
      <c r="AO36" s="123">
        <f>AO29-SUM(AO30:AO35)</f>
        <v>6284.0059278369881</v>
      </c>
      <c r="AP36" s="123">
        <v>6922.3623112905771</v>
      </c>
      <c r="AQ36" s="123">
        <v>6852.9592275307295</v>
      </c>
      <c r="AR36" s="123">
        <v>6893.2641463045584</v>
      </c>
      <c r="AS36" s="123">
        <v>4739.8554430000004</v>
      </c>
      <c r="AT36" s="123">
        <v>7232.3649313851492</v>
      </c>
      <c r="AU36" s="123">
        <v>7377.3940000000148</v>
      </c>
      <c r="AV36" s="123">
        <v>7372.5327099999995</v>
      </c>
      <c r="AW36" s="123">
        <v>6920.6840615399997</v>
      </c>
      <c r="AX36" s="123">
        <v>7225.1921699999948</v>
      </c>
      <c r="AY36" s="123">
        <v>5856.8950000000041</v>
      </c>
      <c r="AZ36" s="123">
        <v>4374.3200007949054</v>
      </c>
      <c r="BA36" s="123">
        <v>6977.2999999999884</v>
      </c>
      <c r="BB36" s="123">
        <v>6831.2999999999884</v>
      </c>
      <c r="BC36" s="123">
        <v>5458.3000000000029</v>
      </c>
      <c r="BD36" s="123"/>
      <c r="BE36" s="123"/>
      <c r="BF36" s="119"/>
    </row>
    <row r="37" spans="1:69" s="112" customFormat="1" ht="11.5" x14ac:dyDescent="0.25">
      <c r="A37" s="1" t="s">
        <v>21</v>
      </c>
      <c r="B37" s="112" t="s">
        <v>525</v>
      </c>
      <c r="C37" s="112" t="s">
        <v>91</v>
      </c>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v>13625</v>
      </c>
      <c r="AM37" s="123"/>
      <c r="AN37" s="123"/>
      <c r="AO37" s="123"/>
      <c r="AP37" s="123"/>
      <c r="AQ37" s="123"/>
      <c r="AR37" s="123"/>
      <c r="AS37" s="123"/>
      <c r="AT37" s="123"/>
      <c r="AU37" s="123"/>
      <c r="AV37" s="123"/>
      <c r="AW37" s="123"/>
      <c r="AX37" s="123"/>
      <c r="AY37" s="123"/>
      <c r="AZ37" s="123"/>
      <c r="BA37" s="123"/>
      <c r="BB37" s="123"/>
      <c r="BC37" s="123"/>
      <c r="BD37" s="123"/>
      <c r="BE37" s="123"/>
    </row>
    <row r="40" spans="1:69" s="35" customFormat="1" x14ac:dyDescent="0.35">
      <c r="A40" s="61" t="s">
        <v>89</v>
      </c>
      <c r="B40" s="61"/>
      <c r="C40" s="61"/>
      <c r="D40" s="124">
        <v>0.26869999999999999</v>
      </c>
      <c r="E40" s="124">
        <v>0.28739999999999999</v>
      </c>
      <c r="F40" s="124">
        <v>0.30819999999999997</v>
      </c>
      <c r="G40" s="124">
        <v>0.32890000000000003</v>
      </c>
      <c r="H40" s="124">
        <v>0.35549999999999998</v>
      </c>
      <c r="I40" s="124">
        <v>0.38650000000000001</v>
      </c>
      <c r="J40" s="124">
        <v>0.4244</v>
      </c>
      <c r="K40" s="124">
        <v>0.45390000000000003</v>
      </c>
      <c r="L40" s="124">
        <v>0.47370000000000001</v>
      </c>
      <c r="M40" s="124">
        <v>0.49070000000000003</v>
      </c>
      <c r="N40" s="124">
        <v>0.5071</v>
      </c>
      <c r="O40" s="124">
        <v>0.51849999999999996</v>
      </c>
      <c r="P40" s="124">
        <v>0.53010000000000002</v>
      </c>
      <c r="Q40" s="124">
        <v>0.54730000000000001</v>
      </c>
      <c r="R40" s="124">
        <v>0.56940000000000002</v>
      </c>
      <c r="S40" s="124">
        <v>0.59019999999999995</v>
      </c>
      <c r="T40" s="124">
        <v>0.61129999999999995</v>
      </c>
      <c r="U40" s="124">
        <v>0.62660000000000005</v>
      </c>
      <c r="V40" s="124">
        <v>0.64129999999999998</v>
      </c>
      <c r="W40" s="124">
        <v>0.65529999999999999</v>
      </c>
      <c r="X40" s="124">
        <v>0.66920000000000002</v>
      </c>
      <c r="Y40" s="124">
        <v>0.68179999999999996</v>
      </c>
      <c r="Z40" s="124">
        <v>0.69389999999999996</v>
      </c>
      <c r="AA40" s="124">
        <v>0.7026</v>
      </c>
      <c r="AB40" s="124">
        <v>0.71130000000000004</v>
      </c>
      <c r="AC40" s="124">
        <v>0.72609999999999997</v>
      </c>
      <c r="AD40" s="124">
        <v>0.74370000000000003</v>
      </c>
      <c r="AE40" s="124">
        <v>0.75539999999999996</v>
      </c>
      <c r="AF40" s="124">
        <v>0.76990000000000003</v>
      </c>
      <c r="AG40" s="124">
        <v>0.78869999999999996</v>
      </c>
      <c r="AH40" s="124">
        <v>0.81269999999999998</v>
      </c>
      <c r="AI40" s="124">
        <v>0.83909999999999996</v>
      </c>
      <c r="AJ40" s="124">
        <v>0.86219999999999997</v>
      </c>
      <c r="AK40" s="124">
        <v>0.88009999999999999</v>
      </c>
      <c r="AL40" s="124">
        <v>0.8891</v>
      </c>
      <c r="AM40" s="124">
        <v>0.89680000000000004</v>
      </c>
      <c r="AN40" s="124">
        <v>0.91479999999999995</v>
      </c>
      <c r="AO40" s="124">
        <v>0.93140000000000001</v>
      </c>
      <c r="AP40" s="124">
        <v>0.94830000000000003</v>
      </c>
      <c r="AQ40" s="124">
        <v>0.96560000000000001</v>
      </c>
      <c r="AR40" s="124">
        <v>0.97560000000000002</v>
      </c>
      <c r="AS40" s="124">
        <v>0.98340000000000005</v>
      </c>
      <c r="AT40" s="124">
        <v>1</v>
      </c>
      <c r="AU40" s="124">
        <v>1.0222</v>
      </c>
      <c r="AV40" s="124">
        <v>1.0410999999999999</v>
      </c>
      <c r="AW40" s="124">
        <v>1.0547</v>
      </c>
      <c r="AX40" s="124">
        <v>1.091</v>
      </c>
      <c r="AY40" s="124">
        <v>1.1673</v>
      </c>
      <c r="AZ40" s="124">
        <v>1.2206999999999999</v>
      </c>
      <c r="BA40" s="124">
        <v>1.2533000000000001</v>
      </c>
      <c r="BB40" s="124">
        <v>1.2807999999999999</v>
      </c>
      <c r="BC40" s="124">
        <v>1.3073999999999999</v>
      </c>
      <c r="BD40" s="124"/>
      <c r="BE40" s="124"/>
      <c r="BF40" s="124"/>
      <c r="BG40" s="125"/>
      <c r="BH40" s="126"/>
      <c r="BI40" s="126"/>
      <c r="BM40" s="127"/>
      <c r="BN40" s="127"/>
      <c r="BO40" s="62"/>
      <c r="BP40" s="62"/>
      <c r="BQ40" s="62"/>
    </row>
    <row r="43" spans="1:69" s="128" customFormat="1" x14ac:dyDescent="0.35">
      <c r="A43" s="128" t="str">
        <f>A2</f>
        <v>All</v>
      </c>
      <c r="B43" s="128" t="str">
        <f>B2</f>
        <v>Basic</v>
      </c>
      <c r="C43" s="128" t="s">
        <v>90</v>
      </c>
      <c r="D43" s="128">
        <f>D2/D$40</f>
        <v>7986.6021585411245</v>
      </c>
      <c r="E43" s="128">
        <f t="shared" ref="E43:AA54" si="1">E2/E$40</f>
        <v>8590.8141962421723</v>
      </c>
      <c r="F43" s="128">
        <f t="shared" si="1"/>
        <v>9383.5171966255693</v>
      </c>
      <c r="G43" s="128">
        <f t="shared" si="1"/>
        <v>12107.023411371236</v>
      </c>
      <c r="H43" s="128">
        <f t="shared" si="1"/>
        <v>12635.724331926864</v>
      </c>
      <c r="I43" s="128">
        <f t="shared" si="1"/>
        <v>13216.041397153946</v>
      </c>
      <c r="J43" s="128">
        <f t="shared" si="1"/>
        <v>12033.459000942506</v>
      </c>
      <c r="K43" s="128">
        <f t="shared" si="1"/>
        <v>11985.018726591759</v>
      </c>
      <c r="L43" s="128">
        <f t="shared" si="1"/>
        <v>13179.22735908803</v>
      </c>
      <c r="M43" s="128">
        <f t="shared" si="1"/>
        <v>14396.780110046871</v>
      </c>
      <c r="N43" s="128">
        <f t="shared" si="1"/>
        <v>15372.510352987576</v>
      </c>
      <c r="O43" s="128">
        <f t="shared" si="1"/>
        <v>15739.633558341371</v>
      </c>
      <c r="P43" s="128">
        <f t="shared" si="1"/>
        <v>17004.338803999246</v>
      </c>
      <c r="Q43" s="128">
        <f t="shared" si="1"/>
        <v>17368.901881966016</v>
      </c>
      <c r="R43" s="128">
        <f t="shared" si="1"/>
        <v>18647.523709167544</v>
      </c>
      <c r="S43" s="128">
        <f t="shared" si="1"/>
        <v>19109.962724500172</v>
      </c>
      <c r="T43" s="128">
        <f t="shared" si="1"/>
        <v>20296.090299362018</v>
      </c>
      <c r="U43" s="128">
        <f t="shared" si="1"/>
        <v>20655.920842642834</v>
      </c>
      <c r="V43" s="128">
        <f t="shared" si="1"/>
        <v>20963.667550288475</v>
      </c>
      <c r="W43" s="128">
        <f t="shared" si="1"/>
        <v>20895.772928429727</v>
      </c>
      <c r="X43" s="128">
        <f t="shared" si="1"/>
        <v>20579.796772265392</v>
      </c>
      <c r="Y43" s="128">
        <f t="shared" si="1"/>
        <v>21182.663366925375</v>
      </c>
      <c r="Z43" s="128">
        <f t="shared" si="1"/>
        <v>21560.939964314206</v>
      </c>
      <c r="AA43" s="128">
        <f t="shared" si="1"/>
        <v>22093.750355821234</v>
      </c>
      <c r="AB43" s="128">
        <f t="shared" ref="AB43:BC51" si="2">AB2/AB$40</f>
        <v>24508.398543680782</v>
      </c>
      <c r="AC43" s="128">
        <f t="shared" si="2"/>
        <v>26814.559975925822</v>
      </c>
      <c r="AD43" s="128">
        <f t="shared" si="2"/>
        <v>28742.381780091961</v>
      </c>
      <c r="AE43" s="128">
        <f t="shared" si="2"/>
        <v>31570.164914600478</v>
      </c>
      <c r="AF43" s="128">
        <f t="shared" si="2"/>
        <v>32891.831135482644</v>
      </c>
      <c r="AG43" s="128">
        <f t="shared" si="2"/>
        <v>33635.972824492535</v>
      </c>
      <c r="AH43" s="128">
        <f t="shared" si="2"/>
        <v>34057.058507866663</v>
      </c>
      <c r="AI43" s="128">
        <f t="shared" si="2"/>
        <v>32577.928694916187</v>
      </c>
      <c r="AJ43" s="128">
        <f t="shared" si="2"/>
        <v>32667.018714907808</v>
      </c>
      <c r="AK43" s="128">
        <f t="shared" si="2"/>
        <v>32655.180033369415</v>
      </c>
      <c r="AL43" s="128">
        <f t="shared" si="2"/>
        <v>31673.506632709108</v>
      </c>
      <c r="AM43" s="128">
        <f t="shared" si="2"/>
        <v>32690.601131641586</v>
      </c>
      <c r="AN43" s="128">
        <f t="shared" si="2"/>
        <v>32576.141549363652</v>
      </c>
      <c r="AO43" s="128">
        <f t="shared" si="2"/>
        <v>34148.388447498393</v>
      </c>
      <c r="AP43" s="128">
        <f t="shared" si="2"/>
        <v>31849.077623115045</v>
      </c>
      <c r="AQ43" s="128">
        <f t="shared" si="2"/>
        <v>33229.542253521133</v>
      </c>
      <c r="AR43" s="128">
        <f t="shared" si="2"/>
        <v>32706.882030545308</v>
      </c>
      <c r="AS43" s="128">
        <f t="shared" si="2"/>
        <v>33468.578401464307</v>
      </c>
      <c r="AT43" s="128">
        <f t="shared" si="2"/>
        <v>34070.334999999999</v>
      </c>
      <c r="AU43" s="128">
        <f t="shared" si="2"/>
        <v>35421.706344159662</v>
      </c>
      <c r="AV43" s="128">
        <f t="shared" si="2"/>
        <v>37798.260251656902</v>
      </c>
      <c r="AW43" s="128">
        <f t="shared" si="2"/>
        <v>42032.07547169811</v>
      </c>
      <c r="AX43" s="128">
        <f t="shared" si="2"/>
        <v>39071.869844179659</v>
      </c>
      <c r="AY43" s="128">
        <f t="shared" si="2"/>
        <v>38755.357662982955</v>
      </c>
      <c r="AZ43" s="128">
        <f t="shared" si="2"/>
        <v>38674.481854673555</v>
      </c>
      <c r="BA43" s="128">
        <f t="shared" si="2"/>
        <v>35858.662730391763</v>
      </c>
      <c r="BB43" s="128">
        <f t="shared" si="2"/>
        <v>34888.987749885746</v>
      </c>
      <c r="BC43" s="128">
        <f t="shared" si="2"/>
        <v>22589.162459843967</v>
      </c>
    </row>
    <row r="44" spans="1:69" s="128" customFormat="1" x14ac:dyDescent="0.35">
      <c r="A44" s="128" t="str">
        <f t="shared" ref="A44:B44" si="3">A3</f>
        <v>NIH</v>
      </c>
      <c r="B44" s="128" t="str">
        <f t="shared" si="3"/>
        <v>Basic</v>
      </c>
      <c r="C44" s="128" t="s">
        <v>90</v>
      </c>
      <c r="D44" s="128">
        <f t="shared" ref="D44:S78" si="4">D3/D$40</f>
        <v>2203.2005954596202</v>
      </c>
      <c r="E44" s="128">
        <f t="shared" si="4"/>
        <v>2289.491997216423</v>
      </c>
      <c r="F44" s="128">
        <f t="shared" si="4"/>
        <v>2170.6683971447114</v>
      </c>
      <c r="G44" s="128">
        <f t="shared" si="4"/>
        <v>3514.7461234417751</v>
      </c>
      <c r="H44" s="128">
        <f t="shared" si="4"/>
        <v>4115.3305203938116</v>
      </c>
      <c r="I44" s="128">
        <f t="shared" si="4"/>
        <v>4253.5575679172052</v>
      </c>
      <c r="J44" s="128">
        <f t="shared" si="4"/>
        <v>4165.8812441093305</v>
      </c>
      <c r="K44" s="128">
        <f t="shared" si="4"/>
        <v>4304.9129764265253</v>
      </c>
      <c r="L44" s="128">
        <f t="shared" si="4"/>
        <v>5224.8258391386953</v>
      </c>
      <c r="M44" s="128">
        <f t="shared" si="4"/>
        <v>5732.626859588343</v>
      </c>
      <c r="N44" s="128">
        <f t="shared" si="4"/>
        <v>6395.1883257740092</v>
      </c>
      <c r="O44" s="128">
        <f t="shared" si="4"/>
        <v>6410.8003857280619</v>
      </c>
      <c r="P44" s="128">
        <f t="shared" si="4"/>
        <v>7281.6449726466699</v>
      </c>
      <c r="Q44" s="128">
        <f t="shared" si="4"/>
        <v>7467.5680613922896</v>
      </c>
      <c r="R44" s="128">
        <f t="shared" si="4"/>
        <v>7749.912188268353</v>
      </c>
      <c r="S44" s="128">
        <f t="shared" si="4"/>
        <v>7893.9342595730268</v>
      </c>
      <c r="T44" s="128">
        <f t="shared" si="1"/>
        <v>8213.6430557827589</v>
      </c>
      <c r="U44" s="128">
        <f t="shared" si="1"/>
        <v>8734.4398340248954</v>
      </c>
      <c r="V44" s="128">
        <f t="shared" si="1"/>
        <v>8900.6705130204282</v>
      </c>
      <c r="W44" s="128">
        <f t="shared" si="1"/>
        <v>8983.6716007935302</v>
      </c>
      <c r="X44" s="128">
        <f t="shared" si="1"/>
        <v>9066.0490137477591</v>
      </c>
      <c r="Y44" s="128">
        <f t="shared" si="1"/>
        <v>9377.9979466119094</v>
      </c>
      <c r="Z44" s="128">
        <f t="shared" si="1"/>
        <v>9873.811788442139</v>
      </c>
      <c r="AA44" s="128">
        <f t="shared" si="1"/>
        <v>10467.936236834614</v>
      </c>
      <c r="AB44" s="128">
        <f t="shared" ref="AB44:AQ44" si="5">AB3/AB$40</f>
        <v>12136.026992830028</v>
      </c>
      <c r="AC44" s="128">
        <f t="shared" si="5"/>
        <v>13906.146485715082</v>
      </c>
      <c r="AD44" s="128">
        <f t="shared" si="5"/>
        <v>15649.562826384734</v>
      </c>
      <c r="AE44" s="128">
        <f t="shared" si="5"/>
        <v>17148.687696757755</v>
      </c>
      <c r="AF44" s="128">
        <f t="shared" si="5"/>
        <v>18391.068600347236</v>
      </c>
      <c r="AG44" s="128">
        <f t="shared" si="5"/>
        <v>18818.441801981848</v>
      </c>
      <c r="AH44" s="128">
        <f t="shared" si="5"/>
        <v>19469.902519015621</v>
      </c>
      <c r="AI44" s="128">
        <f t="shared" si="5"/>
        <v>18506.815072583013</v>
      </c>
      <c r="AJ44" s="128">
        <f t="shared" si="5"/>
        <v>18134.362876041036</v>
      </c>
      <c r="AK44" s="128">
        <f t="shared" si="5"/>
        <v>18073.41665719805</v>
      </c>
      <c r="AL44" s="128">
        <f t="shared" si="5"/>
        <v>17730.591609492745</v>
      </c>
      <c r="AM44" s="128">
        <f t="shared" si="5"/>
        <v>17977.173241921621</v>
      </c>
      <c r="AN44" s="128">
        <f t="shared" si="5"/>
        <v>17501.0931351115</v>
      </c>
      <c r="AO44" s="128">
        <f t="shared" si="5"/>
        <v>17072.380287738888</v>
      </c>
      <c r="AP44" s="128">
        <f t="shared" si="5"/>
        <v>16058.578835811451</v>
      </c>
      <c r="AQ44" s="128">
        <f t="shared" si="5"/>
        <v>16346.595898922951</v>
      </c>
      <c r="AR44" s="128">
        <f t="shared" si="2"/>
        <v>15311.172723452237</v>
      </c>
      <c r="AS44" s="128">
        <f t="shared" si="2"/>
        <v>15754.258907870651</v>
      </c>
      <c r="AT44" s="128">
        <f t="shared" si="2"/>
        <v>16625</v>
      </c>
      <c r="AU44" s="128">
        <f t="shared" si="2"/>
        <v>17755.819042261792</v>
      </c>
      <c r="AV44" s="128">
        <f t="shared" si="2"/>
        <v>18243.825519162419</v>
      </c>
      <c r="AW44" s="128">
        <f t="shared" si="2"/>
        <v>20609.652033753675</v>
      </c>
      <c r="AX44" s="128">
        <f t="shared" si="2"/>
        <v>19243.813015582036</v>
      </c>
      <c r="AY44" s="128">
        <f t="shared" si="2"/>
        <v>18631.885547845457</v>
      </c>
      <c r="AZ44" s="128">
        <f t="shared" si="2"/>
        <v>18723.683132628823</v>
      </c>
      <c r="BA44" s="128">
        <f t="shared" si="2"/>
        <v>18139.312215750419</v>
      </c>
      <c r="BB44" s="128">
        <f t="shared" si="2"/>
        <v>17505.465334166147</v>
      </c>
      <c r="BC44" s="128">
        <f t="shared" si="2"/>
        <v>10829.12651063179</v>
      </c>
    </row>
    <row r="45" spans="1:69" s="128" customFormat="1" x14ac:dyDescent="0.35">
      <c r="A45" s="128" t="str">
        <f t="shared" ref="A45:B45" si="6">A4</f>
        <v>NSF</v>
      </c>
      <c r="B45" s="128" t="str">
        <f t="shared" si="6"/>
        <v>Basic</v>
      </c>
      <c r="C45" s="128" t="s">
        <v>90</v>
      </c>
      <c r="D45" s="128">
        <f t="shared" si="4"/>
        <v>1808.7085969482696</v>
      </c>
      <c r="E45" s="128">
        <f t="shared" si="1"/>
        <v>1882.3938761308282</v>
      </c>
      <c r="F45" s="128">
        <f t="shared" si="1"/>
        <v>2027.9039584685272</v>
      </c>
      <c r="G45" s="128">
        <f t="shared" si="1"/>
        <v>2061.4168440255394</v>
      </c>
      <c r="H45" s="128">
        <f t="shared" si="1"/>
        <v>2061.8846694796061</v>
      </c>
      <c r="I45" s="128">
        <f t="shared" si="1"/>
        <v>2147.4773609314361</v>
      </c>
      <c r="J45" s="128">
        <f t="shared" si="1"/>
        <v>2071.1592836946279</v>
      </c>
      <c r="K45" s="128">
        <f t="shared" si="1"/>
        <v>2011.4562679004184</v>
      </c>
      <c r="L45" s="128">
        <f t="shared" si="1"/>
        <v>2096.2634578847369</v>
      </c>
      <c r="M45" s="128">
        <f t="shared" si="1"/>
        <v>2306.90849806399</v>
      </c>
      <c r="N45" s="128">
        <f t="shared" si="1"/>
        <v>2488.6610136067839</v>
      </c>
      <c r="O45" s="128">
        <f t="shared" si="1"/>
        <v>2422.3722275795567</v>
      </c>
      <c r="P45" s="128">
        <f t="shared" si="1"/>
        <v>2608.9417091114883</v>
      </c>
      <c r="Q45" s="128">
        <f t="shared" si="1"/>
        <v>2600.0365430294173</v>
      </c>
      <c r="R45" s="128">
        <f t="shared" si="1"/>
        <v>2744.8191078328064</v>
      </c>
      <c r="S45" s="128">
        <f t="shared" si="1"/>
        <v>2658.7597424601831</v>
      </c>
      <c r="T45" s="128">
        <f t="shared" si="1"/>
        <v>2862.7515131686573</v>
      </c>
      <c r="U45" s="128">
        <f t="shared" si="1"/>
        <v>2781.6789020108522</v>
      </c>
      <c r="V45" s="128">
        <f t="shared" si="1"/>
        <v>2721.0353968501481</v>
      </c>
      <c r="W45" s="128">
        <f t="shared" si="1"/>
        <v>2849.0767587364567</v>
      </c>
      <c r="X45" s="128">
        <f t="shared" si="1"/>
        <v>2894.5008965929469</v>
      </c>
      <c r="Y45" s="128">
        <f t="shared" si="1"/>
        <v>2920.2112056321503</v>
      </c>
      <c r="Z45" s="128">
        <f t="shared" si="1"/>
        <v>2962.962962962963</v>
      </c>
      <c r="AA45" s="128">
        <f t="shared" si="1"/>
        <v>3010.2476515798462</v>
      </c>
      <c r="AB45" s="128">
        <f t="shared" ref="AB45" si="7">AB4/AB$40</f>
        <v>3263.0395051314495</v>
      </c>
      <c r="AC45" s="128">
        <f t="shared" si="2"/>
        <v>3498.1407519625395</v>
      </c>
      <c r="AD45" s="128">
        <f t="shared" si="2"/>
        <v>3834.879655775178</v>
      </c>
      <c r="AE45" s="128">
        <f t="shared" si="2"/>
        <v>4072.0148265819435</v>
      </c>
      <c r="AF45" s="128">
        <f t="shared" si="2"/>
        <v>4418.036207040851</v>
      </c>
      <c r="AG45" s="128">
        <f t="shared" si="2"/>
        <v>4456.5940375987993</v>
      </c>
      <c r="AH45" s="128">
        <f t="shared" si="2"/>
        <v>4191.6956872110195</v>
      </c>
      <c r="AI45" s="128">
        <f t="shared" si="2"/>
        <v>4161.2411399115308</v>
      </c>
      <c r="AJ45" s="128">
        <f t="shared" si="2"/>
        <v>4205.0135284979451</v>
      </c>
      <c r="AK45" s="128">
        <f t="shared" si="2"/>
        <v>4221.7020793091697</v>
      </c>
      <c r="AL45" s="128">
        <f t="shared" si="2"/>
        <v>4483.9714317849512</v>
      </c>
      <c r="AM45" s="128">
        <f t="shared" si="2"/>
        <v>5115.1810813534821</v>
      </c>
      <c r="AN45" s="128">
        <f t="shared" si="2"/>
        <v>5078.6864225599729</v>
      </c>
      <c r="AO45" s="128">
        <f t="shared" si="2"/>
        <v>4995.0397251449431</v>
      </c>
      <c r="AP45" s="128">
        <f t="shared" si="2"/>
        <v>4599.5992829273437</v>
      </c>
      <c r="AQ45" s="128">
        <f t="shared" si="2"/>
        <v>4893.5480530240266</v>
      </c>
      <c r="AR45" s="128">
        <f t="shared" si="2"/>
        <v>5098.2984829848301</v>
      </c>
      <c r="AS45" s="128">
        <f t="shared" si="2"/>
        <v>4910.8196054504779</v>
      </c>
      <c r="AT45" s="128">
        <f t="shared" si="2"/>
        <v>4739.0499999999993</v>
      </c>
      <c r="AU45" s="128">
        <f t="shared" si="2"/>
        <v>4978.644100958717</v>
      </c>
      <c r="AV45" s="128">
        <f t="shared" si="2"/>
        <v>5006.3298434348289</v>
      </c>
      <c r="AW45" s="128">
        <f t="shared" si="2"/>
        <v>5173.6323125059262</v>
      </c>
      <c r="AX45" s="128">
        <f t="shared" si="2"/>
        <v>5475.7103574702114</v>
      </c>
      <c r="AY45" s="128">
        <f t="shared" si="2"/>
        <v>4839.3729118478541</v>
      </c>
      <c r="AZ45" s="128">
        <f t="shared" si="2"/>
        <v>5028.2624723519293</v>
      </c>
      <c r="BA45" s="128">
        <f t="shared" si="2"/>
        <v>4469.7997287161888</v>
      </c>
      <c r="BB45" s="128">
        <f t="shared" si="2"/>
        <v>4376.9519050593381</v>
      </c>
      <c r="BC45" s="128">
        <f t="shared" si="2"/>
        <v>1848.7073581153436</v>
      </c>
    </row>
    <row r="46" spans="1:69" s="128" customFormat="1" x14ac:dyDescent="0.35">
      <c r="A46" s="128" t="str">
        <f t="shared" ref="A46:B46" si="8">A5</f>
        <v>DOE</v>
      </c>
      <c r="B46" s="128" t="str">
        <f t="shared" si="8"/>
        <v>Basic</v>
      </c>
      <c r="C46" s="128" t="s">
        <v>90</v>
      </c>
      <c r="D46" s="128">
        <f t="shared" si="4"/>
        <v>919.24078898399705</v>
      </c>
      <c r="E46" s="128">
        <f t="shared" si="1"/>
        <v>1210.8559498956158</v>
      </c>
      <c r="F46" s="128">
        <f t="shared" si="1"/>
        <v>1265.4120700843609</v>
      </c>
      <c r="G46" s="128">
        <f t="shared" si="1"/>
        <v>1726.9686834904226</v>
      </c>
      <c r="H46" s="128">
        <f t="shared" si="1"/>
        <v>1738.3966244725739</v>
      </c>
      <c r="I46" s="128">
        <f t="shared" si="1"/>
        <v>1767.1410090556274</v>
      </c>
      <c r="J46" s="128">
        <f t="shared" si="1"/>
        <v>1406.6918001885015</v>
      </c>
      <c r="K46" s="128">
        <f t="shared" si="1"/>
        <v>1716.2370566204008</v>
      </c>
      <c r="L46" s="128">
        <f t="shared" si="1"/>
        <v>1610.7240869748787</v>
      </c>
      <c r="M46" s="128">
        <f t="shared" si="1"/>
        <v>1724.0676584471162</v>
      </c>
      <c r="N46" s="128">
        <f t="shared" si="1"/>
        <v>1678.1699861960167</v>
      </c>
      <c r="O46" s="128">
        <f t="shared" si="1"/>
        <v>1853.4233365477339</v>
      </c>
      <c r="P46" s="128">
        <f t="shared" si="1"/>
        <v>1999.6227126957178</v>
      </c>
      <c r="Q46" s="128">
        <f t="shared" si="1"/>
        <v>2139.5943723734699</v>
      </c>
      <c r="R46" s="128">
        <f t="shared" si="1"/>
        <v>2428.3456269757639</v>
      </c>
      <c r="S46" s="128">
        <f t="shared" si="1"/>
        <v>2558.793629278211</v>
      </c>
      <c r="T46" s="128">
        <f t="shared" si="1"/>
        <v>2756.4207426795356</v>
      </c>
      <c r="U46" s="128">
        <f t="shared" si="1"/>
        <v>2733.8014682413022</v>
      </c>
      <c r="V46" s="128">
        <f t="shared" si="1"/>
        <v>2696.0860751598316</v>
      </c>
      <c r="W46" s="128">
        <f t="shared" si="1"/>
        <v>2446.2078437356936</v>
      </c>
      <c r="X46" s="128">
        <f t="shared" si="1"/>
        <v>2422.2952779438133</v>
      </c>
      <c r="Y46" s="128">
        <f t="shared" si="1"/>
        <v>2813.1416837782344</v>
      </c>
      <c r="Z46" s="128">
        <f t="shared" si="1"/>
        <v>2944.2282749675746</v>
      </c>
      <c r="AA46" s="128">
        <f t="shared" si="1"/>
        <v>2980.3586678052948</v>
      </c>
      <c r="AB46" s="128">
        <f t="shared" ref="AB46" si="9">AB5/AB$40</f>
        <v>3128.0753549838323</v>
      </c>
      <c r="AC46" s="128">
        <f t="shared" si="2"/>
        <v>3116.6505990910346</v>
      </c>
      <c r="AD46" s="128">
        <f t="shared" si="2"/>
        <v>3213.6614226166462</v>
      </c>
      <c r="AE46" s="128">
        <f t="shared" si="2"/>
        <v>3415.4090548054014</v>
      </c>
      <c r="AF46" s="128">
        <f t="shared" si="2"/>
        <v>3319.8337446421615</v>
      </c>
      <c r="AG46" s="128">
        <f t="shared" si="2"/>
        <v>3451.0472930138203</v>
      </c>
      <c r="AH46" s="128">
        <f t="shared" si="2"/>
        <v>3527.4947705180266</v>
      </c>
      <c r="AI46" s="128">
        <f t="shared" si="2"/>
        <v>3491.9520915266362</v>
      </c>
      <c r="AJ46" s="128">
        <f t="shared" si="2"/>
        <v>3634.7726745534678</v>
      </c>
      <c r="AK46" s="128">
        <f t="shared" si="2"/>
        <v>3932.5076695830021</v>
      </c>
      <c r="AL46" s="128">
        <f t="shared" si="2"/>
        <v>4268.3612641997524</v>
      </c>
      <c r="AM46" s="128">
        <f t="shared" si="2"/>
        <v>4427.9661016949149</v>
      </c>
      <c r="AN46" s="128">
        <f t="shared" si="2"/>
        <v>4349.5846086576303</v>
      </c>
      <c r="AO46" s="128">
        <f t="shared" si="2"/>
        <v>4200.1288383079236</v>
      </c>
      <c r="AP46" s="128">
        <f t="shared" si="2"/>
        <v>4060.9437941579667</v>
      </c>
      <c r="AQ46" s="128">
        <f t="shared" si="2"/>
        <v>4236.2665700082853</v>
      </c>
      <c r="AR46" s="128">
        <f t="shared" si="2"/>
        <v>4588.5793357933571</v>
      </c>
      <c r="AS46" s="128">
        <f t="shared" si="2"/>
        <v>4683.0181004677643</v>
      </c>
      <c r="AT46" s="128">
        <f t="shared" si="2"/>
        <v>4556.3190000000004</v>
      </c>
      <c r="AU46" s="128">
        <f t="shared" si="2"/>
        <v>4895.2347877127768</v>
      </c>
      <c r="AV46" s="128">
        <f t="shared" si="2"/>
        <v>4942.1592546345219</v>
      </c>
      <c r="AW46" s="128">
        <f t="shared" si="2"/>
        <v>5228.7901773016029</v>
      </c>
      <c r="AX46" s="128">
        <f t="shared" si="2"/>
        <v>5098.9917506874426</v>
      </c>
      <c r="AY46" s="128">
        <f t="shared" si="2"/>
        <v>5553.842199948599</v>
      </c>
      <c r="AZ46" s="128">
        <f t="shared" si="2"/>
        <v>5410.8298517244211</v>
      </c>
      <c r="BA46" s="128">
        <f t="shared" si="2"/>
        <v>5340.3016037660573</v>
      </c>
      <c r="BB46" s="128">
        <f t="shared" si="2"/>
        <v>5308.5256514641624</v>
      </c>
      <c r="BC46" s="128">
        <f t="shared" si="2"/>
        <v>4448.5237876701858</v>
      </c>
    </row>
    <row r="47" spans="1:69" s="128" customFormat="1" x14ac:dyDescent="0.35">
      <c r="A47" s="128" t="str">
        <f t="shared" ref="A47:B47" si="10">A6</f>
        <v>NASA</v>
      </c>
      <c r="B47" s="128" t="str">
        <f t="shared" si="10"/>
        <v>Basic</v>
      </c>
      <c r="C47" s="128" t="s">
        <v>90</v>
      </c>
      <c r="D47" s="128">
        <f t="shared" si="4"/>
        <v>900.63267584666914</v>
      </c>
      <c r="E47" s="128">
        <f t="shared" si="1"/>
        <v>1019.4850382741823</v>
      </c>
      <c r="F47" s="128">
        <f t="shared" si="1"/>
        <v>1343.2835820895523</v>
      </c>
      <c r="G47" s="128">
        <f t="shared" si="1"/>
        <v>1711.76649437519</v>
      </c>
      <c r="H47" s="128">
        <f t="shared" si="1"/>
        <v>1867.7918424753868</v>
      </c>
      <c r="I47" s="128">
        <f t="shared" si="1"/>
        <v>1981.888745148771</v>
      </c>
      <c r="J47" s="128">
        <f t="shared" si="1"/>
        <v>1253.5344015080113</v>
      </c>
      <c r="K47" s="128">
        <f t="shared" si="1"/>
        <v>1180.8768451200704</v>
      </c>
      <c r="L47" s="128">
        <f t="shared" si="1"/>
        <v>1302.5121384842728</v>
      </c>
      <c r="M47" s="128">
        <f t="shared" si="1"/>
        <v>1538.6183003872018</v>
      </c>
      <c r="N47" s="128">
        <f t="shared" si="1"/>
        <v>1480.9702228357326</v>
      </c>
      <c r="O47" s="128">
        <f t="shared" si="1"/>
        <v>1772.4204435872712</v>
      </c>
      <c r="P47" s="128">
        <f t="shared" si="1"/>
        <v>2024.1463874740614</v>
      </c>
      <c r="Q47" s="128">
        <f t="shared" si="1"/>
        <v>2084.7798282477615</v>
      </c>
      <c r="R47" s="128">
        <f t="shared" si="1"/>
        <v>2431.5068493150684</v>
      </c>
      <c r="S47" s="128">
        <f t="shared" si="1"/>
        <v>2763.1311419857675</v>
      </c>
      <c r="T47" s="128">
        <f t="shared" si="1"/>
        <v>2821.8550629805336</v>
      </c>
      <c r="U47" s="128">
        <f t="shared" si="1"/>
        <v>2815.1931056495368</v>
      </c>
      <c r="V47" s="128">
        <f t="shared" si="1"/>
        <v>2841.1040074847965</v>
      </c>
      <c r="W47" s="128">
        <f t="shared" si="1"/>
        <v>3071.875476880818</v>
      </c>
      <c r="X47" s="128">
        <f t="shared" si="1"/>
        <v>2940.8248655110579</v>
      </c>
      <c r="Y47" s="128">
        <f t="shared" si="1"/>
        <v>3083.0155470812556</v>
      </c>
      <c r="Z47" s="128">
        <f t="shared" si="1"/>
        <v>2955.7573137339677</v>
      </c>
      <c r="AA47" s="128">
        <f t="shared" si="1"/>
        <v>2865.072587532024</v>
      </c>
      <c r="AB47" s="128">
        <f t="shared" ref="AB47" si="11">AB6/AB$40</f>
        <v>2785.041473358639</v>
      </c>
      <c r="AC47" s="128">
        <f t="shared" si="2"/>
        <v>2958.2702107147779</v>
      </c>
      <c r="AD47" s="128">
        <f t="shared" si="2"/>
        <v>2279.1448164582494</v>
      </c>
      <c r="AE47" s="128">
        <f t="shared" si="2"/>
        <v>2531.1093460418324</v>
      </c>
      <c r="AF47" s="128">
        <f t="shared" si="2"/>
        <v>2865.9410313027661</v>
      </c>
      <c r="AG47" s="128">
        <f t="shared" si="2"/>
        <v>3136.1189298846202</v>
      </c>
      <c r="AH47" s="128">
        <f t="shared" si="2"/>
        <v>3058.5458717854067</v>
      </c>
      <c r="AI47" s="128">
        <f t="shared" si="2"/>
        <v>2739.840305088786</v>
      </c>
      <c r="AJ47" s="128">
        <f t="shared" si="2"/>
        <v>2688.8772906518211</v>
      </c>
      <c r="AK47" s="128">
        <f t="shared" si="2"/>
        <v>2479.9579593228041</v>
      </c>
      <c r="AL47" s="128">
        <f t="shared" si="2"/>
        <v>1012.2595883477674</v>
      </c>
      <c r="AM47" s="128">
        <f t="shared" si="2"/>
        <v>931.08831400535234</v>
      </c>
      <c r="AN47" s="128">
        <f t="shared" si="2"/>
        <v>1308.4827284652383</v>
      </c>
      <c r="AO47" s="128">
        <f t="shared" si="2"/>
        <v>3415.2888125402619</v>
      </c>
      <c r="AP47" s="128">
        <f t="shared" si="2"/>
        <v>3110.6190024253929</v>
      </c>
      <c r="AQ47" s="128">
        <f t="shared" si="2"/>
        <v>3437.9660314830162</v>
      </c>
      <c r="AR47" s="128">
        <f t="shared" si="2"/>
        <v>3290.282902829028</v>
      </c>
      <c r="AS47" s="128">
        <f t="shared" si="2"/>
        <v>3638.7024608501115</v>
      </c>
      <c r="AT47" s="128">
        <f t="shared" si="2"/>
        <v>3606.4</v>
      </c>
      <c r="AU47" s="128">
        <f t="shared" si="2"/>
        <v>3210.1350029348459</v>
      </c>
      <c r="AV47" s="128">
        <f t="shared" si="2"/>
        <v>4752.6654500048026</v>
      </c>
      <c r="AW47" s="128">
        <f t="shared" si="2"/>
        <v>6309.8511425049783</v>
      </c>
      <c r="AX47" s="128">
        <f t="shared" si="2"/>
        <v>4129.2392300641613</v>
      </c>
      <c r="AY47" s="128">
        <f t="shared" si="2"/>
        <v>4898.4836802878435</v>
      </c>
      <c r="AZ47" s="128">
        <f t="shared" si="2"/>
        <v>4609.6502007045146</v>
      </c>
      <c r="BA47" s="128">
        <f t="shared" si="2"/>
        <v>3466.0496289794937</v>
      </c>
      <c r="BB47" s="128">
        <f t="shared" si="2"/>
        <v>3446.2835727670208</v>
      </c>
      <c r="BC47" s="128">
        <f t="shared" si="2"/>
        <v>1961.1442557748205</v>
      </c>
    </row>
    <row r="48" spans="1:69" s="128" customFormat="1" x14ac:dyDescent="0.35">
      <c r="A48" s="128" t="str">
        <f t="shared" ref="A48:B48" si="12">A7</f>
        <v>DOD</v>
      </c>
      <c r="B48" s="128" t="str">
        <f t="shared" si="12"/>
        <v>Basic</v>
      </c>
      <c r="C48" s="128" t="s">
        <v>90</v>
      </c>
      <c r="D48" s="128">
        <f t="shared" si="4"/>
        <v>878.3029400818757</v>
      </c>
      <c r="E48" s="128">
        <f t="shared" si="1"/>
        <v>869.86778009742522</v>
      </c>
      <c r="F48" s="128">
        <f t="shared" si="1"/>
        <v>940.9474367293966</v>
      </c>
      <c r="G48" s="128">
        <f t="shared" si="1"/>
        <v>972.94010337488589</v>
      </c>
      <c r="H48" s="128">
        <f t="shared" si="1"/>
        <v>1026.7229254571027</v>
      </c>
      <c r="I48" s="128">
        <f t="shared" si="1"/>
        <v>1428.2018111254852</v>
      </c>
      <c r="J48" s="128">
        <f t="shared" si="1"/>
        <v>1449.1046182846371</v>
      </c>
      <c r="K48" s="128">
        <f t="shared" si="1"/>
        <v>1535.5805243445693</v>
      </c>
      <c r="L48" s="128">
        <f t="shared" si="1"/>
        <v>1661.3890648089507</v>
      </c>
      <c r="M48" s="128">
        <f t="shared" si="1"/>
        <v>1717.9539433462401</v>
      </c>
      <c r="N48" s="128">
        <f t="shared" si="1"/>
        <v>1678.1699861960167</v>
      </c>
      <c r="O48" s="128">
        <f t="shared" si="1"/>
        <v>1839.9228543876568</v>
      </c>
      <c r="P48" s="128">
        <f t="shared" si="1"/>
        <v>1686.4742501414828</v>
      </c>
      <c r="Q48" s="128">
        <f t="shared" si="1"/>
        <v>1638.9548693586698</v>
      </c>
      <c r="R48" s="128">
        <f t="shared" si="1"/>
        <v>1670.1791359325605</v>
      </c>
      <c r="S48" s="128">
        <f t="shared" si="1"/>
        <v>1578.005760759065</v>
      </c>
      <c r="T48" s="128">
        <f t="shared" si="1"/>
        <v>1889.4830688696222</v>
      </c>
      <c r="U48" s="128">
        <f t="shared" si="1"/>
        <v>1819.6792211937438</v>
      </c>
      <c r="V48" s="128">
        <f t="shared" si="1"/>
        <v>2045.7898019647589</v>
      </c>
      <c r="W48" s="128">
        <f t="shared" si="1"/>
        <v>1798.9974057683505</v>
      </c>
      <c r="X48" s="128">
        <f t="shared" si="1"/>
        <v>1755.5573819485953</v>
      </c>
      <c r="Y48" s="128">
        <f t="shared" si="1"/>
        <v>1611.9096509240246</v>
      </c>
      <c r="Z48" s="128">
        <f t="shared" si="1"/>
        <v>1487.2460008646781</v>
      </c>
      <c r="AA48" s="128">
        <f t="shared" si="1"/>
        <v>1440.2718474238541</v>
      </c>
      <c r="AB48" s="128">
        <f t="shared" ref="AB48" si="13">AB7/AB$40</f>
        <v>1495.2776606213972</v>
      </c>
      <c r="AC48" s="128">
        <f t="shared" si="2"/>
        <v>1564.5227930037186</v>
      </c>
      <c r="AD48" s="128">
        <f t="shared" si="2"/>
        <v>1731.0232620680383</v>
      </c>
      <c r="AE48" s="128">
        <f t="shared" si="2"/>
        <v>1787.1326449563146</v>
      </c>
      <c r="AF48" s="128">
        <f t="shared" si="2"/>
        <v>1777.6425509806468</v>
      </c>
      <c r="AG48" s="128">
        <f t="shared" si="2"/>
        <v>1721.805502726005</v>
      </c>
      <c r="AH48" s="128">
        <f t="shared" si="2"/>
        <v>1826.7503383782453</v>
      </c>
      <c r="AI48" s="128">
        <f t="shared" si="2"/>
        <v>1736.7238708139676</v>
      </c>
      <c r="AJ48" s="128">
        <f t="shared" si="2"/>
        <v>1768.3924843423802</v>
      </c>
      <c r="AK48" s="128">
        <f t="shared" si="2"/>
        <v>1807.3173503011021</v>
      </c>
      <c r="AL48" s="128">
        <f t="shared" si="2"/>
        <v>1965.7617441789603</v>
      </c>
      <c r="AM48" s="128">
        <f t="shared" si="2"/>
        <v>2023.5169491525423</v>
      </c>
      <c r="AN48" s="128">
        <f t="shared" si="2"/>
        <v>2051.6265850459117</v>
      </c>
      <c r="AO48" s="128">
        <f t="shared" si="2"/>
        <v>2158.2027056044667</v>
      </c>
      <c r="AP48" s="128">
        <f t="shared" si="2"/>
        <v>2005.0321628176737</v>
      </c>
      <c r="AQ48" s="128">
        <f t="shared" si="2"/>
        <v>2178.5501242750624</v>
      </c>
      <c r="AR48" s="128">
        <f t="shared" si="2"/>
        <v>2268.8581385813859</v>
      </c>
      <c r="AS48" s="128">
        <f t="shared" si="2"/>
        <v>2267.9723408582468</v>
      </c>
      <c r="AT48" s="128">
        <f t="shared" si="2"/>
        <v>2204.1320000000001</v>
      </c>
      <c r="AU48" s="128">
        <f t="shared" si="2"/>
        <v>2220.6466444922712</v>
      </c>
      <c r="AV48" s="128">
        <f t="shared" si="2"/>
        <v>2382.7221208337337</v>
      </c>
      <c r="AW48" s="128">
        <f t="shared" si="2"/>
        <v>2414.7321513226511</v>
      </c>
      <c r="AX48" s="128">
        <f t="shared" si="2"/>
        <v>2328.5151237396881</v>
      </c>
      <c r="AY48" s="128">
        <f t="shared" si="2"/>
        <v>2297.7203803649445</v>
      </c>
      <c r="AZ48" s="128">
        <f t="shared" si="2"/>
        <v>2435.4386827230278</v>
      </c>
      <c r="BA48" s="128">
        <f t="shared" si="2"/>
        <v>2111.7545679406367</v>
      </c>
      <c r="BB48" s="128">
        <f t="shared" si="2"/>
        <v>1948.5133164103413</v>
      </c>
      <c r="BC48" s="128">
        <f t="shared" si="2"/>
        <v>1622.3581153434297</v>
      </c>
    </row>
    <row r="49" spans="1:55" s="128" customFormat="1" x14ac:dyDescent="0.35">
      <c r="A49" s="128" t="str">
        <f t="shared" ref="A49:B49" si="14">A8</f>
        <v>USDA</v>
      </c>
      <c r="B49" s="128" t="str">
        <f t="shared" si="14"/>
        <v>Basic</v>
      </c>
      <c r="C49" s="128" t="s">
        <v>90</v>
      </c>
      <c r="D49" s="128">
        <f t="shared" si="4"/>
        <v>573.12988462969861</v>
      </c>
      <c r="E49" s="128">
        <f t="shared" si="1"/>
        <v>612.3869171885874</v>
      </c>
      <c r="F49" s="128">
        <f t="shared" si="1"/>
        <v>632.70603504218047</v>
      </c>
      <c r="G49" s="128">
        <f t="shared" si="1"/>
        <v>693.21982365460622</v>
      </c>
      <c r="H49" s="128">
        <f t="shared" si="1"/>
        <v>717.29957805907179</v>
      </c>
      <c r="I49" s="128">
        <f t="shared" si="1"/>
        <v>724.45019404915911</v>
      </c>
      <c r="J49" s="128">
        <f t="shared" si="1"/>
        <v>751.64938737040529</v>
      </c>
      <c r="K49" s="128">
        <f t="shared" si="1"/>
        <v>735.84489975765587</v>
      </c>
      <c r="L49" s="128">
        <f t="shared" si="1"/>
        <v>770.52987122651462</v>
      </c>
      <c r="M49" s="128">
        <f t="shared" si="1"/>
        <v>802.93458324842061</v>
      </c>
      <c r="N49" s="128">
        <f t="shared" si="1"/>
        <v>887.39893512127787</v>
      </c>
      <c r="O49" s="128">
        <f t="shared" si="1"/>
        <v>835.10125361620067</v>
      </c>
      <c r="P49" s="128">
        <f t="shared" si="1"/>
        <v>845.12356159215244</v>
      </c>
      <c r="Q49" s="128">
        <f t="shared" si="1"/>
        <v>875.20555454047144</v>
      </c>
      <c r="R49" s="128">
        <f t="shared" si="1"/>
        <v>858.6231120477695</v>
      </c>
      <c r="S49" s="128">
        <f t="shared" si="1"/>
        <v>875.97424601829891</v>
      </c>
      <c r="T49" s="128">
        <f t="shared" si="1"/>
        <v>904.62947816129565</v>
      </c>
      <c r="U49" s="128">
        <f t="shared" si="1"/>
        <v>952.76093201404399</v>
      </c>
      <c r="V49" s="128">
        <f t="shared" si="1"/>
        <v>969.90488071105574</v>
      </c>
      <c r="W49" s="128">
        <f t="shared" si="1"/>
        <v>915.61117045627952</v>
      </c>
      <c r="X49" s="128">
        <f t="shared" si="1"/>
        <v>896.5929468021518</v>
      </c>
      <c r="Y49" s="128">
        <f t="shared" si="1"/>
        <v>853.62276327368738</v>
      </c>
      <c r="Z49" s="128">
        <f t="shared" si="1"/>
        <v>838.73757025508007</v>
      </c>
      <c r="AA49" s="128">
        <f t="shared" si="1"/>
        <v>863.93395957870769</v>
      </c>
      <c r="AB49" s="128">
        <f t="shared" ref="AB49" si="15">AB8/AB$40</f>
        <v>891.32574159988746</v>
      </c>
      <c r="AC49" s="128">
        <f t="shared" si="2"/>
        <v>942.01900564660514</v>
      </c>
      <c r="AD49" s="128">
        <f t="shared" si="2"/>
        <v>1077.0471964501814</v>
      </c>
      <c r="AE49" s="128">
        <f t="shared" si="2"/>
        <v>1055.070161503839</v>
      </c>
      <c r="AF49" s="128">
        <f t="shared" si="2"/>
        <v>1130.6948954409663</v>
      </c>
      <c r="AG49" s="128">
        <f t="shared" si="2"/>
        <v>1051.6774438950172</v>
      </c>
      <c r="AH49" s="128">
        <f t="shared" si="2"/>
        <v>1031.1307985726592</v>
      </c>
      <c r="AI49" s="128">
        <f t="shared" si="2"/>
        <v>1016.5296150637589</v>
      </c>
      <c r="AJ49" s="128">
        <f t="shared" si="2"/>
        <v>1033.4029227557412</v>
      </c>
      <c r="AK49" s="128">
        <f t="shared" si="2"/>
        <v>994.20520395409608</v>
      </c>
      <c r="AL49" s="128">
        <f t="shared" si="2"/>
        <v>1020.1327184793612</v>
      </c>
      <c r="AM49" s="128">
        <f t="shared" si="2"/>
        <v>1105.0401427297056</v>
      </c>
      <c r="AN49" s="128">
        <f t="shared" si="2"/>
        <v>1019.8950590292961</v>
      </c>
      <c r="AO49" s="128">
        <f t="shared" si="2"/>
        <v>995.27592870946955</v>
      </c>
      <c r="AP49" s="128">
        <f t="shared" si="2"/>
        <v>875.25044817041021</v>
      </c>
      <c r="AQ49" s="128">
        <f t="shared" si="2"/>
        <v>1027.3405136702568</v>
      </c>
      <c r="AR49" s="128">
        <f t="shared" si="2"/>
        <v>1017.8351783517835</v>
      </c>
      <c r="AS49" s="128">
        <f t="shared" si="2"/>
        <v>1048.4034980679276</v>
      </c>
      <c r="AT49" s="128">
        <f t="shared" si="2"/>
        <v>1119</v>
      </c>
      <c r="AU49" s="128">
        <f t="shared" si="2"/>
        <v>1061.4361181764821</v>
      </c>
      <c r="AV49" s="128">
        <f t="shared" si="2"/>
        <v>1165.1138219191241</v>
      </c>
      <c r="AW49" s="128">
        <f t="shared" si="2"/>
        <v>1005.9732625391107</v>
      </c>
      <c r="AX49" s="128">
        <f t="shared" si="2"/>
        <v>1522.4564619615032</v>
      </c>
      <c r="AY49" s="128">
        <f t="shared" si="2"/>
        <v>1254.1763042919558</v>
      </c>
      <c r="AZ49" s="128">
        <f t="shared" si="2"/>
        <v>1145.2445318260015</v>
      </c>
      <c r="BA49" s="128">
        <f t="shared" si="2"/>
        <v>1107.4762626665602</v>
      </c>
      <c r="BB49" s="128">
        <f t="shared" si="2"/>
        <v>1109.4628357276702</v>
      </c>
      <c r="BC49" s="128">
        <f t="shared" si="2"/>
        <v>817.65335780939279</v>
      </c>
    </row>
    <row r="50" spans="1:55" s="128" customFormat="1" x14ac:dyDescent="0.35">
      <c r="A50" s="128" t="str">
        <f t="shared" ref="A50:B50" si="16">A9</f>
        <v>Other</v>
      </c>
      <c r="B50" s="128" t="str">
        <f t="shared" si="16"/>
        <v>Basic</v>
      </c>
      <c r="C50" s="128" t="s">
        <v>90</v>
      </c>
      <c r="D50" s="128">
        <f t="shared" si="4"/>
        <v>703.38667659099372</v>
      </c>
      <c r="E50" s="128">
        <f t="shared" si="1"/>
        <v>706.33263743910925</v>
      </c>
      <c r="F50" s="128">
        <f t="shared" si="1"/>
        <v>1002.5957170668398</v>
      </c>
      <c r="G50" s="128">
        <f t="shared" si="1"/>
        <v>1425.9653390088172</v>
      </c>
      <c r="H50" s="128">
        <f t="shared" si="1"/>
        <v>1108.2981715893109</v>
      </c>
      <c r="I50" s="128">
        <f t="shared" si="1"/>
        <v>913.32470892626134</v>
      </c>
      <c r="J50" s="128">
        <f t="shared" si="1"/>
        <v>935.43826578699338</v>
      </c>
      <c r="K50" s="128">
        <f t="shared" si="1"/>
        <v>500.11015642211936</v>
      </c>
      <c r="L50" s="128">
        <f t="shared" si="1"/>
        <v>512.98290056998098</v>
      </c>
      <c r="M50" s="128">
        <f t="shared" si="1"/>
        <v>573.67026696555934</v>
      </c>
      <c r="N50" s="128">
        <f t="shared" si="1"/>
        <v>763.95188325773938</v>
      </c>
      <c r="O50" s="128">
        <f t="shared" si="1"/>
        <v>605.59305689488917</v>
      </c>
      <c r="P50" s="128">
        <f t="shared" si="1"/>
        <v>558.38521033767211</v>
      </c>
      <c r="Q50" s="128">
        <f t="shared" si="1"/>
        <v>562.76265302393563</v>
      </c>
      <c r="R50" s="128">
        <f t="shared" si="1"/>
        <v>764.13768879522047</v>
      </c>
      <c r="S50" s="128">
        <f t="shared" si="1"/>
        <v>781.36394442562164</v>
      </c>
      <c r="T50" s="128">
        <f t="shared" si="1"/>
        <v>847.30737771961526</v>
      </c>
      <c r="U50" s="128">
        <f t="shared" si="1"/>
        <v>818.36737950845941</v>
      </c>
      <c r="V50" s="128">
        <f t="shared" si="1"/>
        <v>789.07687509745813</v>
      </c>
      <c r="W50" s="128">
        <f t="shared" si="1"/>
        <v>830.33267205859943</v>
      </c>
      <c r="X50" s="128">
        <f t="shared" si="1"/>
        <v>603.97638971906827</v>
      </c>
      <c r="Y50" s="128">
        <f t="shared" si="1"/>
        <v>522.76456962411135</v>
      </c>
      <c r="Z50" s="128">
        <f t="shared" si="1"/>
        <v>498.19605308780166</v>
      </c>
      <c r="AA50" s="128">
        <f t="shared" si="1"/>
        <v>465.9294050668932</v>
      </c>
      <c r="AB50" s="128">
        <f t="shared" ref="AB50" si="17">AB9/AB$40</f>
        <v>809.61181515554858</v>
      </c>
      <c r="AC50" s="128">
        <f t="shared" si="2"/>
        <v>828.81012979206253</v>
      </c>
      <c r="AD50" s="128">
        <f t="shared" si="2"/>
        <v>957.06260033892829</v>
      </c>
      <c r="AE50" s="128">
        <f t="shared" si="2"/>
        <v>1560.7411839533909</v>
      </c>
      <c r="AF50" s="128">
        <f t="shared" si="2"/>
        <v>988.61410572800946</v>
      </c>
      <c r="AG50" s="128">
        <f t="shared" si="2"/>
        <v>1000.2878153924268</v>
      </c>
      <c r="AH50" s="128">
        <f t="shared" si="2"/>
        <v>951.53852238568322</v>
      </c>
      <c r="AI50" s="128">
        <f t="shared" si="2"/>
        <v>924.82659992849585</v>
      </c>
      <c r="AJ50" s="128">
        <f t="shared" si="2"/>
        <v>1202.1969380654205</v>
      </c>
      <c r="AK50" s="128">
        <f t="shared" si="2"/>
        <v>1146.0731137011949</v>
      </c>
      <c r="AL50" s="128">
        <f t="shared" si="2"/>
        <v>1192.4282762255705</v>
      </c>
      <c r="AM50" s="128">
        <f t="shared" si="2"/>
        <v>1110.6353007839723</v>
      </c>
      <c r="AN50" s="128">
        <f t="shared" si="2"/>
        <v>1266.7730104940995</v>
      </c>
      <c r="AO50" s="128">
        <f t="shared" si="2"/>
        <v>1312.0721494524355</v>
      </c>
      <c r="AP50" s="128">
        <f t="shared" si="2"/>
        <v>1139.0540968048094</v>
      </c>
      <c r="AQ50" s="128">
        <f t="shared" si="2"/>
        <v>1109.2750621375328</v>
      </c>
      <c r="AR50" s="128">
        <f t="shared" si="2"/>
        <v>1131.8552685526868</v>
      </c>
      <c r="AS50" s="128">
        <f t="shared" si="2"/>
        <v>1165.4034878991281</v>
      </c>
      <c r="AT50" s="128">
        <f t="shared" si="2"/>
        <v>1220.4340000000011</v>
      </c>
      <c r="AU50" s="128">
        <f t="shared" si="2"/>
        <v>1299.7906476227749</v>
      </c>
      <c r="AV50" s="128">
        <f t="shared" si="2"/>
        <v>1305.4442416674724</v>
      </c>
      <c r="AW50" s="128">
        <f t="shared" si="2"/>
        <v>1289.4443917701706</v>
      </c>
      <c r="AX50" s="128">
        <f t="shared" si="2"/>
        <v>1273.1439046746104</v>
      </c>
      <c r="AY50" s="128">
        <f t="shared" si="2"/>
        <v>1279.8766383962991</v>
      </c>
      <c r="AZ50" s="128">
        <f t="shared" si="2"/>
        <v>1321.3729827148359</v>
      </c>
      <c r="BA50" s="128">
        <f t="shared" si="2"/>
        <v>1223.9687225724088</v>
      </c>
      <c r="BB50" s="128">
        <f t="shared" si="2"/>
        <v>1193.7851342910681</v>
      </c>
      <c r="BC50" s="128">
        <f t="shared" si="2"/>
        <v>1061.6490744990058</v>
      </c>
    </row>
    <row r="51" spans="1:55" s="128" customFormat="1" x14ac:dyDescent="0.35">
      <c r="A51" s="128" t="str">
        <f t="shared" ref="A51:B51" si="18">A10</f>
        <v>ARRA</v>
      </c>
      <c r="B51" s="128" t="str">
        <f t="shared" si="18"/>
        <v>Basic</v>
      </c>
      <c r="C51" s="128" t="s">
        <v>90</v>
      </c>
      <c r="D51" s="128">
        <f t="shared" si="4"/>
        <v>0</v>
      </c>
      <c r="E51" s="128">
        <f t="shared" si="1"/>
        <v>0</v>
      </c>
      <c r="F51" s="128">
        <f t="shared" si="1"/>
        <v>0</v>
      </c>
      <c r="G51" s="128">
        <f t="shared" si="1"/>
        <v>0</v>
      </c>
      <c r="H51" s="128">
        <f t="shared" si="1"/>
        <v>0</v>
      </c>
      <c r="I51" s="128">
        <f t="shared" si="1"/>
        <v>0</v>
      </c>
      <c r="J51" s="128">
        <f t="shared" si="1"/>
        <v>0</v>
      </c>
      <c r="K51" s="128">
        <f t="shared" si="1"/>
        <v>0</v>
      </c>
      <c r="L51" s="128">
        <f t="shared" si="1"/>
        <v>0</v>
      </c>
      <c r="M51" s="128">
        <f t="shared" si="1"/>
        <v>0</v>
      </c>
      <c r="N51" s="128">
        <f t="shared" si="1"/>
        <v>0</v>
      </c>
      <c r="O51" s="128">
        <f t="shared" si="1"/>
        <v>0</v>
      </c>
      <c r="P51" s="128">
        <f t="shared" si="1"/>
        <v>0</v>
      </c>
      <c r="Q51" s="128">
        <f t="shared" si="1"/>
        <v>0</v>
      </c>
      <c r="R51" s="128">
        <f t="shared" si="1"/>
        <v>0</v>
      </c>
      <c r="S51" s="128">
        <f t="shared" si="1"/>
        <v>0</v>
      </c>
      <c r="T51" s="128">
        <f t="shared" si="1"/>
        <v>0</v>
      </c>
      <c r="U51" s="128">
        <f t="shared" si="1"/>
        <v>0</v>
      </c>
      <c r="V51" s="128">
        <f t="shared" si="1"/>
        <v>0</v>
      </c>
      <c r="W51" s="128">
        <f t="shared" si="1"/>
        <v>0</v>
      </c>
      <c r="X51" s="128">
        <f t="shared" si="1"/>
        <v>0</v>
      </c>
      <c r="Y51" s="128">
        <f t="shared" si="1"/>
        <v>0</v>
      </c>
      <c r="Z51" s="128">
        <f t="shared" si="1"/>
        <v>0</v>
      </c>
      <c r="AA51" s="128">
        <f t="shared" si="1"/>
        <v>0</v>
      </c>
      <c r="AB51" s="128">
        <f t="shared" ref="AB51" si="19">AB10/AB$40</f>
        <v>0</v>
      </c>
      <c r="AC51" s="128">
        <f t="shared" si="2"/>
        <v>0</v>
      </c>
      <c r="AD51" s="128">
        <f t="shared" si="2"/>
        <v>0</v>
      </c>
      <c r="AE51" s="128">
        <f t="shared" si="2"/>
        <v>0</v>
      </c>
      <c r="AF51" s="128">
        <f t="shared" si="2"/>
        <v>0</v>
      </c>
      <c r="AG51" s="128">
        <f t="shared" si="2"/>
        <v>0</v>
      </c>
      <c r="AH51" s="128">
        <f t="shared" si="2"/>
        <v>0</v>
      </c>
      <c r="AI51" s="128">
        <f t="shared" si="2"/>
        <v>0</v>
      </c>
      <c r="AJ51" s="128">
        <f t="shared" si="2"/>
        <v>0</v>
      </c>
      <c r="AK51" s="128">
        <f t="shared" si="2"/>
        <v>0</v>
      </c>
      <c r="AL51" s="128">
        <f t="shared" si="2"/>
        <v>9267.7988977617824</v>
      </c>
      <c r="AM51" s="128">
        <f t="shared" si="2"/>
        <v>0</v>
      </c>
      <c r="AN51" s="128">
        <f t="shared" si="2"/>
        <v>0</v>
      </c>
      <c r="AO51" s="128">
        <f t="shared" si="2"/>
        <v>0</v>
      </c>
      <c r="AP51" s="128">
        <f t="shared" si="2"/>
        <v>0</v>
      </c>
      <c r="AQ51" s="128">
        <f t="shared" si="2"/>
        <v>0</v>
      </c>
      <c r="AR51" s="128">
        <f t="shared" si="2"/>
        <v>0</v>
      </c>
      <c r="AS51" s="128">
        <f t="shared" si="2"/>
        <v>0</v>
      </c>
      <c r="AT51" s="128">
        <f t="shared" si="2"/>
        <v>0</v>
      </c>
      <c r="AU51" s="128">
        <f t="shared" si="2"/>
        <v>0</v>
      </c>
      <c r="AV51" s="128">
        <f t="shared" si="2"/>
        <v>0</v>
      </c>
      <c r="AW51" s="128">
        <f t="shared" si="2"/>
        <v>0</v>
      </c>
      <c r="AX51" s="128">
        <f t="shared" ref="AC51:BC59" si="20">AX10/AX$40</f>
        <v>0</v>
      </c>
      <c r="AY51" s="128">
        <f t="shared" si="20"/>
        <v>0</v>
      </c>
      <c r="AZ51" s="128">
        <f t="shared" si="20"/>
        <v>0</v>
      </c>
      <c r="BA51" s="128">
        <f t="shared" si="20"/>
        <v>0</v>
      </c>
      <c r="BB51" s="128">
        <f t="shared" si="20"/>
        <v>0</v>
      </c>
      <c r="BC51" s="128">
        <f t="shared" si="20"/>
        <v>0</v>
      </c>
    </row>
    <row r="52" spans="1:55" s="128" customFormat="1" x14ac:dyDescent="0.35">
      <c r="A52" s="128" t="str">
        <f t="shared" ref="A52:B52" si="21">A11</f>
        <v>All</v>
      </c>
      <c r="B52" s="128" t="str">
        <f t="shared" si="21"/>
        <v>Applied</v>
      </c>
      <c r="C52" s="128" t="s">
        <v>90</v>
      </c>
      <c r="D52" s="128">
        <f t="shared" si="4"/>
        <v>17058.831410494975</v>
      </c>
      <c r="E52" s="128">
        <f t="shared" si="1"/>
        <v>17920.431454418929</v>
      </c>
      <c r="F52" s="128">
        <f t="shared" si="1"/>
        <v>18241.774821544452</v>
      </c>
      <c r="G52" s="128">
        <f t="shared" si="1"/>
        <v>17101.726968683488</v>
      </c>
      <c r="H52" s="128">
        <f t="shared" si="1"/>
        <v>16998.607594936708</v>
      </c>
      <c r="I52" s="128">
        <f t="shared" si="1"/>
        <v>16790.111254851232</v>
      </c>
      <c r="J52" s="128">
        <f t="shared" si="1"/>
        <v>16743.119698397739</v>
      </c>
      <c r="K52" s="128">
        <f t="shared" si="1"/>
        <v>16704.527428949106</v>
      </c>
      <c r="L52" s="128">
        <f t="shared" si="1"/>
        <v>16910.491872493138</v>
      </c>
      <c r="M52" s="128">
        <f t="shared" si="1"/>
        <v>16128.591807621762</v>
      </c>
      <c r="N52" s="128">
        <f t="shared" si="1"/>
        <v>16442.516268980478</v>
      </c>
      <c r="O52" s="128">
        <f t="shared" si="1"/>
        <v>16087.174541947928</v>
      </c>
      <c r="P52" s="128">
        <f t="shared" si="1"/>
        <v>16839.275608375778</v>
      </c>
      <c r="Q52" s="128">
        <f t="shared" si="1"/>
        <v>16707.655764662886</v>
      </c>
      <c r="R52" s="128">
        <f t="shared" si="1"/>
        <v>17821.566561292588</v>
      </c>
      <c r="S52" s="128">
        <f t="shared" si="1"/>
        <v>17525.75398170112</v>
      </c>
      <c r="T52" s="128">
        <f t="shared" si="1"/>
        <v>18912.808768198924</v>
      </c>
      <c r="U52" s="128">
        <f t="shared" si="1"/>
        <v>18428.981806575164</v>
      </c>
      <c r="V52" s="128">
        <f t="shared" si="1"/>
        <v>20967.565881802588</v>
      </c>
      <c r="W52" s="128">
        <f t="shared" si="1"/>
        <v>20934.228597588892</v>
      </c>
      <c r="X52" s="128">
        <f t="shared" si="1"/>
        <v>21344.590787758068</v>
      </c>
      <c r="Y52" s="128">
        <f t="shared" si="1"/>
        <v>20734.18594183492</v>
      </c>
      <c r="Z52" s="128">
        <f t="shared" si="1"/>
        <v>20788.10168433834</v>
      </c>
      <c r="AA52" s="128">
        <f t="shared" si="1"/>
        <v>22003.886991175634</v>
      </c>
      <c r="AB52" s="128">
        <f t="shared" ref="AB52" si="22">AB11/AB$40</f>
        <v>22483.025609278586</v>
      </c>
      <c r="AC52" s="128">
        <f t="shared" si="20"/>
        <v>26105.148053271259</v>
      </c>
      <c r="AD52" s="128">
        <f t="shared" si="20"/>
        <v>30187.294164509356</v>
      </c>
      <c r="AE52" s="128">
        <f t="shared" si="20"/>
        <v>32309.898627893566</v>
      </c>
      <c r="AF52" s="128">
        <f t="shared" si="20"/>
        <v>35674.890107349587</v>
      </c>
      <c r="AG52" s="128">
        <f t="shared" si="20"/>
        <v>36512.083679913667</v>
      </c>
      <c r="AH52" s="128">
        <f t="shared" si="20"/>
        <v>35501.791575164287</v>
      </c>
      <c r="AI52" s="128">
        <f t="shared" si="20"/>
        <v>33737.796533929759</v>
      </c>
      <c r="AJ52" s="128">
        <f t="shared" si="20"/>
        <v>33169.332513598303</v>
      </c>
      <c r="AK52" s="128">
        <f t="shared" si="20"/>
        <v>31932.666825002882</v>
      </c>
      <c r="AL52" s="128">
        <f t="shared" si="20"/>
        <v>33956.810257563826</v>
      </c>
      <c r="AM52" s="128">
        <f t="shared" si="20"/>
        <v>35455.066951981476</v>
      </c>
      <c r="AN52" s="128">
        <f t="shared" si="20"/>
        <v>35445.618583126794</v>
      </c>
      <c r="AO52" s="128">
        <f t="shared" si="20"/>
        <v>35780.952252348063</v>
      </c>
      <c r="AP52" s="128">
        <f t="shared" si="20"/>
        <v>34764.431952220373</v>
      </c>
      <c r="AQ52" s="128">
        <f t="shared" si="20"/>
        <v>36028.574179298608</v>
      </c>
      <c r="AR52" s="128">
        <f t="shared" si="20"/>
        <v>37003.698465871828</v>
      </c>
      <c r="AS52" s="128">
        <f t="shared" si="20"/>
        <v>40069.695172586325</v>
      </c>
      <c r="AT52" s="128">
        <f t="shared" si="20"/>
        <v>40631.842931385152</v>
      </c>
      <c r="AU52" s="128">
        <f t="shared" si="20"/>
        <v>42481.918092349842</v>
      </c>
      <c r="AV52" s="128">
        <f t="shared" si="20"/>
        <v>43888.633331092111</v>
      </c>
      <c r="AW52" s="128">
        <f t="shared" si="20"/>
        <v>44314.520775139848</v>
      </c>
      <c r="AX52" s="128">
        <f t="shared" si="20"/>
        <v>40929.845252062332</v>
      </c>
      <c r="AY52" s="128">
        <f t="shared" si="20"/>
        <v>41113.4232845027</v>
      </c>
      <c r="AZ52" s="128">
        <f t="shared" si="20"/>
        <v>40898.574589002128</v>
      </c>
      <c r="BA52" s="128">
        <f t="shared" si="20"/>
        <v>42737.2033830687</v>
      </c>
      <c r="BB52" s="128">
        <f t="shared" si="20"/>
        <v>40121.543716467582</v>
      </c>
      <c r="BC52" s="128">
        <f t="shared" si="20"/>
        <v>25190.185865075724</v>
      </c>
    </row>
    <row r="53" spans="1:55" s="128" customFormat="1" x14ac:dyDescent="0.35">
      <c r="A53" s="128" t="str">
        <f t="shared" ref="A53:B53" si="23">A12</f>
        <v>NIH</v>
      </c>
      <c r="B53" s="128" t="str">
        <f t="shared" si="23"/>
        <v>Applied</v>
      </c>
      <c r="C53" s="128" t="s">
        <v>90</v>
      </c>
      <c r="D53" s="128">
        <f t="shared" si="4"/>
        <v>3767.0896911053223</v>
      </c>
      <c r="E53" s="128">
        <f t="shared" si="1"/>
        <v>3861.1412665274879</v>
      </c>
      <c r="F53" s="128">
        <f t="shared" si="1"/>
        <v>4216.9305645684617</v>
      </c>
      <c r="G53" s="128">
        <f t="shared" si="1"/>
        <v>3273.3231985405896</v>
      </c>
      <c r="H53" s="128">
        <f t="shared" si="1"/>
        <v>3001.71870604782</v>
      </c>
      <c r="I53" s="128">
        <f t="shared" si="1"/>
        <v>2958.525226390685</v>
      </c>
      <c r="J53" s="128">
        <f t="shared" si="1"/>
        <v>2781.1239396795481</v>
      </c>
      <c r="K53" s="128">
        <f t="shared" si="1"/>
        <v>2578.6560916501435</v>
      </c>
      <c r="L53" s="128">
        <f t="shared" si="1"/>
        <v>2117.8066286679332</v>
      </c>
      <c r="M53" s="128">
        <f t="shared" si="1"/>
        <v>2236.4316282861214</v>
      </c>
      <c r="N53" s="128">
        <f t="shared" si="1"/>
        <v>2337.0143955827261</v>
      </c>
      <c r="O53" s="128">
        <f t="shared" si="1"/>
        <v>2437.0298939247841</v>
      </c>
      <c r="P53" s="128">
        <f t="shared" si="1"/>
        <v>2744.1992076966608</v>
      </c>
      <c r="Q53" s="128">
        <f t="shared" si="1"/>
        <v>2911.9312991046954</v>
      </c>
      <c r="R53" s="128">
        <f t="shared" si="1"/>
        <v>2896.0309097295399</v>
      </c>
      <c r="S53" s="128">
        <f t="shared" si="1"/>
        <v>2841.0708234496788</v>
      </c>
      <c r="T53" s="128">
        <f t="shared" si="1"/>
        <v>2882.3818092589568</v>
      </c>
      <c r="U53" s="128">
        <f t="shared" si="1"/>
        <v>3073.2524736674109</v>
      </c>
      <c r="V53" s="128">
        <f t="shared" si="1"/>
        <v>4569.6242008420395</v>
      </c>
      <c r="W53" s="128">
        <f t="shared" si="1"/>
        <v>4872.1196398596076</v>
      </c>
      <c r="X53" s="128">
        <f t="shared" si="1"/>
        <v>4869.7833233711899</v>
      </c>
      <c r="Y53" s="128">
        <f t="shared" si="1"/>
        <v>5044.2006453505437</v>
      </c>
      <c r="Z53" s="128">
        <f t="shared" si="1"/>
        <v>5288.1625594466068</v>
      </c>
      <c r="AA53" s="128">
        <f t="shared" si="1"/>
        <v>5599.5274693993742</v>
      </c>
      <c r="AB53" s="128">
        <f t="shared" ref="AB53" si="24">AB12/AB$40</f>
        <v>5967.4455222831439</v>
      </c>
      <c r="AC53" s="128">
        <f t="shared" si="20"/>
        <v>9496.9660332217045</v>
      </c>
      <c r="AD53" s="128">
        <f t="shared" si="20"/>
        <v>10652.709595290671</v>
      </c>
      <c r="AE53" s="128">
        <f t="shared" si="20"/>
        <v>12370.772192042879</v>
      </c>
      <c r="AF53" s="128">
        <f t="shared" si="20"/>
        <v>14413.829438359089</v>
      </c>
      <c r="AG53" s="128">
        <f t="shared" si="20"/>
        <v>15453.802397333484</v>
      </c>
      <c r="AH53" s="128">
        <f t="shared" si="20"/>
        <v>14463.755657433256</v>
      </c>
      <c r="AI53" s="128">
        <f t="shared" si="20"/>
        <v>14414.042627764306</v>
      </c>
      <c r="AJ53" s="128">
        <f t="shared" si="20"/>
        <v>14627.081983139431</v>
      </c>
      <c r="AK53" s="128">
        <f t="shared" si="20"/>
        <v>14201.335075559595</v>
      </c>
      <c r="AL53" s="128">
        <f t="shared" si="20"/>
        <v>15582.771341806321</v>
      </c>
      <c r="AM53" s="128">
        <f t="shared" si="20"/>
        <v>15832.934920433418</v>
      </c>
      <c r="AN53" s="128">
        <f t="shared" si="20"/>
        <v>15044.818539571492</v>
      </c>
      <c r="AO53" s="128">
        <f t="shared" si="20"/>
        <v>15004.968864075585</v>
      </c>
      <c r="AP53" s="128">
        <f t="shared" si="20"/>
        <v>13694.933574818095</v>
      </c>
      <c r="AQ53" s="128">
        <f t="shared" si="20"/>
        <v>13805.207125103563</v>
      </c>
      <c r="AR53" s="128">
        <f t="shared" si="20"/>
        <v>14017.584129766294</v>
      </c>
      <c r="AS53" s="128">
        <f t="shared" si="20"/>
        <v>15275.434560707747</v>
      </c>
      <c r="AT53" s="128">
        <f t="shared" si="20"/>
        <v>15794</v>
      </c>
      <c r="AU53" s="128">
        <f t="shared" si="20"/>
        <v>16710.695239679124</v>
      </c>
      <c r="AV53" s="128">
        <f t="shared" si="20"/>
        <v>17177.090049947172</v>
      </c>
      <c r="AW53" s="128">
        <f t="shared" si="20"/>
        <v>19841.66113586802</v>
      </c>
      <c r="AX53" s="128">
        <f t="shared" si="20"/>
        <v>17920.256645279562</v>
      </c>
      <c r="AY53" s="128">
        <f t="shared" si="20"/>
        <v>18580.48487963677</v>
      </c>
      <c r="AZ53" s="128">
        <f t="shared" si="20"/>
        <v>18895.71557303187</v>
      </c>
      <c r="BA53" s="128">
        <f t="shared" si="20"/>
        <v>19822.069735897228</v>
      </c>
      <c r="BB53" s="128">
        <f t="shared" si="20"/>
        <v>20224.859462835728</v>
      </c>
      <c r="BC53" s="128">
        <f t="shared" si="20"/>
        <v>12725.256233746368</v>
      </c>
    </row>
    <row r="54" spans="1:55" s="128" customFormat="1" x14ac:dyDescent="0.35">
      <c r="A54" s="128" t="str">
        <f t="shared" ref="A54:B54" si="25">A13</f>
        <v>NSF</v>
      </c>
      <c r="B54" s="128" t="str">
        <f t="shared" si="25"/>
        <v>Applied</v>
      </c>
      <c r="C54" s="128" t="s">
        <v>90</v>
      </c>
      <c r="D54" s="128">
        <f t="shared" si="4"/>
        <v>312.67212504652025</v>
      </c>
      <c r="E54" s="128">
        <f t="shared" si="1"/>
        <v>190.5915100904661</v>
      </c>
      <c r="F54" s="128">
        <f t="shared" si="1"/>
        <v>205.38611291369227</v>
      </c>
      <c r="G54" s="128">
        <f t="shared" si="1"/>
        <v>199.15475828519291</v>
      </c>
      <c r="H54" s="128">
        <f t="shared" si="1"/>
        <v>188.5372714486638</v>
      </c>
      <c r="I54" s="128">
        <f t="shared" si="1"/>
        <v>113.03234152652009</v>
      </c>
      <c r="J54" s="128">
        <f t="shared" si="1"/>
        <v>180.16965127238467</v>
      </c>
      <c r="K54" s="128">
        <f t="shared" si="1"/>
        <v>132.55122273628544</v>
      </c>
      <c r="L54" s="128">
        <f t="shared" si="1"/>
        <v>145.64070086552672</v>
      </c>
      <c r="M54" s="128">
        <f t="shared" si="1"/>
        <v>144.32443448135302</v>
      </c>
      <c r="N54" s="128">
        <f t="shared" si="1"/>
        <v>164.85900216919723</v>
      </c>
      <c r="O54" s="128">
        <f t="shared" si="1"/>
        <v>187.65670202507226</v>
      </c>
      <c r="P54" s="128">
        <f t="shared" si="1"/>
        <v>165.06319562346727</v>
      </c>
      <c r="Q54" s="128">
        <f t="shared" si="1"/>
        <v>200.62123150009128</v>
      </c>
      <c r="R54" s="128">
        <f t="shared" si="1"/>
        <v>188.79522304179838</v>
      </c>
      <c r="S54" s="128">
        <f t="shared" si="1"/>
        <v>203.82921043713989</v>
      </c>
      <c r="T54" s="128">
        <f t="shared" si="1"/>
        <v>57.582201864878208</v>
      </c>
      <c r="U54" s="128">
        <f t="shared" si="1"/>
        <v>200.12767315671894</v>
      </c>
      <c r="V54" s="128">
        <f t="shared" ref="E54:AA65" si="26">V13/V$40</f>
        <v>213.47263371277108</v>
      </c>
      <c r="W54" s="128">
        <f t="shared" si="26"/>
        <v>264.61162826186495</v>
      </c>
      <c r="X54" s="128">
        <f t="shared" si="26"/>
        <v>255.69875249208201</v>
      </c>
      <c r="Y54" s="128">
        <f t="shared" si="26"/>
        <v>270.03147235375889</v>
      </c>
      <c r="Z54" s="128">
        <f t="shared" si="26"/>
        <v>276.4772738150038</v>
      </c>
      <c r="AA54" s="128">
        <f t="shared" si="26"/>
        <v>243.38172502134927</v>
      </c>
      <c r="AB54" s="128">
        <f t="shared" ref="AB54" si="27">AB13/AB$40</f>
        <v>202.44622522142555</v>
      </c>
      <c r="AC54" s="128">
        <f t="shared" si="20"/>
        <v>253.40862140201077</v>
      </c>
      <c r="AD54" s="128">
        <f t="shared" si="20"/>
        <v>242.03307785397337</v>
      </c>
      <c r="AE54" s="128">
        <f t="shared" si="20"/>
        <v>244.90336245697645</v>
      </c>
      <c r="AF54" s="128">
        <f t="shared" si="20"/>
        <v>283.77206008023171</v>
      </c>
      <c r="AG54" s="128">
        <f t="shared" si="20"/>
        <v>336.08906754281685</v>
      </c>
      <c r="AH54" s="128">
        <f t="shared" si="20"/>
        <v>408.24236393646004</v>
      </c>
      <c r="AI54" s="128">
        <f t="shared" si="20"/>
        <v>339.93433758006529</v>
      </c>
      <c r="AJ54" s="128">
        <f t="shared" si="20"/>
        <v>408.76897165581192</v>
      </c>
      <c r="AK54" s="128">
        <f t="shared" si="20"/>
        <v>476.88898988751231</v>
      </c>
      <c r="AL54" s="128">
        <f t="shared" si="20"/>
        <v>371.85918344393247</v>
      </c>
      <c r="AM54" s="128">
        <f t="shared" si="20"/>
        <v>385.48845579859994</v>
      </c>
      <c r="AN54" s="128">
        <f t="shared" si="20"/>
        <v>493.97778273025142</v>
      </c>
      <c r="AO54" s="128">
        <f t="shared" si="20"/>
        <v>555.50783766373195</v>
      </c>
      <c r="AP54" s="128">
        <f t="shared" si="20"/>
        <v>626.76368237899396</v>
      </c>
      <c r="AQ54" s="128">
        <f t="shared" si="20"/>
        <v>702.25766362883178</v>
      </c>
      <c r="AR54" s="128">
        <f t="shared" si="20"/>
        <v>713.23288232882317</v>
      </c>
      <c r="AS54" s="128">
        <f t="shared" si="20"/>
        <v>772.96115517592023</v>
      </c>
      <c r="AT54" s="128">
        <f t="shared" si="20"/>
        <v>778.56999999999994</v>
      </c>
      <c r="AU54" s="128">
        <f t="shared" si="20"/>
        <v>743.76834279006061</v>
      </c>
      <c r="AV54" s="128">
        <f t="shared" si="20"/>
        <v>753.08807991547405</v>
      </c>
      <c r="AW54" s="128">
        <f t="shared" si="20"/>
        <v>794.27325305774161</v>
      </c>
      <c r="AX54" s="128">
        <f t="shared" si="20"/>
        <v>887.25939505041254</v>
      </c>
      <c r="AY54" s="128">
        <f t="shared" si="20"/>
        <v>756.44650047117284</v>
      </c>
      <c r="AZ54" s="128">
        <f t="shared" si="20"/>
        <v>1050.2170885557468</v>
      </c>
      <c r="BA54" s="128">
        <f t="shared" si="20"/>
        <v>934.33335992978527</v>
      </c>
      <c r="BB54" s="128">
        <f t="shared" si="20"/>
        <v>914.27232979387884</v>
      </c>
      <c r="BC54" s="128">
        <f t="shared" si="20"/>
        <v>274.59079088266793</v>
      </c>
    </row>
    <row r="55" spans="1:55" s="128" customFormat="1" x14ac:dyDescent="0.35">
      <c r="A55" s="128" t="str">
        <f t="shared" ref="A55:B55" si="28">A14</f>
        <v>DOE</v>
      </c>
      <c r="B55" s="128" t="str">
        <f t="shared" si="28"/>
        <v>Applied</v>
      </c>
      <c r="C55" s="128" t="s">
        <v>90</v>
      </c>
      <c r="D55" s="128">
        <f t="shared" si="4"/>
        <v>1289.2854484555269</v>
      </c>
      <c r="E55" s="128">
        <f t="shared" si="26"/>
        <v>1386.5657620041754</v>
      </c>
      <c r="F55" s="128">
        <f t="shared" si="26"/>
        <v>1626.4308890330954</v>
      </c>
      <c r="G55" s="128">
        <f t="shared" si="26"/>
        <v>1624.3326238978409</v>
      </c>
      <c r="H55" s="128">
        <f t="shared" si="26"/>
        <v>1445.4177215189875</v>
      </c>
      <c r="I55" s="128">
        <f t="shared" si="26"/>
        <v>1537.7128072445018</v>
      </c>
      <c r="J55" s="128">
        <f t="shared" si="26"/>
        <v>1924.1399622997174</v>
      </c>
      <c r="K55" s="128">
        <f t="shared" si="26"/>
        <v>2020.4626569729014</v>
      </c>
      <c r="L55" s="128">
        <f t="shared" si="26"/>
        <v>2529.2949123918088</v>
      </c>
      <c r="M55" s="128">
        <f t="shared" si="26"/>
        <v>2402.4638271856529</v>
      </c>
      <c r="N55" s="128">
        <f t="shared" si="26"/>
        <v>2543.8769473476632</v>
      </c>
      <c r="O55" s="128">
        <f t="shared" si="26"/>
        <v>2081.5814850530378</v>
      </c>
      <c r="P55" s="128">
        <f t="shared" si="26"/>
        <v>1957.9324655725336</v>
      </c>
      <c r="Q55" s="128">
        <f t="shared" si="26"/>
        <v>1944.8200255801207</v>
      </c>
      <c r="R55" s="128">
        <f t="shared" si="26"/>
        <v>1842.2901299613625</v>
      </c>
      <c r="S55" s="128">
        <f t="shared" si="26"/>
        <v>1796.509657743138</v>
      </c>
      <c r="T55" s="128">
        <f t="shared" si="26"/>
        <v>2598.7240307541306</v>
      </c>
      <c r="U55" s="128">
        <f t="shared" si="26"/>
        <v>2712.2566230450047</v>
      </c>
      <c r="V55" s="128">
        <f t="shared" si="26"/>
        <v>2668.329954779354</v>
      </c>
      <c r="W55" s="128">
        <f t="shared" si="26"/>
        <v>2562.9482679688695</v>
      </c>
      <c r="X55" s="128">
        <f t="shared" si="26"/>
        <v>2671.4069784817689</v>
      </c>
      <c r="Y55" s="128">
        <f t="shared" si="26"/>
        <v>2318.8479749639946</v>
      </c>
      <c r="Z55" s="128">
        <f t="shared" si="26"/>
        <v>2334.6793486093088</v>
      </c>
      <c r="AA55" s="128">
        <f t="shared" si="26"/>
        <v>2467.9760888129804</v>
      </c>
      <c r="AB55" s="128">
        <f t="shared" ref="AB55" si="29">AB14/AB$40</f>
        <v>2529.1719387037815</v>
      </c>
      <c r="AC55" s="128">
        <f t="shared" si="20"/>
        <v>2597.4383693706104</v>
      </c>
      <c r="AD55" s="128">
        <f t="shared" si="20"/>
        <v>3102.0572811617585</v>
      </c>
      <c r="AE55" s="128">
        <f t="shared" si="20"/>
        <v>3238.0195922689968</v>
      </c>
      <c r="AF55" s="128">
        <f t="shared" si="20"/>
        <v>3488.0250681906728</v>
      </c>
      <c r="AG55" s="128">
        <f t="shared" si="20"/>
        <v>3498.1615316343359</v>
      </c>
      <c r="AH55" s="128">
        <f t="shared" si="20"/>
        <v>3557.2782084409992</v>
      </c>
      <c r="AI55" s="128">
        <f t="shared" si="20"/>
        <v>3205.8157549755688</v>
      </c>
      <c r="AJ55" s="128">
        <f t="shared" si="20"/>
        <v>3495.7086522848526</v>
      </c>
      <c r="AK55" s="128">
        <f t="shared" si="20"/>
        <v>3613.2257697988866</v>
      </c>
      <c r="AL55" s="128">
        <f t="shared" si="20"/>
        <v>3385.4459565853108</v>
      </c>
      <c r="AM55" s="128">
        <f t="shared" si="20"/>
        <v>3799.0633363068687</v>
      </c>
      <c r="AN55" s="128">
        <f t="shared" si="20"/>
        <v>3907.9580236117185</v>
      </c>
      <c r="AO55" s="128">
        <f t="shared" si="20"/>
        <v>3847.9707966502042</v>
      </c>
      <c r="AP55" s="128">
        <f t="shared" si="20"/>
        <v>4063.9270273120319</v>
      </c>
      <c r="AQ55" s="128">
        <f t="shared" si="20"/>
        <v>4710.6731565865775</v>
      </c>
      <c r="AR55" s="128">
        <f t="shared" si="20"/>
        <v>5740.5596555965558</v>
      </c>
      <c r="AS55" s="128">
        <f t="shared" si="20"/>
        <v>6488.5692495424037</v>
      </c>
      <c r="AT55" s="128">
        <f t="shared" si="20"/>
        <v>6684.3289999999997</v>
      </c>
      <c r="AU55" s="128">
        <f t="shared" si="20"/>
        <v>7797.2109176286449</v>
      </c>
      <c r="AV55" s="128">
        <f t="shared" si="20"/>
        <v>7926.3279223897807</v>
      </c>
      <c r="AW55" s="128">
        <f t="shared" si="20"/>
        <v>7860.8229828387221</v>
      </c>
      <c r="AX55" s="128">
        <f t="shared" si="20"/>
        <v>5796.0586617781855</v>
      </c>
      <c r="AY55" s="128">
        <f t="shared" si="20"/>
        <v>5535.8519660755592</v>
      </c>
      <c r="AZ55" s="128">
        <f t="shared" si="20"/>
        <v>5476.3660194970107</v>
      </c>
      <c r="BA55" s="128">
        <f t="shared" si="20"/>
        <v>5939.5196680762783</v>
      </c>
      <c r="BB55" s="128">
        <f t="shared" si="20"/>
        <v>4680.7769486787565</v>
      </c>
      <c r="BC55" s="128">
        <f t="shared" si="20"/>
        <v>1660.5476518280559</v>
      </c>
    </row>
    <row r="56" spans="1:55" s="128" customFormat="1" x14ac:dyDescent="0.35">
      <c r="A56" s="128" t="str">
        <f t="shared" ref="A56:B56" si="30">A15</f>
        <v>NASA</v>
      </c>
      <c r="B56" s="128" t="str">
        <f t="shared" si="30"/>
        <v>Applied</v>
      </c>
      <c r="C56" s="128" t="s">
        <v>90</v>
      </c>
      <c r="D56" s="128">
        <f t="shared" si="4"/>
        <v>2579.6017863788611</v>
      </c>
      <c r="E56" s="128">
        <f t="shared" si="26"/>
        <v>3235.3549060542796</v>
      </c>
      <c r="F56" s="128">
        <f t="shared" si="26"/>
        <v>2570.0064892926675</v>
      </c>
      <c r="G56" s="128">
        <f t="shared" si="26"/>
        <v>2378.1301307388258</v>
      </c>
      <c r="H56" s="128">
        <f t="shared" si="26"/>
        <v>2214.4472573839666</v>
      </c>
      <c r="I56" s="128">
        <f t="shared" si="26"/>
        <v>2182.7787839586026</v>
      </c>
      <c r="J56" s="128">
        <f t="shared" si="26"/>
        <v>2062.1065032987744</v>
      </c>
      <c r="K56" s="128">
        <f t="shared" si="26"/>
        <v>1919.2333113020491</v>
      </c>
      <c r="L56" s="128">
        <f t="shared" si="26"/>
        <v>1958.6658222503693</v>
      </c>
      <c r="M56" s="128">
        <f t="shared" si="26"/>
        <v>1944.5689830853883</v>
      </c>
      <c r="N56" s="128">
        <f t="shared" si="26"/>
        <v>2036.2847564582921</v>
      </c>
      <c r="O56" s="128">
        <f t="shared" si="26"/>
        <v>2217.936354869817</v>
      </c>
      <c r="P56" s="128">
        <f t="shared" si="26"/>
        <v>2256.5553669119031</v>
      </c>
      <c r="Q56" s="128">
        <f t="shared" si="26"/>
        <v>2175.4065412022655</v>
      </c>
      <c r="R56" s="128">
        <f t="shared" si="26"/>
        <v>2624.3414120126449</v>
      </c>
      <c r="S56" s="128">
        <f t="shared" si="26"/>
        <v>2422.7380548966453</v>
      </c>
      <c r="T56" s="128">
        <f t="shared" si="26"/>
        <v>2692.9494519875675</v>
      </c>
      <c r="U56" s="128">
        <f t="shared" si="26"/>
        <v>2338.4934567507185</v>
      </c>
      <c r="V56" s="128">
        <f t="shared" si="26"/>
        <v>2692.4996101668485</v>
      </c>
      <c r="W56" s="128">
        <f t="shared" si="26"/>
        <v>2788.9516252098274</v>
      </c>
      <c r="X56" s="128">
        <f t="shared" si="26"/>
        <v>2873.2934847579199</v>
      </c>
      <c r="Y56" s="128">
        <f t="shared" si="26"/>
        <v>3048.0595482546196</v>
      </c>
      <c r="Z56" s="128">
        <f t="shared" si="26"/>
        <v>2901.5203919873193</v>
      </c>
      <c r="AA56" s="128">
        <f t="shared" si="26"/>
        <v>3404.4975804155993</v>
      </c>
      <c r="AB56" s="128">
        <f t="shared" ref="AB56" si="31">AB15/AB$40</f>
        <v>3240.5454801068463</v>
      </c>
      <c r="AC56" s="128">
        <f t="shared" si="20"/>
        <v>2123.6744250103293</v>
      </c>
      <c r="AD56" s="128">
        <f t="shared" si="20"/>
        <v>3494.6887185693154</v>
      </c>
      <c r="AE56" s="128">
        <f t="shared" si="20"/>
        <v>3664.2838231400583</v>
      </c>
      <c r="AF56" s="128">
        <f t="shared" si="20"/>
        <v>4141.5716326795682</v>
      </c>
      <c r="AG56" s="128">
        <f t="shared" si="20"/>
        <v>3811.313553949537</v>
      </c>
      <c r="AH56" s="128">
        <f t="shared" si="20"/>
        <v>2691.5194905869325</v>
      </c>
      <c r="AI56" s="128">
        <f t="shared" si="20"/>
        <v>2002.1451555237757</v>
      </c>
      <c r="AJ56" s="128">
        <f t="shared" si="20"/>
        <v>1201.5066109951285</v>
      </c>
      <c r="AK56" s="128">
        <f t="shared" si="20"/>
        <v>637.89001249857984</v>
      </c>
      <c r="AL56" s="128">
        <f t="shared" si="20"/>
        <v>787.31301315937469</v>
      </c>
      <c r="AM56" s="128">
        <f t="shared" si="20"/>
        <v>728.14451382694017</v>
      </c>
      <c r="AN56" s="128">
        <f t="shared" si="20"/>
        <v>2561.2155662439877</v>
      </c>
      <c r="AO56" s="128">
        <f t="shared" si="20"/>
        <v>2845.1792999785271</v>
      </c>
      <c r="AP56" s="128">
        <f t="shared" si="20"/>
        <v>2865.2325213540016</v>
      </c>
      <c r="AQ56" s="128">
        <f t="shared" si="20"/>
        <v>2528.997514498757</v>
      </c>
      <c r="AR56" s="128">
        <f t="shared" si="20"/>
        <v>2388.2738827388275</v>
      </c>
      <c r="AS56" s="128">
        <f t="shared" si="20"/>
        <v>2480.4758999389869</v>
      </c>
      <c r="AT56" s="128">
        <f t="shared" si="20"/>
        <v>2476.1999999999998</v>
      </c>
      <c r="AU56" s="128">
        <f t="shared" si="20"/>
        <v>1967.4232048522795</v>
      </c>
      <c r="AV56" s="128">
        <f t="shared" si="20"/>
        <v>2634.7132840265108</v>
      </c>
      <c r="AW56" s="128">
        <f t="shared" si="20"/>
        <v>2529.6292784678108</v>
      </c>
      <c r="AX56" s="128">
        <f t="shared" si="20"/>
        <v>2430.7974335472045</v>
      </c>
      <c r="AY56" s="128">
        <f t="shared" si="20"/>
        <v>2079.1570290413774</v>
      </c>
      <c r="AZ56" s="128">
        <f t="shared" si="20"/>
        <v>2034.8980093389041</v>
      </c>
      <c r="BA56" s="128">
        <f t="shared" si="20"/>
        <v>1374.7706056012128</v>
      </c>
      <c r="BB56" s="128">
        <f t="shared" si="20"/>
        <v>1346.8144909431605</v>
      </c>
      <c r="BC56" s="128">
        <f t="shared" si="20"/>
        <v>976.74774361327832</v>
      </c>
    </row>
    <row r="57" spans="1:55" s="128" customFormat="1" x14ac:dyDescent="0.35">
      <c r="A57" s="128" t="str">
        <f t="shared" ref="A57:B57" si="32">A16</f>
        <v>DOD</v>
      </c>
      <c r="B57" s="128" t="str">
        <f t="shared" si="32"/>
        <v>Applied</v>
      </c>
      <c r="C57" s="128" t="s">
        <v>90</v>
      </c>
      <c r="D57" s="128">
        <f t="shared" si="4"/>
        <v>4447.3650911797549</v>
      </c>
      <c r="E57" s="128">
        <f t="shared" si="26"/>
        <v>4444.9582463465558</v>
      </c>
      <c r="F57" s="128">
        <f t="shared" si="26"/>
        <v>4626.3627514600912</v>
      </c>
      <c r="G57" s="128">
        <f t="shared" si="26"/>
        <v>4572.9948312557008</v>
      </c>
      <c r="H57" s="128">
        <f t="shared" si="26"/>
        <v>4638.8129395218002</v>
      </c>
      <c r="I57" s="128">
        <f t="shared" si="26"/>
        <v>4423.7231565329876</v>
      </c>
      <c r="J57" s="128">
        <f t="shared" si="26"/>
        <v>4679.3119698397741</v>
      </c>
      <c r="K57" s="128">
        <f t="shared" si="26"/>
        <v>4969.8634060365712</v>
      </c>
      <c r="L57" s="128">
        <f t="shared" si="26"/>
        <v>5141.7542748575042</v>
      </c>
      <c r="M57" s="128">
        <f t="shared" si="26"/>
        <v>4494.6627267169342</v>
      </c>
      <c r="N57" s="128">
        <f t="shared" si="26"/>
        <v>4569.710116347861</v>
      </c>
      <c r="O57" s="128">
        <f t="shared" si="26"/>
        <v>4384.3780135004827</v>
      </c>
      <c r="P57" s="128">
        <f t="shared" si="26"/>
        <v>4628.5606489341635</v>
      </c>
      <c r="Q57" s="128">
        <f t="shared" si="26"/>
        <v>4279.3714598940251</v>
      </c>
      <c r="R57" s="128">
        <f t="shared" si="26"/>
        <v>4750.7903055848255</v>
      </c>
      <c r="S57" s="128">
        <f t="shared" si="26"/>
        <v>4401.6621484242633</v>
      </c>
      <c r="T57" s="128">
        <f t="shared" si="26"/>
        <v>4192.4734173073784</v>
      </c>
      <c r="U57" s="128">
        <f t="shared" si="26"/>
        <v>4681.118736035749</v>
      </c>
      <c r="V57" s="128">
        <f t="shared" si="26"/>
        <v>5413.2777171370653</v>
      </c>
      <c r="W57" s="128">
        <f t="shared" si="26"/>
        <v>4672.2371432931486</v>
      </c>
      <c r="X57" s="128">
        <f t="shared" si="26"/>
        <v>4384.6099820681411</v>
      </c>
      <c r="Y57" s="128">
        <f t="shared" si="26"/>
        <v>4159.694925198005</v>
      </c>
      <c r="Z57" s="128">
        <f t="shared" si="26"/>
        <v>4065.4272949992796</v>
      </c>
      <c r="AA57" s="128">
        <f t="shared" si="26"/>
        <v>4141.8516937090808</v>
      </c>
      <c r="AB57" s="128">
        <f t="shared" ref="AB57" si="33">AB16/AB$40</f>
        <v>4351.7629692113032</v>
      </c>
      <c r="AC57" s="128">
        <f t="shared" si="20"/>
        <v>5101.2257264839554</v>
      </c>
      <c r="AD57" s="128">
        <f t="shared" si="20"/>
        <v>5520.5566760790634</v>
      </c>
      <c r="AE57" s="128">
        <f t="shared" si="20"/>
        <v>5995.4990733386285</v>
      </c>
      <c r="AF57" s="128">
        <f t="shared" si="20"/>
        <v>6138.8492011949602</v>
      </c>
      <c r="AG57" s="128">
        <f t="shared" si="20"/>
        <v>6128.8221123367566</v>
      </c>
      <c r="AH57" s="128">
        <f t="shared" si="20"/>
        <v>6534.408760920388</v>
      </c>
      <c r="AI57" s="128">
        <f t="shared" si="20"/>
        <v>6571.6672625432011</v>
      </c>
      <c r="AJ57" s="128">
        <f t="shared" si="20"/>
        <v>6706.9125492925068</v>
      </c>
      <c r="AK57" s="128">
        <f t="shared" si="20"/>
        <v>6531.472559936371</v>
      </c>
      <c r="AL57" s="128">
        <f t="shared" si="20"/>
        <v>6598.4072358296353</v>
      </c>
      <c r="AM57" s="128">
        <f t="shared" si="20"/>
        <v>7559.1291257805524</v>
      </c>
      <c r="AN57" s="128">
        <f t="shared" si="20"/>
        <v>6479.1265850459113</v>
      </c>
      <c r="AO57" s="128">
        <f t="shared" si="20"/>
        <v>6885.7730298475408</v>
      </c>
      <c r="AP57" s="128">
        <f t="shared" si="20"/>
        <v>6249.8428767267742</v>
      </c>
      <c r="AQ57" s="128">
        <f t="shared" si="20"/>
        <v>7164.7825186412592</v>
      </c>
      <c r="AR57" s="128">
        <f t="shared" si="20"/>
        <v>7067.9930299302987</v>
      </c>
      <c r="AS57" s="128">
        <f t="shared" si="20"/>
        <v>7862.1903599755942</v>
      </c>
      <c r="AT57" s="128">
        <f t="shared" si="20"/>
        <v>7817.0560000000005</v>
      </c>
      <c r="AU57" s="128">
        <f t="shared" si="20"/>
        <v>8296.9575425552721</v>
      </c>
      <c r="AV57" s="128">
        <f t="shared" si="20"/>
        <v>8541.0200749207579</v>
      </c>
      <c r="AW57" s="128">
        <f t="shared" si="20"/>
        <v>6797.6969754432539</v>
      </c>
      <c r="AX57" s="128">
        <f t="shared" si="20"/>
        <v>6818.3033913840518</v>
      </c>
      <c r="AY57" s="128">
        <f t="shared" si="20"/>
        <v>9050.63308489677</v>
      </c>
      <c r="AZ57" s="128">
        <f t="shared" si="20"/>
        <v>9930.0155648398468</v>
      </c>
      <c r="BA57" s="128">
        <f t="shared" si="20"/>
        <v>9207.082901140986</v>
      </c>
      <c r="BB57" s="128">
        <f t="shared" si="20"/>
        <v>7727.3845067020047</v>
      </c>
      <c r="BC57" s="128">
        <f t="shared" si="20"/>
        <v>5659.5907908826684</v>
      </c>
    </row>
    <row r="58" spans="1:55" s="128" customFormat="1" x14ac:dyDescent="0.35">
      <c r="A58" s="128" t="str">
        <f t="shared" ref="A58:B58" si="34">A17</f>
        <v>USDA</v>
      </c>
      <c r="B58" s="128" t="str">
        <f t="shared" si="34"/>
        <v>Applied</v>
      </c>
      <c r="C58" s="128" t="s">
        <v>90</v>
      </c>
      <c r="D58" s="128">
        <f t="shared" si="4"/>
        <v>922.75400074432457</v>
      </c>
      <c r="E58" s="128">
        <f t="shared" si="26"/>
        <v>926.31871955462771</v>
      </c>
      <c r="F58" s="128">
        <f t="shared" si="26"/>
        <v>1067.5535366645036</v>
      </c>
      <c r="G58" s="128">
        <f t="shared" si="26"/>
        <v>1114.2718151413803</v>
      </c>
      <c r="H58" s="128">
        <f t="shared" si="26"/>
        <v>1060.253164556962</v>
      </c>
      <c r="I58" s="128">
        <f t="shared" si="26"/>
        <v>976.54592496765827</v>
      </c>
      <c r="J58" s="128">
        <f t="shared" si="26"/>
        <v>994.30725730442987</v>
      </c>
      <c r="K58" s="128">
        <f t="shared" si="26"/>
        <v>952.77153558052419</v>
      </c>
      <c r="L58" s="128">
        <f t="shared" si="26"/>
        <v>955.36837660966853</v>
      </c>
      <c r="M58" s="128">
        <f t="shared" si="26"/>
        <v>898.4858365600162</v>
      </c>
      <c r="N58" s="128">
        <f t="shared" si="26"/>
        <v>908.89370932754878</v>
      </c>
      <c r="O58" s="128">
        <f t="shared" si="26"/>
        <v>893.73191899710707</v>
      </c>
      <c r="P58" s="128">
        <f t="shared" si="26"/>
        <v>888.32295793246556</v>
      </c>
      <c r="Q58" s="128">
        <f t="shared" si="26"/>
        <v>924.90407454778006</v>
      </c>
      <c r="R58" s="128">
        <f t="shared" si="26"/>
        <v>901.47523709167558</v>
      </c>
      <c r="S58" s="128">
        <f t="shared" si="26"/>
        <v>922.22975262622845</v>
      </c>
      <c r="T58" s="128">
        <f t="shared" si="26"/>
        <v>1018.3216096842795</v>
      </c>
      <c r="U58" s="128">
        <f t="shared" si="26"/>
        <v>1059.6872007660388</v>
      </c>
      <c r="V58" s="128">
        <f t="shared" si="26"/>
        <v>981.91174177452058</v>
      </c>
      <c r="W58" s="128">
        <f t="shared" si="26"/>
        <v>1102.5484510911033</v>
      </c>
      <c r="X58" s="128">
        <f t="shared" si="26"/>
        <v>1075.9115361625823</v>
      </c>
      <c r="Y58" s="128">
        <f t="shared" si="26"/>
        <v>1025.7641537107656</v>
      </c>
      <c r="Z58" s="128">
        <f t="shared" si="26"/>
        <v>1013.2454244127395</v>
      </c>
      <c r="AA58" s="128">
        <f t="shared" si="26"/>
        <v>1036.151437517791</v>
      </c>
      <c r="AB58" s="128">
        <f t="shared" ref="AB58" si="35">AB17/AB$40</f>
        <v>1044.5662870799943</v>
      </c>
      <c r="AC58" s="128">
        <f t="shared" si="20"/>
        <v>1148.6021209199835</v>
      </c>
      <c r="AD58" s="128">
        <f t="shared" si="20"/>
        <v>1403.7918515530455</v>
      </c>
      <c r="AE58" s="128">
        <f t="shared" si="20"/>
        <v>1158.3267143235373</v>
      </c>
      <c r="AF58" s="128">
        <f t="shared" si="20"/>
        <v>1269.4051175477334</v>
      </c>
      <c r="AG58" s="128">
        <f t="shared" si="20"/>
        <v>1337.8978065170536</v>
      </c>
      <c r="AH58" s="128">
        <f t="shared" si="20"/>
        <v>1393.3567121939213</v>
      </c>
      <c r="AI58" s="128">
        <f t="shared" si="20"/>
        <v>1369.8045524967229</v>
      </c>
      <c r="AJ58" s="128">
        <f t="shared" si="20"/>
        <v>1243.3310136859197</v>
      </c>
      <c r="AK58" s="128">
        <f t="shared" si="20"/>
        <v>1302.1247585501649</v>
      </c>
      <c r="AL58" s="128">
        <f t="shared" si="20"/>
        <v>1365.4257113935441</v>
      </c>
      <c r="AM58" s="128">
        <f t="shared" si="20"/>
        <v>1387.1543264942015</v>
      </c>
      <c r="AN58" s="128">
        <f t="shared" si="20"/>
        <v>1283.3406209007435</v>
      </c>
      <c r="AO58" s="128">
        <f t="shared" si="20"/>
        <v>1206.7854842173074</v>
      </c>
      <c r="AP58" s="128">
        <f t="shared" si="20"/>
        <v>1103.0264684171675</v>
      </c>
      <c r="AQ58" s="128">
        <f t="shared" si="20"/>
        <v>1128.8318144159073</v>
      </c>
      <c r="AR58" s="128">
        <f t="shared" si="20"/>
        <v>1142.2437474374744</v>
      </c>
      <c r="AS58" s="128">
        <f t="shared" si="20"/>
        <v>1138.2682529997967</v>
      </c>
      <c r="AT58" s="128">
        <f t="shared" si="20"/>
        <v>1069.7570000000001</v>
      </c>
      <c r="AU58" s="128">
        <f t="shared" si="20"/>
        <v>1048.4807278419096</v>
      </c>
      <c r="AV58" s="128">
        <f t="shared" si="20"/>
        <v>1080.3544328114497</v>
      </c>
      <c r="AW58" s="128">
        <f t="shared" si="20"/>
        <v>1218.1255333270126</v>
      </c>
      <c r="AX58" s="128">
        <f t="shared" si="20"/>
        <v>1727.7726856095326</v>
      </c>
      <c r="AY58" s="128">
        <f t="shared" si="20"/>
        <v>1373.2545189754132</v>
      </c>
      <c r="AZ58" s="128">
        <f t="shared" si="20"/>
        <v>1249.2831981649874</v>
      </c>
      <c r="BA58" s="128">
        <f t="shared" si="20"/>
        <v>1116.2530918375487</v>
      </c>
      <c r="BB58" s="128">
        <f t="shared" si="20"/>
        <v>1087.6014990630856</v>
      </c>
      <c r="BC58" s="128">
        <f t="shared" si="20"/>
        <v>780.17439192290044</v>
      </c>
    </row>
    <row r="59" spans="1:55" s="128" customFormat="1" x14ac:dyDescent="0.35">
      <c r="A59" s="128" t="str">
        <f t="shared" ref="A59:B59" si="36">A18</f>
        <v>Other</v>
      </c>
      <c r="B59" s="128" t="str">
        <f t="shared" si="36"/>
        <v>Applied</v>
      </c>
      <c r="C59" s="128" t="s">
        <v>90</v>
      </c>
      <c r="D59" s="128">
        <f t="shared" si="4"/>
        <v>3740.063267584665</v>
      </c>
      <c r="E59" s="128">
        <f t="shared" si="26"/>
        <v>3875.5010438413378</v>
      </c>
      <c r="F59" s="128">
        <f t="shared" si="26"/>
        <v>3929.1044776119429</v>
      </c>
      <c r="G59" s="128">
        <f t="shared" si="26"/>
        <v>3939.519610823957</v>
      </c>
      <c r="H59" s="128">
        <f t="shared" si="26"/>
        <v>4449.4205344585071</v>
      </c>
      <c r="I59" s="128">
        <f t="shared" si="26"/>
        <v>4597.7930142302775</v>
      </c>
      <c r="J59" s="128">
        <f t="shared" si="26"/>
        <v>4121.9604147031114</v>
      </c>
      <c r="K59" s="128">
        <f t="shared" si="26"/>
        <v>4130.9892046706309</v>
      </c>
      <c r="L59" s="128">
        <f t="shared" si="26"/>
        <v>4061.9611568503287</v>
      </c>
      <c r="M59" s="128">
        <f t="shared" si="26"/>
        <v>4007.6543713062961</v>
      </c>
      <c r="N59" s="128">
        <f t="shared" si="26"/>
        <v>3881.8773417471898</v>
      </c>
      <c r="O59" s="128">
        <f t="shared" si="26"/>
        <v>3884.8601735776301</v>
      </c>
      <c r="P59" s="128">
        <f t="shared" si="26"/>
        <v>4198.6417657045849</v>
      </c>
      <c r="Q59" s="128">
        <f t="shared" si="26"/>
        <v>4270.6011328339109</v>
      </c>
      <c r="R59" s="128">
        <f t="shared" si="26"/>
        <v>4617.8433438707416</v>
      </c>
      <c r="S59" s="128">
        <f t="shared" si="26"/>
        <v>4937.7143341240271</v>
      </c>
      <c r="T59" s="128">
        <f t="shared" si="26"/>
        <v>5470.3762473417328</v>
      </c>
      <c r="U59" s="128">
        <f t="shared" si="26"/>
        <v>4364.045643153524</v>
      </c>
      <c r="V59" s="128">
        <f t="shared" si="26"/>
        <v>4428.4500233899898</v>
      </c>
      <c r="W59" s="128">
        <f t="shared" si="26"/>
        <v>4670.8118419044704</v>
      </c>
      <c r="X59" s="128">
        <f t="shared" si="26"/>
        <v>5213.8867304243868</v>
      </c>
      <c r="Y59" s="128">
        <f t="shared" si="26"/>
        <v>4867.5872220032306</v>
      </c>
      <c r="Z59" s="128">
        <f t="shared" si="26"/>
        <v>4908.5893910680816</v>
      </c>
      <c r="AA59" s="128">
        <f t="shared" si="26"/>
        <v>5110.50099629946</v>
      </c>
      <c r="AB59" s="128">
        <f t="shared" ref="AB59" si="37">AB18/AB$40</f>
        <v>5147.0871866720909</v>
      </c>
      <c r="AC59" s="128">
        <f t="shared" si="20"/>
        <v>5383.8327568626664</v>
      </c>
      <c r="AD59" s="128">
        <f t="shared" si="20"/>
        <v>5771.4569640015261</v>
      </c>
      <c r="AE59" s="128">
        <f t="shared" si="20"/>
        <v>5638.0938703224901</v>
      </c>
      <c r="AF59" s="128">
        <f t="shared" si="20"/>
        <v>5939.4375892973358</v>
      </c>
      <c r="AG59" s="128">
        <f t="shared" si="20"/>
        <v>5945.9972105996849</v>
      </c>
      <c r="AH59" s="128">
        <f t="shared" si="20"/>
        <v>6453.2303816523272</v>
      </c>
      <c r="AI59" s="128">
        <f t="shared" si="20"/>
        <v>5834.3868430461234</v>
      </c>
      <c r="AJ59" s="128">
        <f t="shared" si="20"/>
        <v>5486.022732544654</v>
      </c>
      <c r="AK59" s="128">
        <f t="shared" si="20"/>
        <v>5169.7296587717701</v>
      </c>
      <c r="AL59" s="128">
        <f t="shared" si="20"/>
        <v>5865.5878153457088</v>
      </c>
      <c r="AM59" s="128">
        <f t="shared" si="20"/>
        <v>5763.152273340891</v>
      </c>
      <c r="AN59" s="128">
        <f t="shared" si="20"/>
        <v>5675.1814650226897</v>
      </c>
      <c r="AO59" s="128">
        <f t="shared" si="20"/>
        <v>5434.76693991517</v>
      </c>
      <c r="AP59" s="128">
        <f t="shared" si="20"/>
        <v>6160.7058012133111</v>
      </c>
      <c r="AQ59" s="128">
        <f t="shared" si="20"/>
        <v>5987.8243864237102</v>
      </c>
      <c r="AR59" s="128">
        <f t="shared" si="20"/>
        <v>5933.8111380735554</v>
      </c>
      <c r="AS59" s="128">
        <f t="shared" si="20"/>
        <v>3654.4617175106787</v>
      </c>
      <c r="AT59" s="128">
        <f t="shared" si="20"/>
        <v>6011.9309313851554</v>
      </c>
      <c r="AU59" s="128">
        <f t="shared" si="20"/>
        <v>5917.3821170025503</v>
      </c>
      <c r="AV59" s="128">
        <f t="shared" si="20"/>
        <v>5776.0394870809741</v>
      </c>
      <c r="AW59" s="128">
        <f t="shared" si="20"/>
        <v>5272.3116161372909</v>
      </c>
      <c r="AX59" s="128">
        <f t="shared" si="20"/>
        <v>5349.3970394133839</v>
      </c>
      <c r="AY59" s="128">
        <f t="shared" si="20"/>
        <v>3737.595305405634</v>
      </c>
      <c r="AZ59" s="128">
        <f t="shared" si="20"/>
        <v>2262.0791355737679</v>
      </c>
      <c r="BA59" s="128">
        <f t="shared" si="20"/>
        <v>4343.1740205856559</v>
      </c>
      <c r="BB59" s="128">
        <f t="shared" si="20"/>
        <v>4139.8344784509645</v>
      </c>
      <c r="BC59" s="128">
        <f t="shared" si="20"/>
        <v>3113.2782621997826</v>
      </c>
    </row>
    <row r="60" spans="1:55" s="128" customFormat="1" x14ac:dyDescent="0.35">
      <c r="A60" s="128" t="str">
        <f t="shared" ref="A60:B60" si="38">A19</f>
        <v>ARRA</v>
      </c>
      <c r="B60" s="128" t="str">
        <f t="shared" si="38"/>
        <v>Applied</v>
      </c>
      <c r="C60" s="128" t="s">
        <v>90</v>
      </c>
      <c r="D60" s="128">
        <f t="shared" si="4"/>
        <v>0</v>
      </c>
      <c r="E60" s="128">
        <f t="shared" si="26"/>
        <v>0</v>
      </c>
      <c r="F60" s="128">
        <f t="shared" si="26"/>
        <v>0</v>
      </c>
      <c r="G60" s="128">
        <f t="shared" si="26"/>
        <v>0</v>
      </c>
      <c r="H60" s="128">
        <f t="shared" si="26"/>
        <v>0</v>
      </c>
      <c r="I60" s="128">
        <f t="shared" si="26"/>
        <v>0</v>
      </c>
      <c r="J60" s="128">
        <f t="shared" si="26"/>
        <v>0</v>
      </c>
      <c r="K60" s="128">
        <f t="shared" si="26"/>
        <v>0</v>
      </c>
      <c r="L60" s="128">
        <f t="shared" si="26"/>
        <v>0</v>
      </c>
      <c r="M60" s="128">
        <f t="shared" si="26"/>
        <v>0</v>
      </c>
      <c r="N60" s="128">
        <f t="shared" si="26"/>
        <v>0</v>
      </c>
      <c r="O60" s="128">
        <f t="shared" si="26"/>
        <v>0</v>
      </c>
      <c r="P60" s="128">
        <f t="shared" si="26"/>
        <v>0</v>
      </c>
      <c r="Q60" s="128">
        <f t="shared" si="26"/>
        <v>0</v>
      </c>
      <c r="R60" s="128">
        <f t="shared" si="26"/>
        <v>0</v>
      </c>
      <c r="S60" s="128">
        <f t="shared" si="26"/>
        <v>0</v>
      </c>
      <c r="T60" s="128">
        <f t="shared" si="26"/>
        <v>0</v>
      </c>
      <c r="U60" s="128">
        <f t="shared" si="26"/>
        <v>0</v>
      </c>
      <c r="V60" s="128">
        <f t="shared" si="26"/>
        <v>0</v>
      </c>
      <c r="W60" s="128">
        <f t="shared" si="26"/>
        <v>0</v>
      </c>
      <c r="X60" s="128">
        <f t="shared" si="26"/>
        <v>0</v>
      </c>
      <c r="Y60" s="128">
        <f t="shared" si="26"/>
        <v>0</v>
      </c>
      <c r="Z60" s="128">
        <f t="shared" si="26"/>
        <v>0</v>
      </c>
      <c r="AA60" s="128">
        <f t="shared" si="26"/>
        <v>0</v>
      </c>
      <c r="AB60" s="128">
        <f t="shared" ref="AB60" si="39">AB19/AB$40</f>
        <v>0</v>
      </c>
      <c r="AC60" s="128">
        <f t="shared" ref="AC60:BC68" si="40">AC19/AC$40</f>
        <v>0</v>
      </c>
      <c r="AD60" s="128">
        <f t="shared" si="40"/>
        <v>0</v>
      </c>
      <c r="AE60" s="128">
        <f t="shared" si="40"/>
        <v>0</v>
      </c>
      <c r="AF60" s="128">
        <f t="shared" si="40"/>
        <v>0</v>
      </c>
      <c r="AG60" s="128">
        <f t="shared" si="40"/>
        <v>0</v>
      </c>
      <c r="AH60" s="128">
        <f t="shared" si="40"/>
        <v>0</v>
      </c>
      <c r="AI60" s="128">
        <f t="shared" si="40"/>
        <v>0</v>
      </c>
      <c r="AJ60" s="128">
        <f t="shared" si="40"/>
        <v>0</v>
      </c>
      <c r="AK60" s="128">
        <f t="shared" si="40"/>
        <v>0</v>
      </c>
      <c r="AL60" s="128">
        <f t="shared" si="40"/>
        <v>6057.8112698234172</v>
      </c>
      <c r="AM60" s="128">
        <f t="shared" si="40"/>
        <v>0</v>
      </c>
      <c r="AN60" s="128">
        <f t="shared" si="40"/>
        <v>0</v>
      </c>
      <c r="AO60" s="128">
        <f t="shared" si="40"/>
        <v>0</v>
      </c>
      <c r="AP60" s="128">
        <f t="shared" si="40"/>
        <v>0</v>
      </c>
      <c r="AQ60" s="128">
        <f t="shared" si="40"/>
        <v>0</v>
      </c>
      <c r="AR60" s="128">
        <f t="shared" si="40"/>
        <v>0</v>
      </c>
      <c r="AS60" s="128">
        <f t="shared" si="40"/>
        <v>0</v>
      </c>
      <c r="AT60" s="128">
        <f t="shared" si="40"/>
        <v>0</v>
      </c>
      <c r="AU60" s="128">
        <f t="shared" si="40"/>
        <v>0</v>
      </c>
      <c r="AV60" s="128">
        <f t="shared" si="40"/>
        <v>0</v>
      </c>
      <c r="AW60" s="128">
        <f t="shared" si="40"/>
        <v>0</v>
      </c>
      <c r="AX60" s="128">
        <f t="shared" si="40"/>
        <v>0</v>
      </c>
      <c r="AY60" s="128">
        <f t="shared" si="40"/>
        <v>0</v>
      </c>
      <c r="AZ60" s="128">
        <f t="shared" si="40"/>
        <v>0</v>
      </c>
      <c r="BA60" s="128">
        <f t="shared" si="40"/>
        <v>0</v>
      </c>
      <c r="BB60" s="128">
        <f t="shared" si="40"/>
        <v>0</v>
      </c>
      <c r="BC60" s="128">
        <f t="shared" si="40"/>
        <v>0</v>
      </c>
    </row>
    <row r="61" spans="1:55" s="128" customFormat="1" x14ac:dyDescent="0.35">
      <c r="A61" s="128" t="str">
        <f t="shared" ref="A61:B61" si="41">A20</f>
        <v>All</v>
      </c>
      <c r="B61" s="128" t="str">
        <f t="shared" si="41"/>
        <v>Developmental</v>
      </c>
      <c r="C61" s="128" t="s">
        <v>90</v>
      </c>
      <c r="D61" s="128">
        <f t="shared" si="4"/>
        <v>45809.862299962784</v>
      </c>
      <c r="E61" s="128">
        <f t="shared" si="26"/>
        <v>45790.974251913707</v>
      </c>
      <c r="F61" s="128">
        <f t="shared" si="26"/>
        <v>48462.887735236865</v>
      </c>
      <c r="G61" s="128">
        <f t="shared" si="26"/>
        <v>49371.781696564307</v>
      </c>
      <c r="H61" s="128">
        <f t="shared" si="26"/>
        <v>49536.25035161744</v>
      </c>
      <c r="I61" s="128">
        <f t="shared" si="26"/>
        <v>47174.783958602842</v>
      </c>
      <c r="J61" s="128">
        <f t="shared" si="26"/>
        <v>49225.12723845429</v>
      </c>
      <c r="K61" s="128">
        <f t="shared" si="26"/>
        <v>51576.126900198273</v>
      </c>
      <c r="L61" s="128">
        <f t="shared" si="26"/>
        <v>51631.834494405739</v>
      </c>
      <c r="M61" s="128">
        <f t="shared" si="26"/>
        <v>55524.964336661906</v>
      </c>
      <c r="N61" s="128">
        <f t="shared" si="26"/>
        <v>63549.792940248466</v>
      </c>
      <c r="O61" s="128">
        <f t="shared" si="26"/>
        <v>67329.218900675027</v>
      </c>
      <c r="P61" s="128">
        <f t="shared" si="26"/>
        <v>70388.983210714956</v>
      </c>
      <c r="Q61" s="128">
        <f t="shared" si="26"/>
        <v>69649.735063036729</v>
      </c>
      <c r="R61" s="128">
        <f t="shared" si="26"/>
        <v>71375.131717597469</v>
      </c>
      <c r="S61" s="128">
        <f t="shared" si="26"/>
        <v>71055.743815655718</v>
      </c>
      <c r="T61" s="128">
        <f t="shared" si="26"/>
        <v>61061.344675282198</v>
      </c>
      <c r="U61" s="128">
        <f t="shared" si="26"/>
        <v>65595.276093201406</v>
      </c>
      <c r="V61" s="128">
        <f t="shared" si="26"/>
        <v>63033.681584281927</v>
      </c>
      <c r="W61" s="128">
        <f t="shared" si="26"/>
        <v>60772.470624141613</v>
      </c>
      <c r="X61" s="128">
        <f t="shared" si="26"/>
        <v>60818.888224745962</v>
      </c>
      <c r="Y61" s="128">
        <f t="shared" si="26"/>
        <v>59548.254620123203</v>
      </c>
      <c r="Z61" s="128">
        <f t="shared" si="26"/>
        <v>61014.555411442576</v>
      </c>
      <c r="AA61" s="128">
        <f t="shared" si="26"/>
        <v>60631.938514090521</v>
      </c>
      <c r="AB61" s="128">
        <f t="shared" ref="AB61" si="42">AB20/AB$40</f>
        <v>62309.855194713899</v>
      </c>
      <c r="AC61" s="128">
        <f t="shared" si="40"/>
        <v>55674.14956617546</v>
      </c>
      <c r="AD61" s="128">
        <f t="shared" si="40"/>
        <v>57763.883286271346</v>
      </c>
      <c r="AE61" s="128">
        <f t="shared" si="40"/>
        <v>65411.702409319572</v>
      </c>
      <c r="AF61" s="128">
        <f t="shared" si="40"/>
        <v>77684.114820106508</v>
      </c>
      <c r="AG61" s="128">
        <f t="shared" si="40"/>
        <v>84432.397616330665</v>
      </c>
      <c r="AH61" s="128">
        <f t="shared" si="40"/>
        <v>86279.723528593968</v>
      </c>
      <c r="AI61" s="128">
        <f t="shared" si="40"/>
        <v>90599.816470027406</v>
      </c>
      <c r="AJ61" s="128">
        <f t="shared" si="40"/>
        <v>94370.294595221523</v>
      </c>
      <c r="AK61" s="128">
        <f t="shared" si="40"/>
        <v>94678.500147653162</v>
      </c>
      <c r="AL61" s="128">
        <f t="shared" si="40"/>
        <v>92906.313794653048</v>
      </c>
      <c r="AM61" s="128">
        <f t="shared" si="40"/>
        <v>93446.485317386338</v>
      </c>
      <c r="AN61" s="128">
        <f t="shared" si="40"/>
        <v>87085.867724707408</v>
      </c>
      <c r="AO61" s="128">
        <f t="shared" si="40"/>
        <v>81815.668963026648</v>
      </c>
      <c r="AP61" s="128">
        <f t="shared" si="40"/>
        <v>71368.717214301345</v>
      </c>
      <c r="AQ61" s="128">
        <f t="shared" si="40"/>
        <v>69437.383774305388</v>
      </c>
      <c r="AR61" s="128">
        <f t="shared" si="40"/>
        <v>69783.755487592702</v>
      </c>
      <c r="AS61" s="128">
        <f t="shared" si="40"/>
        <v>77038.844824079715</v>
      </c>
      <c r="AT61" s="128">
        <f t="shared" si="40"/>
        <v>50036.606068614856</v>
      </c>
      <c r="AU61" s="128">
        <f t="shared" si="40"/>
        <v>59651.794169438464</v>
      </c>
      <c r="AV61" s="128">
        <f t="shared" si="40"/>
        <v>58182.407463260024</v>
      </c>
      <c r="AW61" s="128">
        <f t="shared" si="40"/>
        <v>69021.643389940262</v>
      </c>
      <c r="AX61" s="128">
        <f t="shared" si="40"/>
        <v>66010.050256645278</v>
      </c>
      <c r="AY61" s="128">
        <f t="shared" si="40"/>
        <v>72888.676432793625</v>
      </c>
      <c r="AZ61" s="128">
        <f t="shared" si="40"/>
        <v>77645.475368233587</v>
      </c>
      <c r="BA61" s="128">
        <f t="shared" si="40"/>
        <v>72162.084097981322</v>
      </c>
      <c r="BB61" s="128">
        <f t="shared" si="40"/>
        <v>74214.900055466671</v>
      </c>
      <c r="BC61" s="128">
        <f t="shared" si="40"/>
        <v>67940.035184335342</v>
      </c>
    </row>
    <row r="62" spans="1:55" s="128" customFormat="1" x14ac:dyDescent="0.35">
      <c r="A62" s="128" t="str">
        <f t="shared" ref="A62:B62" si="43">A21</f>
        <v>NIH</v>
      </c>
      <c r="B62" s="128" t="str">
        <f t="shared" si="43"/>
        <v>Developmental</v>
      </c>
      <c r="C62" s="128" t="s">
        <v>90</v>
      </c>
      <c r="D62" s="128">
        <f t="shared" si="4"/>
        <v>0</v>
      </c>
      <c r="E62" s="128">
        <f t="shared" si="26"/>
        <v>0</v>
      </c>
      <c r="F62" s="128">
        <f t="shared" si="26"/>
        <v>0</v>
      </c>
      <c r="G62" s="128">
        <f t="shared" si="26"/>
        <v>0</v>
      </c>
      <c r="H62" s="128">
        <f t="shared" si="26"/>
        <v>0</v>
      </c>
      <c r="I62" s="128">
        <f t="shared" si="26"/>
        <v>0</v>
      </c>
      <c r="J62" s="128">
        <f t="shared" si="26"/>
        <v>0</v>
      </c>
      <c r="K62" s="128">
        <f t="shared" si="26"/>
        <v>0</v>
      </c>
      <c r="L62" s="128">
        <f t="shared" si="26"/>
        <v>0</v>
      </c>
      <c r="M62" s="128">
        <f t="shared" si="26"/>
        <v>0</v>
      </c>
      <c r="N62" s="128">
        <f t="shared" si="26"/>
        <v>0</v>
      </c>
      <c r="O62" s="128">
        <f t="shared" si="26"/>
        <v>0</v>
      </c>
      <c r="P62" s="128">
        <f t="shared" si="26"/>
        <v>0</v>
      </c>
      <c r="Q62" s="128">
        <f t="shared" si="26"/>
        <v>0</v>
      </c>
      <c r="R62" s="128">
        <f t="shared" si="26"/>
        <v>0</v>
      </c>
      <c r="S62" s="128">
        <f t="shared" si="26"/>
        <v>0</v>
      </c>
      <c r="T62" s="128">
        <f t="shared" si="26"/>
        <v>0</v>
      </c>
      <c r="U62" s="128">
        <f t="shared" si="26"/>
        <v>0</v>
      </c>
      <c r="V62" s="128">
        <f t="shared" si="26"/>
        <v>0</v>
      </c>
      <c r="W62" s="128">
        <f t="shared" si="26"/>
        <v>0</v>
      </c>
      <c r="X62" s="128">
        <f t="shared" si="26"/>
        <v>0</v>
      </c>
      <c r="Y62" s="128">
        <f t="shared" si="26"/>
        <v>0</v>
      </c>
      <c r="Z62" s="128">
        <f t="shared" si="26"/>
        <v>0</v>
      </c>
      <c r="AA62" s="128">
        <f t="shared" si="26"/>
        <v>0</v>
      </c>
      <c r="AB62" s="128">
        <f t="shared" ref="AB62" si="44">AB21/AB$40</f>
        <v>0</v>
      </c>
      <c r="AC62" s="128">
        <f t="shared" si="40"/>
        <v>0</v>
      </c>
      <c r="AD62" s="128">
        <f t="shared" si="40"/>
        <v>0</v>
      </c>
      <c r="AE62" s="128">
        <f t="shared" si="40"/>
        <v>0</v>
      </c>
      <c r="AF62" s="128">
        <f t="shared" si="40"/>
        <v>0</v>
      </c>
      <c r="AG62" s="128">
        <f t="shared" si="40"/>
        <v>0</v>
      </c>
      <c r="AH62" s="128">
        <f t="shared" si="40"/>
        <v>0</v>
      </c>
      <c r="AI62" s="128">
        <f t="shared" si="40"/>
        <v>0</v>
      </c>
      <c r="AJ62" s="128">
        <f t="shared" si="40"/>
        <v>0</v>
      </c>
      <c r="AK62" s="128">
        <f t="shared" si="40"/>
        <v>0</v>
      </c>
      <c r="AL62" s="128">
        <f t="shared" si="40"/>
        <v>0</v>
      </c>
      <c r="AM62" s="128">
        <f t="shared" si="40"/>
        <v>0</v>
      </c>
      <c r="AN62" s="128">
        <f t="shared" si="40"/>
        <v>0</v>
      </c>
      <c r="AO62" s="128">
        <f t="shared" si="40"/>
        <v>0</v>
      </c>
      <c r="AP62" s="128">
        <f t="shared" si="40"/>
        <v>0</v>
      </c>
      <c r="AQ62" s="128">
        <f t="shared" si="40"/>
        <v>0</v>
      </c>
      <c r="AR62" s="128">
        <f t="shared" si="40"/>
        <v>0</v>
      </c>
      <c r="AS62" s="128">
        <f t="shared" si="40"/>
        <v>0</v>
      </c>
      <c r="AT62" s="128">
        <f t="shared" si="40"/>
        <v>0</v>
      </c>
      <c r="AU62" s="128">
        <f t="shared" si="40"/>
        <v>0</v>
      </c>
      <c r="AV62" s="128">
        <f t="shared" si="40"/>
        <v>0</v>
      </c>
      <c r="AW62" s="128">
        <f t="shared" si="40"/>
        <v>0</v>
      </c>
      <c r="AX62" s="128">
        <f t="shared" si="40"/>
        <v>0</v>
      </c>
      <c r="AY62" s="128">
        <f t="shared" si="40"/>
        <v>0</v>
      </c>
      <c r="AZ62" s="128">
        <f t="shared" si="40"/>
        <v>0</v>
      </c>
      <c r="BA62" s="128">
        <f t="shared" si="40"/>
        <v>5.5852549269927385</v>
      </c>
      <c r="BB62" s="128">
        <f t="shared" si="40"/>
        <v>5.4653341661461585</v>
      </c>
      <c r="BC62" s="128">
        <f t="shared" si="40"/>
        <v>1.529753709652746</v>
      </c>
    </row>
    <row r="63" spans="1:55" s="128" customFormat="1" x14ac:dyDescent="0.35">
      <c r="A63" s="128" t="str">
        <f t="shared" ref="A63:B63" si="45">A22</f>
        <v>NSF</v>
      </c>
      <c r="B63" s="128" t="str">
        <f t="shared" si="45"/>
        <v>Developmental</v>
      </c>
      <c r="C63" s="128" t="s">
        <v>90</v>
      </c>
      <c r="D63" s="128">
        <f t="shared" si="4"/>
        <v>0</v>
      </c>
      <c r="E63" s="128">
        <f t="shared" si="26"/>
        <v>0</v>
      </c>
      <c r="F63" s="128">
        <f t="shared" si="26"/>
        <v>0</v>
      </c>
      <c r="G63" s="128">
        <f t="shared" si="26"/>
        <v>0</v>
      </c>
      <c r="H63" s="128">
        <f t="shared" si="26"/>
        <v>0</v>
      </c>
      <c r="I63" s="128">
        <f t="shared" si="26"/>
        <v>0</v>
      </c>
      <c r="J63" s="128">
        <f t="shared" si="26"/>
        <v>0</v>
      </c>
      <c r="K63" s="128">
        <f t="shared" si="26"/>
        <v>0</v>
      </c>
      <c r="L63" s="128">
        <f t="shared" si="26"/>
        <v>0</v>
      </c>
      <c r="M63" s="128">
        <f t="shared" si="26"/>
        <v>0</v>
      </c>
      <c r="N63" s="128">
        <f t="shared" si="26"/>
        <v>0</v>
      </c>
      <c r="O63" s="128">
        <f t="shared" si="26"/>
        <v>0</v>
      </c>
      <c r="P63" s="128">
        <f t="shared" si="26"/>
        <v>0</v>
      </c>
      <c r="Q63" s="128">
        <f t="shared" si="26"/>
        <v>0</v>
      </c>
      <c r="R63" s="128">
        <f t="shared" si="26"/>
        <v>0</v>
      </c>
      <c r="S63" s="128">
        <f t="shared" si="26"/>
        <v>0</v>
      </c>
      <c r="T63" s="128">
        <f t="shared" si="26"/>
        <v>0</v>
      </c>
      <c r="U63" s="128">
        <f t="shared" si="26"/>
        <v>0</v>
      </c>
      <c r="V63" s="128">
        <f t="shared" si="26"/>
        <v>0</v>
      </c>
      <c r="W63" s="128">
        <f t="shared" si="26"/>
        <v>0</v>
      </c>
      <c r="X63" s="128">
        <f t="shared" si="26"/>
        <v>0</v>
      </c>
      <c r="Y63" s="128">
        <f t="shared" si="26"/>
        <v>0</v>
      </c>
      <c r="Z63" s="128">
        <f t="shared" si="26"/>
        <v>0</v>
      </c>
      <c r="AA63" s="128">
        <f t="shared" si="26"/>
        <v>0</v>
      </c>
      <c r="AB63" s="128">
        <f t="shared" ref="AB63" si="46">AB22/AB$40</f>
        <v>0</v>
      </c>
      <c r="AC63" s="128">
        <f t="shared" si="40"/>
        <v>0</v>
      </c>
      <c r="AD63" s="128">
        <f t="shared" si="40"/>
        <v>0</v>
      </c>
      <c r="AE63" s="128">
        <f t="shared" si="40"/>
        <v>0</v>
      </c>
      <c r="AF63" s="128">
        <f t="shared" si="40"/>
        <v>0</v>
      </c>
      <c r="AG63" s="128">
        <f t="shared" si="40"/>
        <v>0</v>
      </c>
      <c r="AH63" s="128">
        <f t="shared" si="40"/>
        <v>0</v>
      </c>
      <c r="AI63" s="128">
        <f t="shared" si="40"/>
        <v>0</v>
      </c>
      <c r="AJ63" s="128">
        <f t="shared" si="40"/>
        <v>0</v>
      </c>
      <c r="AK63" s="128">
        <f t="shared" si="40"/>
        <v>0</v>
      </c>
      <c r="AL63" s="128">
        <f t="shared" si="40"/>
        <v>0</v>
      </c>
      <c r="AM63" s="128">
        <f t="shared" si="40"/>
        <v>0</v>
      </c>
      <c r="AN63" s="128">
        <f t="shared" si="40"/>
        <v>0</v>
      </c>
      <c r="AO63" s="128">
        <f t="shared" si="40"/>
        <v>0</v>
      </c>
      <c r="AP63" s="128">
        <f t="shared" si="40"/>
        <v>0</v>
      </c>
      <c r="AQ63" s="128">
        <f t="shared" si="40"/>
        <v>0</v>
      </c>
      <c r="AR63" s="128">
        <f t="shared" si="40"/>
        <v>0</v>
      </c>
      <c r="AS63" s="128">
        <f t="shared" si="40"/>
        <v>0</v>
      </c>
      <c r="AT63" s="128">
        <f t="shared" si="40"/>
        <v>0</v>
      </c>
      <c r="AU63" s="128">
        <f t="shared" si="40"/>
        <v>0</v>
      </c>
      <c r="AV63" s="128">
        <f t="shared" si="40"/>
        <v>0</v>
      </c>
      <c r="AW63" s="128">
        <f t="shared" si="40"/>
        <v>0</v>
      </c>
      <c r="AX63" s="128">
        <f t="shared" si="40"/>
        <v>0</v>
      </c>
      <c r="AY63" s="128">
        <f t="shared" si="40"/>
        <v>0</v>
      </c>
      <c r="AZ63" s="128">
        <f t="shared" si="40"/>
        <v>0</v>
      </c>
      <c r="BA63" s="128">
        <f t="shared" si="40"/>
        <v>0</v>
      </c>
      <c r="BB63" s="128">
        <f t="shared" si="40"/>
        <v>0</v>
      </c>
      <c r="BC63" s="128">
        <f t="shared" si="40"/>
        <v>0</v>
      </c>
    </row>
    <row r="64" spans="1:55" s="128" customFormat="1" x14ac:dyDescent="0.35">
      <c r="A64" s="128" t="str">
        <f t="shared" ref="A64:B64" si="47">A23</f>
        <v>DOE</v>
      </c>
      <c r="B64" s="128" t="str">
        <f t="shared" si="47"/>
        <v>Developmental</v>
      </c>
      <c r="C64" s="128" t="s">
        <v>90</v>
      </c>
      <c r="D64" s="128">
        <f t="shared" si="4"/>
        <v>0</v>
      </c>
      <c r="E64" s="128">
        <f t="shared" si="26"/>
        <v>0</v>
      </c>
      <c r="F64" s="128">
        <f t="shared" si="26"/>
        <v>0</v>
      </c>
      <c r="G64" s="128">
        <f t="shared" si="26"/>
        <v>0</v>
      </c>
      <c r="H64" s="128">
        <f t="shared" si="26"/>
        <v>0</v>
      </c>
      <c r="I64" s="128">
        <f t="shared" si="26"/>
        <v>0</v>
      </c>
      <c r="J64" s="128">
        <f t="shared" si="26"/>
        <v>0</v>
      </c>
      <c r="K64" s="128">
        <f t="shared" si="26"/>
        <v>0</v>
      </c>
      <c r="L64" s="128">
        <f t="shared" si="26"/>
        <v>0</v>
      </c>
      <c r="M64" s="128">
        <f t="shared" si="26"/>
        <v>0</v>
      </c>
      <c r="N64" s="128">
        <f t="shared" si="26"/>
        <v>0</v>
      </c>
      <c r="O64" s="128">
        <f t="shared" si="26"/>
        <v>0</v>
      </c>
      <c r="P64" s="128">
        <f t="shared" si="26"/>
        <v>0</v>
      </c>
      <c r="Q64" s="128">
        <f t="shared" si="26"/>
        <v>0</v>
      </c>
      <c r="R64" s="128">
        <f t="shared" si="26"/>
        <v>0</v>
      </c>
      <c r="S64" s="128">
        <f t="shared" si="26"/>
        <v>0</v>
      </c>
      <c r="T64" s="128">
        <f t="shared" si="26"/>
        <v>0</v>
      </c>
      <c r="U64" s="128">
        <f t="shared" si="26"/>
        <v>0</v>
      </c>
      <c r="V64" s="128">
        <f t="shared" si="26"/>
        <v>0</v>
      </c>
      <c r="W64" s="128">
        <f t="shared" si="26"/>
        <v>0</v>
      </c>
      <c r="X64" s="128">
        <f t="shared" si="26"/>
        <v>0</v>
      </c>
      <c r="Y64" s="128">
        <f t="shared" si="26"/>
        <v>0</v>
      </c>
      <c r="Z64" s="128">
        <f t="shared" si="26"/>
        <v>0</v>
      </c>
      <c r="AA64" s="128">
        <f t="shared" si="26"/>
        <v>0</v>
      </c>
      <c r="AB64" s="128">
        <f t="shared" ref="AB64" si="48">AB23/AB$40</f>
        <v>0</v>
      </c>
      <c r="AC64" s="128">
        <f t="shared" si="40"/>
        <v>2626.3600055088832</v>
      </c>
      <c r="AD64" s="128">
        <f t="shared" si="40"/>
        <v>2642.194433239209</v>
      </c>
      <c r="AE64" s="128">
        <f t="shared" si="40"/>
        <v>2622.4516812284883</v>
      </c>
      <c r="AF64" s="128">
        <f t="shared" si="40"/>
        <v>2671.7755552669178</v>
      </c>
      <c r="AG64" s="128">
        <f t="shared" si="40"/>
        <v>2515.5318879168253</v>
      </c>
      <c r="AH64" s="128">
        <f t="shared" si="40"/>
        <v>2267.7494770518028</v>
      </c>
      <c r="AI64" s="128">
        <f t="shared" si="40"/>
        <v>2308.4256941961626</v>
      </c>
      <c r="AJ64" s="128">
        <f t="shared" si="40"/>
        <v>2425.1913709116216</v>
      </c>
      <c r="AK64" s="128">
        <f t="shared" si="40"/>
        <v>2657.6525394841497</v>
      </c>
      <c r="AL64" s="128">
        <f t="shared" si="40"/>
        <v>2724.1030255314363</v>
      </c>
      <c r="AM64" s="128">
        <f t="shared" si="40"/>
        <v>2809.9910793933986</v>
      </c>
      <c r="AN64" s="128">
        <f t="shared" si="40"/>
        <v>2580.8919982509838</v>
      </c>
      <c r="AO64" s="128">
        <f t="shared" si="40"/>
        <v>2626.1541765084817</v>
      </c>
      <c r="AP64" s="128">
        <f t="shared" si="40"/>
        <v>2576.9956764736899</v>
      </c>
      <c r="AQ64" s="128">
        <f t="shared" si="40"/>
        <v>2655.6110190555091</v>
      </c>
      <c r="AR64" s="128">
        <f t="shared" si="40"/>
        <v>3396.9054940549404</v>
      </c>
      <c r="AS64" s="128">
        <f t="shared" si="40"/>
        <v>2912.3520439292251</v>
      </c>
      <c r="AT64" s="128">
        <f t="shared" si="40"/>
        <v>2820.5460000000003</v>
      </c>
      <c r="AU64" s="128">
        <f t="shared" si="40"/>
        <v>2479.6928194091174</v>
      </c>
      <c r="AV64" s="128">
        <f t="shared" si="40"/>
        <v>2521.0892325425034</v>
      </c>
      <c r="AW64" s="128">
        <f t="shared" si="40"/>
        <v>2802.3561202237602</v>
      </c>
      <c r="AX64" s="128">
        <f t="shared" si="40"/>
        <v>2770.3941338221816</v>
      </c>
      <c r="AY64" s="128">
        <f t="shared" si="40"/>
        <v>4118.0502013192836</v>
      </c>
      <c r="AZ64" s="128">
        <f t="shared" si="40"/>
        <v>4133.6937822560831</v>
      </c>
      <c r="BA64" s="128">
        <f t="shared" si="40"/>
        <v>3026.4102768690655</v>
      </c>
      <c r="BB64" s="128">
        <f t="shared" si="40"/>
        <v>3217.6040183587929</v>
      </c>
      <c r="BC64" s="128">
        <f t="shared" si="40"/>
        <v>2627.3519963285912</v>
      </c>
    </row>
    <row r="65" spans="1:55" s="128" customFormat="1" x14ac:dyDescent="0.35">
      <c r="A65" s="128" t="str">
        <f t="shared" ref="A65:B65" si="49">A24</f>
        <v>NASA</v>
      </c>
      <c r="B65" s="128" t="str">
        <f t="shared" si="49"/>
        <v>Developmental</v>
      </c>
      <c r="C65" s="128" t="s">
        <v>90</v>
      </c>
      <c r="D65" s="128">
        <f t="shared" si="4"/>
        <v>0</v>
      </c>
      <c r="E65" s="128">
        <f t="shared" si="26"/>
        <v>0</v>
      </c>
      <c r="F65" s="128">
        <f t="shared" si="26"/>
        <v>0</v>
      </c>
      <c r="G65" s="128">
        <f t="shared" si="26"/>
        <v>0</v>
      </c>
      <c r="H65" s="128">
        <f t="shared" si="26"/>
        <v>0</v>
      </c>
      <c r="I65" s="128">
        <f t="shared" si="26"/>
        <v>0</v>
      </c>
      <c r="J65" s="128">
        <f t="shared" si="26"/>
        <v>0</v>
      </c>
      <c r="K65" s="128">
        <f t="shared" si="26"/>
        <v>0</v>
      </c>
      <c r="L65" s="128">
        <f t="shared" si="26"/>
        <v>0</v>
      </c>
      <c r="M65" s="128">
        <f t="shared" si="26"/>
        <v>0</v>
      </c>
      <c r="N65" s="128">
        <f t="shared" si="26"/>
        <v>0</v>
      </c>
      <c r="O65" s="128">
        <f t="shared" si="26"/>
        <v>0</v>
      </c>
      <c r="P65" s="128">
        <f t="shared" si="26"/>
        <v>0</v>
      </c>
      <c r="Q65" s="128">
        <f t="shared" si="26"/>
        <v>0</v>
      </c>
      <c r="R65" s="128">
        <f t="shared" si="26"/>
        <v>0</v>
      </c>
      <c r="S65" s="128">
        <f t="shared" si="26"/>
        <v>0</v>
      </c>
      <c r="T65" s="128">
        <f t="shared" si="26"/>
        <v>0</v>
      </c>
      <c r="U65" s="128">
        <f t="shared" si="26"/>
        <v>0</v>
      </c>
      <c r="V65" s="128">
        <f t="shared" si="26"/>
        <v>0</v>
      </c>
      <c r="W65" s="128">
        <f t="shared" si="26"/>
        <v>0</v>
      </c>
      <c r="X65" s="128">
        <f t="shared" ref="E65:AA77" si="50">X24/X$40</f>
        <v>0</v>
      </c>
      <c r="Y65" s="128">
        <f t="shared" si="50"/>
        <v>0</v>
      </c>
      <c r="Z65" s="128">
        <f t="shared" si="50"/>
        <v>0</v>
      </c>
      <c r="AA65" s="128">
        <f t="shared" si="50"/>
        <v>0</v>
      </c>
      <c r="AB65" s="128">
        <f t="shared" ref="AB65" si="51">AB24/AB$40</f>
        <v>0</v>
      </c>
      <c r="AC65" s="128">
        <f t="shared" si="40"/>
        <v>3740.531607216637</v>
      </c>
      <c r="AD65" s="128">
        <f t="shared" si="40"/>
        <v>3721.9308861099903</v>
      </c>
      <c r="AE65" s="128">
        <f t="shared" si="40"/>
        <v>3425.9994704792166</v>
      </c>
      <c r="AF65" s="128">
        <f t="shared" si="40"/>
        <v>3848.5517599688269</v>
      </c>
      <c r="AG65" s="128">
        <f t="shared" si="40"/>
        <v>4043.3624952453406</v>
      </c>
      <c r="AH65" s="128">
        <f t="shared" si="40"/>
        <v>4403.8390550018457</v>
      </c>
      <c r="AI65" s="128">
        <f t="shared" si="40"/>
        <v>6100.5839590036949</v>
      </c>
      <c r="AJ65" s="128">
        <f t="shared" si="40"/>
        <v>7263.9758756668989</v>
      </c>
      <c r="AK65" s="128">
        <f t="shared" si="40"/>
        <v>6919.6682195205094</v>
      </c>
      <c r="AL65" s="128">
        <f t="shared" si="40"/>
        <v>5645.0343043527164</v>
      </c>
      <c r="AM65" s="128">
        <f t="shared" si="40"/>
        <v>6089.4290811775199</v>
      </c>
      <c r="AN65" s="128">
        <f t="shared" si="40"/>
        <v>5792.5229558373421</v>
      </c>
      <c r="AO65" s="128">
        <f t="shared" si="40"/>
        <v>5737.5993128623577</v>
      </c>
      <c r="AP65" s="128">
        <f t="shared" si="40"/>
        <v>5622.5877886744702</v>
      </c>
      <c r="AQ65" s="128">
        <f t="shared" si="40"/>
        <v>5974.3164871582439</v>
      </c>
      <c r="AR65" s="128">
        <f t="shared" si="40"/>
        <v>5966.584665846658</v>
      </c>
      <c r="AS65" s="128">
        <f t="shared" si="40"/>
        <v>7355.6030099654254</v>
      </c>
      <c r="AT65" s="128">
        <f t="shared" si="40"/>
        <v>4568.8999999999996</v>
      </c>
      <c r="AU65" s="128">
        <f t="shared" si="40"/>
        <v>5572.0015652514185</v>
      </c>
      <c r="AV65" s="128">
        <f t="shared" si="40"/>
        <v>2775.91009509173</v>
      </c>
      <c r="AW65" s="128">
        <f t="shared" si="40"/>
        <v>5148.3834265667965</v>
      </c>
      <c r="AX65" s="128">
        <f t="shared" si="40"/>
        <v>4561.8698441796514</v>
      </c>
      <c r="AY65" s="128">
        <f t="shared" si="40"/>
        <v>3627.1738199263259</v>
      </c>
      <c r="AZ65" s="128">
        <f t="shared" si="40"/>
        <v>4002.6214467109039</v>
      </c>
      <c r="BA65" s="128">
        <f t="shared" si="40"/>
        <v>3866.5921966009732</v>
      </c>
      <c r="BB65" s="128">
        <f t="shared" si="40"/>
        <v>3746.0961898813243</v>
      </c>
      <c r="BC65" s="128">
        <f t="shared" si="40"/>
        <v>2558.5130793942176</v>
      </c>
    </row>
    <row r="66" spans="1:55" s="128" customFormat="1" x14ac:dyDescent="0.35">
      <c r="A66" s="128" t="str">
        <f t="shared" ref="A66:B66" si="52">A25</f>
        <v>DOD</v>
      </c>
      <c r="B66" s="128" t="str">
        <f t="shared" si="52"/>
        <v>Developmental</v>
      </c>
      <c r="C66" s="128" t="s">
        <v>90</v>
      </c>
      <c r="D66" s="128">
        <f t="shared" si="4"/>
        <v>0</v>
      </c>
      <c r="E66" s="128">
        <f t="shared" si="50"/>
        <v>0</v>
      </c>
      <c r="F66" s="128">
        <f t="shared" si="50"/>
        <v>0</v>
      </c>
      <c r="G66" s="128">
        <f t="shared" si="50"/>
        <v>0</v>
      </c>
      <c r="H66" s="128">
        <f t="shared" si="50"/>
        <v>0</v>
      </c>
      <c r="I66" s="128">
        <f t="shared" si="50"/>
        <v>0</v>
      </c>
      <c r="J66" s="128">
        <f t="shared" si="50"/>
        <v>0</v>
      </c>
      <c r="K66" s="128">
        <f t="shared" si="50"/>
        <v>0</v>
      </c>
      <c r="L66" s="128">
        <f t="shared" si="50"/>
        <v>0</v>
      </c>
      <c r="M66" s="128">
        <f t="shared" si="50"/>
        <v>0</v>
      </c>
      <c r="N66" s="128">
        <f t="shared" si="50"/>
        <v>0</v>
      </c>
      <c r="O66" s="128">
        <f t="shared" si="50"/>
        <v>0</v>
      </c>
      <c r="P66" s="128">
        <f t="shared" si="50"/>
        <v>0</v>
      </c>
      <c r="Q66" s="128">
        <f t="shared" si="50"/>
        <v>0</v>
      </c>
      <c r="R66" s="128">
        <f t="shared" si="50"/>
        <v>0</v>
      </c>
      <c r="S66" s="128">
        <f t="shared" si="50"/>
        <v>0</v>
      </c>
      <c r="T66" s="128">
        <f t="shared" si="50"/>
        <v>0</v>
      </c>
      <c r="U66" s="128">
        <f t="shared" si="50"/>
        <v>0</v>
      </c>
      <c r="V66" s="128">
        <f t="shared" si="50"/>
        <v>0</v>
      </c>
      <c r="W66" s="128">
        <f t="shared" si="50"/>
        <v>0</v>
      </c>
      <c r="X66" s="128">
        <f t="shared" si="50"/>
        <v>0</v>
      </c>
      <c r="Y66" s="128">
        <f t="shared" si="50"/>
        <v>0</v>
      </c>
      <c r="Z66" s="128">
        <f t="shared" si="50"/>
        <v>0</v>
      </c>
      <c r="AA66" s="128">
        <f t="shared" si="50"/>
        <v>0</v>
      </c>
      <c r="AB66" s="128">
        <f t="shared" ref="AB66" si="53">AB25/AB$40</f>
        <v>0</v>
      </c>
      <c r="AC66" s="128">
        <f t="shared" si="40"/>
        <v>48233.025754028371</v>
      </c>
      <c r="AD66" s="128">
        <f t="shared" si="40"/>
        <v>50189.592577652278</v>
      </c>
      <c r="AE66" s="128">
        <f t="shared" si="40"/>
        <v>57954.725972994442</v>
      </c>
      <c r="AF66" s="128">
        <f t="shared" si="40"/>
        <v>69042.732822444465</v>
      </c>
      <c r="AG66" s="128">
        <f t="shared" si="40"/>
        <v>75700.519842779264</v>
      </c>
      <c r="AH66" s="128">
        <f t="shared" si="40"/>
        <v>77936.507936507944</v>
      </c>
      <c r="AI66" s="128">
        <f t="shared" si="40"/>
        <v>80030.98557978787</v>
      </c>
      <c r="AJ66" s="128">
        <f t="shared" si="40"/>
        <v>83090.930178612849</v>
      </c>
      <c r="AK66" s="128">
        <f t="shared" si="40"/>
        <v>83647.312805363021</v>
      </c>
      <c r="AL66" s="128">
        <f t="shared" si="40"/>
        <v>82826.453717242155</v>
      </c>
      <c r="AM66" s="128">
        <f t="shared" si="40"/>
        <v>82782.114183764497</v>
      </c>
      <c r="AN66" s="128">
        <f t="shared" si="40"/>
        <v>77245.84936598166</v>
      </c>
      <c r="AO66" s="128">
        <f t="shared" si="40"/>
        <v>71995.168563452869</v>
      </c>
      <c r="AP66" s="128">
        <f t="shared" si="40"/>
        <v>61818.40662237689</v>
      </c>
      <c r="AQ66" s="128">
        <f t="shared" si="40"/>
        <v>59286.886909693458</v>
      </c>
      <c r="AR66" s="128">
        <f t="shared" si="40"/>
        <v>58953.006355063546</v>
      </c>
      <c r="AS66" s="128">
        <f t="shared" si="40"/>
        <v>64919.905430140323</v>
      </c>
      <c r="AT66" s="128">
        <f t="shared" si="40"/>
        <v>40885.749000000003</v>
      </c>
      <c r="AU66" s="128">
        <f t="shared" si="40"/>
        <v>49870.207395812955</v>
      </c>
      <c r="AV66" s="128">
        <f t="shared" si="40"/>
        <v>51186.232830659894</v>
      </c>
      <c r="AW66" s="128">
        <f t="shared" si="40"/>
        <v>59291.812837773774</v>
      </c>
      <c r="AX66" s="128">
        <f t="shared" si="40"/>
        <v>56934.531622364804</v>
      </c>
      <c r="AY66" s="128">
        <f t="shared" si="40"/>
        <v>59251.459778977129</v>
      </c>
      <c r="AZ66" s="128">
        <f t="shared" si="40"/>
        <v>66554.830834766937</v>
      </c>
      <c r="BA66" s="128">
        <f t="shared" si="40"/>
        <v>62738.163249022582</v>
      </c>
      <c r="BB66" s="128">
        <f t="shared" si="40"/>
        <v>65043.204844103515</v>
      </c>
      <c r="BC66" s="128">
        <f t="shared" si="40"/>
        <v>60485.545357197501</v>
      </c>
    </row>
    <row r="67" spans="1:55" s="128" customFormat="1" x14ac:dyDescent="0.35">
      <c r="A67" s="128" t="str">
        <f t="shared" ref="A67:B67" si="54">A26</f>
        <v>USDA</v>
      </c>
      <c r="B67" s="128" t="str">
        <f t="shared" si="54"/>
        <v>Developmental</v>
      </c>
      <c r="C67" s="128" t="s">
        <v>90</v>
      </c>
      <c r="D67" s="128">
        <f t="shared" si="4"/>
        <v>0</v>
      </c>
      <c r="E67" s="128">
        <f t="shared" si="50"/>
        <v>0</v>
      </c>
      <c r="F67" s="128">
        <f t="shared" si="50"/>
        <v>0</v>
      </c>
      <c r="G67" s="128">
        <f t="shared" si="50"/>
        <v>0</v>
      </c>
      <c r="H67" s="128">
        <f t="shared" si="50"/>
        <v>0</v>
      </c>
      <c r="I67" s="128">
        <f t="shared" si="50"/>
        <v>0</v>
      </c>
      <c r="J67" s="128">
        <f t="shared" si="50"/>
        <v>0</v>
      </c>
      <c r="K67" s="128">
        <f t="shared" si="50"/>
        <v>0</v>
      </c>
      <c r="L67" s="128">
        <f t="shared" si="50"/>
        <v>0</v>
      </c>
      <c r="M67" s="128">
        <f t="shared" si="50"/>
        <v>0</v>
      </c>
      <c r="N67" s="128">
        <f t="shared" si="50"/>
        <v>0</v>
      </c>
      <c r="O67" s="128">
        <f t="shared" si="50"/>
        <v>0</v>
      </c>
      <c r="P67" s="128">
        <f t="shared" si="50"/>
        <v>0</v>
      </c>
      <c r="Q67" s="128">
        <f t="shared" si="50"/>
        <v>0</v>
      </c>
      <c r="R67" s="128">
        <f t="shared" si="50"/>
        <v>0</v>
      </c>
      <c r="S67" s="128">
        <f t="shared" si="50"/>
        <v>0</v>
      </c>
      <c r="T67" s="128">
        <f t="shared" si="50"/>
        <v>0</v>
      </c>
      <c r="U67" s="128">
        <f t="shared" si="50"/>
        <v>0</v>
      </c>
      <c r="V67" s="128">
        <f t="shared" si="50"/>
        <v>0</v>
      </c>
      <c r="W67" s="128">
        <f t="shared" si="50"/>
        <v>0</v>
      </c>
      <c r="X67" s="128">
        <f t="shared" si="50"/>
        <v>0</v>
      </c>
      <c r="Y67" s="128">
        <f t="shared" si="50"/>
        <v>0</v>
      </c>
      <c r="Z67" s="128">
        <f t="shared" si="50"/>
        <v>0</v>
      </c>
      <c r="AA67" s="128">
        <f t="shared" si="50"/>
        <v>0</v>
      </c>
      <c r="AB67" s="128">
        <f t="shared" ref="AB67" si="55">AB26/AB$40</f>
        <v>0</v>
      </c>
      <c r="AC67" s="128">
        <f t="shared" si="40"/>
        <v>152.87150530229997</v>
      </c>
      <c r="AD67" s="128">
        <f t="shared" si="40"/>
        <v>204.3834879655775</v>
      </c>
      <c r="AE67" s="128">
        <f t="shared" si="40"/>
        <v>174.74185861795075</v>
      </c>
      <c r="AF67" s="128">
        <f t="shared" si="40"/>
        <v>189.63501753474478</v>
      </c>
      <c r="AG67" s="128">
        <f t="shared" si="40"/>
        <v>201.59756561430203</v>
      </c>
      <c r="AH67" s="128">
        <f t="shared" si="40"/>
        <v>191.95275009228499</v>
      </c>
      <c r="AI67" s="128">
        <f t="shared" si="40"/>
        <v>199.02276248361341</v>
      </c>
      <c r="AJ67" s="128">
        <f t="shared" si="40"/>
        <v>229.64509394572025</v>
      </c>
      <c r="AK67" s="128">
        <f t="shared" si="40"/>
        <v>179.52505397113964</v>
      </c>
      <c r="AL67" s="128">
        <f t="shared" si="40"/>
        <v>185.58092453042403</v>
      </c>
      <c r="AM67" s="128">
        <f t="shared" si="40"/>
        <v>207.40410347903656</v>
      </c>
      <c r="AN67" s="128">
        <f t="shared" si="40"/>
        <v>193.4849147354613</v>
      </c>
      <c r="AO67" s="128">
        <f t="shared" si="40"/>
        <v>205.06764011165987</v>
      </c>
      <c r="AP67" s="128">
        <f t="shared" si="40"/>
        <v>170.832015185068</v>
      </c>
      <c r="AQ67" s="128">
        <f t="shared" si="40"/>
        <v>185.37696768848383</v>
      </c>
      <c r="AR67" s="128">
        <f t="shared" si="40"/>
        <v>181.42681426814266</v>
      </c>
      <c r="AS67" s="128">
        <f t="shared" si="40"/>
        <v>179.98779743746186</v>
      </c>
      <c r="AT67" s="128">
        <f t="shared" si="40"/>
        <v>174</v>
      </c>
      <c r="AU67" s="128">
        <f t="shared" si="40"/>
        <v>176.09078458227353</v>
      </c>
      <c r="AV67" s="128">
        <f t="shared" si="40"/>
        <v>158.48621650177697</v>
      </c>
      <c r="AW67" s="128">
        <f t="shared" si="40"/>
        <v>279.7003887361335</v>
      </c>
      <c r="AX67" s="128">
        <f t="shared" si="40"/>
        <v>282.30980751604034</v>
      </c>
      <c r="AY67" s="128">
        <f t="shared" si="40"/>
        <v>327.25092092863872</v>
      </c>
      <c r="AZ67" s="128">
        <f t="shared" si="40"/>
        <v>306.38158433685595</v>
      </c>
      <c r="BA67" s="128">
        <f t="shared" si="40"/>
        <v>205.05864517673342</v>
      </c>
      <c r="BB67" s="128">
        <f t="shared" si="40"/>
        <v>210.02498438475953</v>
      </c>
      <c r="BC67" s="128">
        <f t="shared" si="40"/>
        <v>174.39192290041305</v>
      </c>
    </row>
    <row r="68" spans="1:55" s="128" customFormat="1" x14ac:dyDescent="0.35">
      <c r="A68" s="128" t="str">
        <f t="shared" ref="A68:B68" si="56">A27</f>
        <v>Other</v>
      </c>
      <c r="B68" s="128" t="str">
        <f t="shared" si="56"/>
        <v>Developmental</v>
      </c>
      <c r="C68" s="128" t="s">
        <v>90</v>
      </c>
      <c r="D68" s="128">
        <f>D27/D$40</f>
        <v>45809.862299962784</v>
      </c>
      <c r="E68" s="128">
        <f t="shared" si="50"/>
        <v>45790.974251913707</v>
      </c>
      <c r="F68" s="128">
        <f t="shared" si="50"/>
        <v>48462.887735236865</v>
      </c>
      <c r="G68" s="128">
        <f t="shared" si="50"/>
        <v>49371.781696564307</v>
      </c>
      <c r="H68" s="128">
        <f t="shared" si="50"/>
        <v>49536.25035161744</v>
      </c>
      <c r="I68" s="128">
        <f t="shared" si="50"/>
        <v>47174.783958602842</v>
      </c>
      <c r="J68" s="128">
        <f t="shared" si="50"/>
        <v>49225.12723845429</v>
      </c>
      <c r="K68" s="128">
        <f t="shared" si="50"/>
        <v>51576.126900198273</v>
      </c>
      <c r="L68" s="128">
        <f t="shared" si="50"/>
        <v>51631.834494405739</v>
      </c>
      <c r="M68" s="128">
        <f t="shared" si="50"/>
        <v>55524.964336661906</v>
      </c>
      <c r="N68" s="128">
        <f t="shared" si="50"/>
        <v>63549.792940248466</v>
      </c>
      <c r="O68" s="128">
        <f t="shared" si="50"/>
        <v>67329.218900675027</v>
      </c>
      <c r="P68" s="128">
        <f t="shared" si="50"/>
        <v>70388.983210714956</v>
      </c>
      <c r="Q68" s="128">
        <f t="shared" si="50"/>
        <v>69649.735063036729</v>
      </c>
      <c r="R68" s="128">
        <f t="shared" si="50"/>
        <v>71375.131717597469</v>
      </c>
      <c r="S68" s="128">
        <f t="shared" si="50"/>
        <v>71055.743815655718</v>
      </c>
      <c r="T68" s="128">
        <f t="shared" si="50"/>
        <v>61061.344675282198</v>
      </c>
      <c r="U68" s="128">
        <f t="shared" si="50"/>
        <v>65595.276093201406</v>
      </c>
      <c r="V68" s="128">
        <f t="shared" si="50"/>
        <v>63033.681584281927</v>
      </c>
      <c r="W68" s="128">
        <f t="shared" si="50"/>
        <v>60772.470624141613</v>
      </c>
      <c r="X68" s="128">
        <f t="shared" si="50"/>
        <v>60818.888224745962</v>
      </c>
      <c r="Y68" s="128">
        <f t="shared" si="50"/>
        <v>59548.254620123203</v>
      </c>
      <c r="Z68" s="128">
        <f t="shared" si="50"/>
        <v>61014.555411442576</v>
      </c>
      <c r="AA68" s="128">
        <f t="shared" si="50"/>
        <v>60631.938514090521</v>
      </c>
      <c r="AB68" s="128">
        <f t="shared" ref="AB68" si="57">AB27/AB$40</f>
        <v>62309.855194713899</v>
      </c>
      <c r="AC68" s="128">
        <f t="shared" si="40"/>
        <v>665.19763118027822</v>
      </c>
      <c r="AD68" s="128">
        <f t="shared" si="40"/>
        <v>679.03724620142532</v>
      </c>
      <c r="AE68" s="128">
        <f t="shared" si="40"/>
        <v>787.66216574000532</v>
      </c>
      <c r="AF68" s="128">
        <f t="shared" si="40"/>
        <v>889.72593843356276</v>
      </c>
      <c r="AG68" s="128">
        <f t="shared" ref="AC68:BC77" si="58">AG27/AG$40</f>
        <v>887.32344364142887</v>
      </c>
      <c r="AH68" s="128">
        <f t="shared" si="58"/>
        <v>885.35906446206343</v>
      </c>
      <c r="AI68" s="128">
        <f t="shared" si="58"/>
        <v>813.14026933618982</v>
      </c>
      <c r="AJ68" s="128">
        <f t="shared" si="58"/>
        <v>721.48921363952604</v>
      </c>
      <c r="AK68" s="128">
        <f t="shared" si="58"/>
        <v>643.7313713777429</v>
      </c>
      <c r="AL68" s="128">
        <f t="shared" si="58"/>
        <v>791.81598788214967</v>
      </c>
      <c r="AM68" s="128">
        <f t="shared" si="58"/>
        <v>787.02947438902515</v>
      </c>
      <c r="AN68" s="128">
        <f t="shared" si="58"/>
        <v>751.69304171657529</v>
      </c>
      <c r="AO68" s="128">
        <f t="shared" si="58"/>
        <v>778.1984884722126</v>
      </c>
      <c r="AP68" s="128">
        <f t="shared" si="58"/>
        <v>677.94685226195475</v>
      </c>
      <c r="AQ68" s="128">
        <f t="shared" si="58"/>
        <v>734.11661143330321</v>
      </c>
      <c r="AR68" s="128">
        <f t="shared" si="58"/>
        <v>708.77511275112727</v>
      </c>
      <c r="AS68" s="128">
        <f t="shared" si="58"/>
        <v>952.64275546206215</v>
      </c>
      <c r="AT68" s="128">
        <f t="shared" si="58"/>
        <v>804.62100000000646</v>
      </c>
      <c r="AU68" s="128">
        <f t="shared" si="58"/>
        <v>808.60888280180484</v>
      </c>
      <c r="AV68" s="128">
        <f t="shared" si="58"/>
        <v>902.62838344059458</v>
      </c>
      <c r="AW68" s="128">
        <f t="shared" si="58"/>
        <v>873.97485860432948</v>
      </c>
      <c r="AX68" s="128">
        <f t="shared" si="58"/>
        <v>901.93018331805195</v>
      </c>
      <c r="AY68" s="128">
        <f t="shared" si="58"/>
        <v>4952.2170821554</v>
      </c>
      <c r="AZ68" s="128">
        <f t="shared" si="58"/>
        <v>2126.9351863707225</v>
      </c>
      <c r="BA68" s="128">
        <f t="shared" si="58"/>
        <v>1831.1657224926194</v>
      </c>
      <c r="BB68" s="128">
        <f t="shared" si="58"/>
        <v>1586.5084322298565</v>
      </c>
      <c r="BC68" s="128">
        <f t="shared" si="58"/>
        <v>1649.8393758604866</v>
      </c>
    </row>
    <row r="69" spans="1:55" s="128" customFormat="1" x14ac:dyDescent="0.35">
      <c r="A69" s="128" t="str">
        <f t="shared" ref="A69:B69" si="59">A28</f>
        <v>ARRA</v>
      </c>
      <c r="B69" s="128" t="str">
        <f t="shared" si="59"/>
        <v>Developmental</v>
      </c>
      <c r="C69" s="128" t="s">
        <v>90</v>
      </c>
      <c r="D69" s="128">
        <f t="shared" si="4"/>
        <v>0</v>
      </c>
      <c r="E69" s="128">
        <f t="shared" si="50"/>
        <v>0</v>
      </c>
      <c r="F69" s="128">
        <f t="shared" si="50"/>
        <v>0</v>
      </c>
      <c r="G69" s="128">
        <f t="shared" si="50"/>
        <v>0</v>
      </c>
      <c r="H69" s="128">
        <f t="shared" si="50"/>
        <v>0</v>
      </c>
      <c r="I69" s="128">
        <f t="shared" si="50"/>
        <v>0</v>
      </c>
      <c r="J69" s="128">
        <f t="shared" si="50"/>
        <v>0</v>
      </c>
      <c r="K69" s="128">
        <f t="shared" si="50"/>
        <v>0</v>
      </c>
      <c r="L69" s="128">
        <f t="shared" si="50"/>
        <v>0</v>
      </c>
      <c r="M69" s="128">
        <f t="shared" si="50"/>
        <v>0</v>
      </c>
      <c r="N69" s="128">
        <f t="shared" si="50"/>
        <v>0</v>
      </c>
      <c r="O69" s="128">
        <f t="shared" si="50"/>
        <v>0</v>
      </c>
      <c r="P69" s="128">
        <f t="shared" si="50"/>
        <v>0</v>
      </c>
      <c r="Q69" s="128">
        <f t="shared" si="50"/>
        <v>0</v>
      </c>
      <c r="R69" s="128">
        <f t="shared" si="50"/>
        <v>0</v>
      </c>
      <c r="S69" s="128">
        <f t="shared" si="50"/>
        <v>0</v>
      </c>
      <c r="T69" s="128">
        <f t="shared" si="50"/>
        <v>0</v>
      </c>
      <c r="U69" s="128">
        <f t="shared" si="50"/>
        <v>0</v>
      </c>
      <c r="V69" s="128">
        <f t="shared" si="50"/>
        <v>0</v>
      </c>
      <c r="W69" s="128">
        <f t="shared" si="50"/>
        <v>0</v>
      </c>
      <c r="X69" s="128">
        <f t="shared" si="50"/>
        <v>0</v>
      </c>
      <c r="Y69" s="128">
        <f t="shared" si="50"/>
        <v>0</v>
      </c>
      <c r="Z69" s="128">
        <f t="shared" si="50"/>
        <v>0</v>
      </c>
      <c r="AA69" s="128">
        <f t="shared" si="50"/>
        <v>0</v>
      </c>
      <c r="AB69" s="128">
        <f t="shared" ref="AB69" si="60">AB28/AB$40</f>
        <v>62309.855194713899</v>
      </c>
      <c r="AC69" s="128">
        <f t="shared" si="58"/>
        <v>0</v>
      </c>
      <c r="AD69" s="128">
        <f t="shared" si="58"/>
        <v>0</v>
      </c>
      <c r="AE69" s="128">
        <f t="shared" si="58"/>
        <v>0</v>
      </c>
      <c r="AF69" s="128">
        <f t="shared" si="58"/>
        <v>0</v>
      </c>
      <c r="AG69" s="128">
        <f t="shared" si="58"/>
        <v>0</v>
      </c>
      <c r="AH69" s="128">
        <f t="shared" si="58"/>
        <v>0</v>
      </c>
      <c r="AI69" s="128">
        <f t="shared" si="58"/>
        <v>0</v>
      </c>
      <c r="AJ69" s="128">
        <f t="shared" si="58"/>
        <v>0</v>
      </c>
      <c r="AK69" s="128">
        <f t="shared" si="58"/>
        <v>0</v>
      </c>
      <c r="AL69" s="128">
        <f t="shared" si="58"/>
        <v>1665.7293892700484</v>
      </c>
      <c r="AM69" s="128">
        <f t="shared" si="58"/>
        <v>0</v>
      </c>
      <c r="AN69" s="128">
        <f t="shared" si="58"/>
        <v>0</v>
      </c>
      <c r="AO69" s="128">
        <f t="shared" si="58"/>
        <v>0</v>
      </c>
      <c r="AP69" s="128">
        <f t="shared" si="58"/>
        <v>0</v>
      </c>
      <c r="AQ69" s="128">
        <f t="shared" si="58"/>
        <v>0</v>
      </c>
      <c r="AR69" s="128">
        <f t="shared" si="58"/>
        <v>0</v>
      </c>
      <c r="AS69" s="128">
        <f t="shared" si="58"/>
        <v>0</v>
      </c>
      <c r="AT69" s="128">
        <f t="shared" si="58"/>
        <v>0</v>
      </c>
      <c r="AU69" s="128">
        <f t="shared" si="58"/>
        <v>0</v>
      </c>
      <c r="AV69" s="128">
        <f t="shared" si="58"/>
        <v>0</v>
      </c>
      <c r="AW69" s="128">
        <f t="shared" si="58"/>
        <v>0</v>
      </c>
      <c r="AX69" s="128">
        <f t="shared" si="58"/>
        <v>0</v>
      </c>
      <c r="AY69" s="128">
        <f t="shared" si="58"/>
        <v>0</v>
      </c>
      <c r="AZ69" s="128">
        <f t="shared" si="58"/>
        <v>0</v>
      </c>
      <c r="BA69" s="128">
        <f t="shared" si="58"/>
        <v>0</v>
      </c>
      <c r="BB69" s="128">
        <f t="shared" si="58"/>
        <v>0</v>
      </c>
      <c r="BC69" s="128">
        <f t="shared" si="58"/>
        <v>0</v>
      </c>
    </row>
    <row r="70" spans="1:55" s="128" customFormat="1" x14ac:dyDescent="0.35">
      <c r="A70" s="128" t="str">
        <f>A29</f>
        <v>All</v>
      </c>
      <c r="B70" s="128" t="str">
        <f>B29</f>
        <v>Research</v>
      </c>
      <c r="C70" s="128" t="s">
        <v>90</v>
      </c>
      <c r="D70" s="128">
        <f>D29/D$40</f>
        <v>25045.4335690361</v>
      </c>
      <c r="E70" s="128">
        <f t="shared" ref="E70:AB70" si="61">E29/E$40</f>
        <v>26511.245650661102</v>
      </c>
      <c r="F70" s="128">
        <f t="shared" si="61"/>
        <v>27625.292018170021</v>
      </c>
      <c r="G70" s="128">
        <f t="shared" si="61"/>
        <v>29208.750380054724</v>
      </c>
      <c r="H70" s="128">
        <f t="shared" si="61"/>
        <v>29634.331926863571</v>
      </c>
      <c r="I70" s="128">
        <f t="shared" si="61"/>
        <v>30006.152652005174</v>
      </c>
      <c r="J70" s="128">
        <f t="shared" si="61"/>
        <v>28776.578699340247</v>
      </c>
      <c r="K70" s="128">
        <f t="shared" si="61"/>
        <v>28689.546155540866</v>
      </c>
      <c r="L70" s="128">
        <f t="shared" si="61"/>
        <v>30089.71923158117</v>
      </c>
      <c r="M70" s="128">
        <f t="shared" si="61"/>
        <v>30525.371917668632</v>
      </c>
      <c r="N70" s="128">
        <f t="shared" si="61"/>
        <v>31815.026621968052</v>
      </c>
      <c r="O70" s="128">
        <f t="shared" si="61"/>
        <v>31826.808100289301</v>
      </c>
      <c r="P70" s="128">
        <f t="shared" si="61"/>
        <v>33843.61441237502</v>
      </c>
      <c r="Q70" s="128">
        <f t="shared" si="61"/>
        <v>34076.557646628906</v>
      </c>
      <c r="R70" s="128">
        <f t="shared" si="61"/>
        <v>36469.090270460132</v>
      </c>
      <c r="S70" s="128">
        <f t="shared" si="61"/>
        <v>36635.716706201296</v>
      </c>
      <c r="T70" s="128">
        <f t="shared" si="61"/>
        <v>39208.899067560938</v>
      </c>
      <c r="U70" s="128">
        <f t="shared" si="61"/>
        <v>39084.902649217998</v>
      </c>
      <c r="V70" s="128">
        <f t="shared" si="61"/>
        <v>41931.233432091067</v>
      </c>
      <c r="W70" s="128">
        <f t="shared" si="61"/>
        <v>41830.001526018619</v>
      </c>
      <c r="X70" s="128">
        <f t="shared" si="61"/>
        <v>41924.387560023461</v>
      </c>
      <c r="Y70" s="128">
        <f t="shared" si="61"/>
        <v>41916.849308760291</v>
      </c>
      <c r="Z70" s="128">
        <f t="shared" si="61"/>
        <v>42349.041648652543</v>
      </c>
      <c r="AA70" s="128">
        <f t="shared" si="61"/>
        <v>44097.637346996868</v>
      </c>
      <c r="AB70" s="128">
        <f t="shared" si="61"/>
        <v>46991.424152959364</v>
      </c>
      <c r="AC70" s="128">
        <f t="shared" ref="AC70:BC70" si="62">AC29/AC$40</f>
        <v>52919.708029197085</v>
      </c>
      <c r="AD70" s="128">
        <f t="shared" si="62"/>
        <v>58929.675944601317</v>
      </c>
      <c r="AE70" s="128">
        <f t="shared" si="62"/>
        <v>63880.063542494048</v>
      </c>
      <c r="AF70" s="128">
        <f t="shared" si="62"/>
        <v>68566.721242832224</v>
      </c>
      <c r="AG70" s="128">
        <f t="shared" si="62"/>
        <v>70148.05650440621</v>
      </c>
      <c r="AH70" s="128">
        <f t="shared" si="62"/>
        <v>69558.850083030949</v>
      </c>
      <c r="AI70" s="128">
        <f t="shared" si="62"/>
        <v>66315.725228845942</v>
      </c>
      <c r="AJ70" s="128">
        <f t="shared" si="62"/>
        <v>65836.351228506115</v>
      </c>
      <c r="AK70" s="128">
        <f t="shared" si="62"/>
        <v>64587.846858372301</v>
      </c>
      <c r="AL70" s="128">
        <f t="shared" si="62"/>
        <v>65630.316890272938</v>
      </c>
      <c r="AM70" s="128">
        <f t="shared" si="62"/>
        <v>68145.668083623066</v>
      </c>
      <c r="AN70" s="128">
        <f t="shared" si="62"/>
        <v>68021.760132490439</v>
      </c>
      <c r="AO70" s="128">
        <f t="shared" si="62"/>
        <v>69929.340699846449</v>
      </c>
      <c r="AP70" s="128">
        <f t="shared" si="62"/>
        <v>66613.509575335425</v>
      </c>
      <c r="AQ70" s="128">
        <f t="shared" si="62"/>
        <v>69258.116432819734</v>
      </c>
      <c r="AR70" s="128">
        <f t="shared" si="62"/>
        <v>69710.58049641714</v>
      </c>
      <c r="AS70" s="128">
        <f t="shared" si="62"/>
        <v>73538.273574050618</v>
      </c>
      <c r="AT70" s="128">
        <f t="shared" si="62"/>
        <v>74702.177931385144</v>
      </c>
      <c r="AU70" s="128">
        <f t="shared" si="62"/>
        <v>77903.624436509504</v>
      </c>
      <c r="AV70" s="128">
        <f t="shared" si="62"/>
        <v>81686.893582749006</v>
      </c>
      <c r="AW70" s="128">
        <f t="shared" si="62"/>
        <v>86346.596246837958</v>
      </c>
      <c r="AX70" s="128">
        <f t="shared" si="62"/>
        <v>80001.715096241984</v>
      </c>
      <c r="AY70" s="128">
        <f t="shared" si="62"/>
        <v>79868.780947485662</v>
      </c>
      <c r="AZ70" s="128">
        <f t="shared" si="62"/>
        <v>79573.056443675683</v>
      </c>
      <c r="BA70" s="128">
        <f t="shared" si="62"/>
        <v>78595.866113460448</v>
      </c>
      <c r="BB70" s="128">
        <f t="shared" si="62"/>
        <v>75010.531466353321</v>
      </c>
      <c r="BC70" s="128">
        <f t="shared" si="62"/>
        <v>47779.348324919694</v>
      </c>
    </row>
    <row r="71" spans="1:55" s="128" customFormat="1" x14ac:dyDescent="0.35">
      <c r="A71" s="128" t="str">
        <f t="shared" ref="A71:B71" si="63">A30</f>
        <v>NIH</v>
      </c>
      <c r="B71" s="128" t="str">
        <f t="shared" si="63"/>
        <v>Research</v>
      </c>
      <c r="C71" s="128" t="s">
        <v>90</v>
      </c>
      <c r="D71" s="128">
        <f t="shared" si="4"/>
        <v>5970.290286564943</v>
      </c>
      <c r="E71" s="128">
        <f t="shared" si="50"/>
        <v>6150.6332637439109</v>
      </c>
      <c r="F71" s="128">
        <f t="shared" si="50"/>
        <v>6387.5989617131736</v>
      </c>
      <c r="G71" s="128">
        <f t="shared" si="50"/>
        <v>6788.0693219823652</v>
      </c>
      <c r="H71" s="128">
        <f t="shared" si="50"/>
        <v>7117.0492264416316</v>
      </c>
      <c r="I71" s="128">
        <f t="shared" si="50"/>
        <v>7212.0827943078903</v>
      </c>
      <c r="J71" s="128">
        <f t="shared" si="50"/>
        <v>6947.0051837888786</v>
      </c>
      <c r="K71" s="128">
        <f t="shared" si="50"/>
        <v>6883.5690680766693</v>
      </c>
      <c r="L71" s="128">
        <f t="shared" si="50"/>
        <v>7342.6324678066285</v>
      </c>
      <c r="M71" s="128">
        <f t="shared" si="50"/>
        <v>7969.0584878744648</v>
      </c>
      <c r="N71" s="128">
        <f t="shared" si="50"/>
        <v>8732.2027213567344</v>
      </c>
      <c r="O71" s="128">
        <f t="shared" si="50"/>
        <v>8847.830279652846</v>
      </c>
      <c r="P71" s="128">
        <f t="shared" si="50"/>
        <v>10025.844180343331</v>
      </c>
      <c r="Q71" s="128">
        <f t="shared" si="50"/>
        <v>10379.499360496984</v>
      </c>
      <c r="R71" s="128">
        <f t="shared" si="50"/>
        <v>10645.943097997893</v>
      </c>
      <c r="S71" s="128">
        <f t="shared" si="50"/>
        <v>10735.005083022705</v>
      </c>
      <c r="T71" s="128">
        <f t="shared" si="50"/>
        <v>11096.024865041716</v>
      </c>
      <c r="U71" s="128">
        <f t="shared" si="50"/>
        <v>11807.692307692307</v>
      </c>
      <c r="V71" s="128">
        <f t="shared" si="50"/>
        <v>13470.294713862468</v>
      </c>
      <c r="W71" s="128">
        <f t="shared" si="50"/>
        <v>13855.791240653138</v>
      </c>
      <c r="X71" s="128">
        <f t="shared" si="50"/>
        <v>13935.832337118949</v>
      </c>
      <c r="Y71" s="128">
        <f t="shared" si="50"/>
        <v>14422.198591962453</v>
      </c>
      <c r="Z71" s="128">
        <f t="shared" si="50"/>
        <v>15161.974347888747</v>
      </c>
      <c r="AA71" s="128">
        <f t="shared" si="50"/>
        <v>16067.463706233988</v>
      </c>
      <c r="AB71" s="128">
        <f t="shared" ref="AB71" si="64">AB30/AB$40</f>
        <v>18103.472515113172</v>
      </c>
      <c r="AC71" s="128">
        <f t="shared" si="58"/>
        <v>23403.112518936785</v>
      </c>
      <c r="AD71" s="128">
        <f t="shared" si="58"/>
        <v>26302.272421675407</v>
      </c>
      <c r="AE71" s="128">
        <f t="shared" si="58"/>
        <v>29519.459888800637</v>
      </c>
      <c r="AF71" s="128">
        <f t="shared" si="58"/>
        <v>32804.898038706327</v>
      </c>
      <c r="AG71" s="128">
        <f t="shared" si="58"/>
        <v>34272.244199315333</v>
      </c>
      <c r="AH71" s="128">
        <f t="shared" si="58"/>
        <v>33933.65817644888</v>
      </c>
      <c r="AI71" s="128">
        <f t="shared" si="58"/>
        <v>32920.857700347318</v>
      </c>
      <c r="AJ71" s="128">
        <f t="shared" si="58"/>
        <v>32761.444859180468</v>
      </c>
      <c r="AK71" s="128">
        <f t="shared" si="58"/>
        <v>32274.751732757642</v>
      </c>
      <c r="AL71" s="128">
        <f t="shared" si="58"/>
        <v>33313.362951299066</v>
      </c>
      <c r="AM71" s="128">
        <f t="shared" si="58"/>
        <v>33810.108162355034</v>
      </c>
      <c r="AN71" s="128">
        <f t="shared" si="58"/>
        <v>32545.911674682993</v>
      </c>
      <c r="AO71" s="128">
        <f t="shared" si="58"/>
        <v>32077.349151814473</v>
      </c>
      <c r="AP71" s="128">
        <f t="shared" si="58"/>
        <v>29753.512410629544</v>
      </c>
      <c r="AQ71" s="128">
        <f t="shared" si="58"/>
        <v>30151.803024026514</v>
      </c>
      <c r="AR71" s="128">
        <f t="shared" si="58"/>
        <v>29328.756853218532</v>
      </c>
      <c r="AS71" s="128">
        <f t="shared" si="58"/>
        <v>31029.693468578396</v>
      </c>
      <c r="AT71" s="128">
        <f t="shared" si="58"/>
        <v>32419</v>
      </c>
      <c r="AU71" s="128">
        <f t="shared" si="58"/>
        <v>34466.514281940916</v>
      </c>
      <c r="AV71" s="128">
        <f t="shared" si="58"/>
        <v>35420.915569109588</v>
      </c>
      <c r="AW71" s="128">
        <f t="shared" si="58"/>
        <v>40451.313169621695</v>
      </c>
      <c r="AX71" s="128">
        <f t="shared" si="58"/>
        <v>37164.069660861598</v>
      </c>
      <c r="AY71" s="128">
        <f t="shared" si="58"/>
        <v>37212.370427482223</v>
      </c>
      <c r="AZ71" s="128">
        <f t="shared" si="58"/>
        <v>37619.398705660693</v>
      </c>
      <c r="BA71" s="128">
        <f t="shared" si="58"/>
        <v>37961.381951647651</v>
      </c>
      <c r="BB71" s="128">
        <f t="shared" si="58"/>
        <v>37730.324797001878</v>
      </c>
      <c r="BC71" s="128">
        <f t="shared" si="58"/>
        <v>23554.382744378156</v>
      </c>
    </row>
    <row r="72" spans="1:55" s="128" customFormat="1" x14ac:dyDescent="0.35">
      <c r="A72" s="128" t="str">
        <f t="shared" ref="A72:B72" si="65">A31</f>
        <v>NSF</v>
      </c>
      <c r="B72" s="128" t="str">
        <f t="shared" si="65"/>
        <v>Research</v>
      </c>
      <c r="C72" s="128" t="s">
        <v>90</v>
      </c>
      <c r="D72" s="128">
        <f t="shared" si="4"/>
        <v>2121.3807219947898</v>
      </c>
      <c r="E72" s="128">
        <f t="shared" si="50"/>
        <v>2072.9853862212944</v>
      </c>
      <c r="F72" s="128">
        <f t="shared" si="50"/>
        <v>2233.2900713822196</v>
      </c>
      <c r="G72" s="128">
        <f t="shared" si="50"/>
        <v>2260.5716023107325</v>
      </c>
      <c r="H72" s="128">
        <f t="shared" si="50"/>
        <v>2250.42194092827</v>
      </c>
      <c r="I72" s="128">
        <f t="shared" si="50"/>
        <v>2260.5097024579559</v>
      </c>
      <c r="J72" s="128">
        <f t="shared" si="50"/>
        <v>2251.3289349670122</v>
      </c>
      <c r="K72" s="128">
        <f t="shared" si="50"/>
        <v>2144.007490636704</v>
      </c>
      <c r="L72" s="128">
        <f t="shared" si="50"/>
        <v>2241.9041587502638</v>
      </c>
      <c r="M72" s="128">
        <f t="shared" si="50"/>
        <v>2451.2329325453429</v>
      </c>
      <c r="N72" s="128">
        <f t="shared" si="50"/>
        <v>2653.5200157759809</v>
      </c>
      <c r="O72" s="128">
        <f t="shared" si="50"/>
        <v>2610.028929604629</v>
      </c>
      <c r="P72" s="128">
        <f t="shared" si="50"/>
        <v>2774.0049047349557</v>
      </c>
      <c r="Q72" s="128">
        <f t="shared" si="50"/>
        <v>2800.6577745295085</v>
      </c>
      <c r="R72" s="128">
        <f t="shared" si="50"/>
        <v>2933.614330874605</v>
      </c>
      <c r="S72" s="128">
        <f t="shared" si="50"/>
        <v>2862.588952897323</v>
      </c>
      <c r="T72" s="128">
        <f t="shared" si="50"/>
        <v>2920.3337150335356</v>
      </c>
      <c r="U72" s="128">
        <f t="shared" si="50"/>
        <v>2981.8065751675708</v>
      </c>
      <c r="V72" s="128">
        <f t="shared" si="50"/>
        <v>2934.5080305629194</v>
      </c>
      <c r="W72" s="128">
        <f t="shared" si="50"/>
        <v>3113.6883869983217</v>
      </c>
      <c r="X72" s="128">
        <f t="shared" si="50"/>
        <v>3150.1996490850288</v>
      </c>
      <c r="Y72" s="128">
        <f t="shared" si="50"/>
        <v>3190.2426779859093</v>
      </c>
      <c r="Z72" s="128">
        <f t="shared" si="50"/>
        <v>3239.4402367779671</v>
      </c>
      <c r="AA72" s="128">
        <f t="shared" si="50"/>
        <v>3253.6293766011954</v>
      </c>
      <c r="AB72" s="128">
        <f t="shared" ref="AB72" si="66">AB31/AB$40</f>
        <v>3465.4857303528747</v>
      </c>
      <c r="AC72" s="128">
        <f t="shared" si="58"/>
        <v>3751.5493733645503</v>
      </c>
      <c r="AD72" s="128">
        <f t="shared" si="58"/>
        <v>4076.9127336291513</v>
      </c>
      <c r="AE72" s="128">
        <f t="shared" si="58"/>
        <v>4316.91818903892</v>
      </c>
      <c r="AF72" s="128">
        <f t="shared" si="58"/>
        <v>4701.8082671210823</v>
      </c>
      <c r="AG72" s="128">
        <f t="shared" si="58"/>
        <v>4792.6831051416166</v>
      </c>
      <c r="AH72" s="128">
        <f t="shared" si="58"/>
        <v>4599.9380511474792</v>
      </c>
      <c r="AI72" s="128">
        <f t="shared" si="58"/>
        <v>4501.1754774915962</v>
      </c>
      <c r="AJ72" s="128">
        <f t="shared" si="58"/>
        <v>4613.7825001537567</v>
      </c>
      <c r="AK72" s="128">
        <f t="shared" si="58"/>
        <v>4698.5910691966819</v>
      </c>
      <c r="AL72" s="128">
        <f t="shared" si="58"/>
        <v>4855.8306152288833</v>
      </c>
      <c r="AM72" s="128">
        <f t="shared" si="58"/>
        <v>5500.6695371520818</v>
      </c>
      <c r="AN72" s="128">
        <f t="shared" si="58"/>
        <v>5572.6642052902243</v>
      </c>
      <c r="AO72" s="128">
        <f t="shared" si="58"/>
        <v>5550.5475628086751</v>
      </c>
      <c r="AP72" s="128">
        <f t="shared" si="58"/>
        <v>5226.3629653063372</v>
      </c>
      <c r="AQ72" s="128">
        <f t="shared" si="58"/>
        <v>5595.8057166528588</v>
      </c>
      <c r="AR72" s="128">
        <f t="shared" si="58"/>
        <v>5811.5313653136536</v>
      </c>
      <c r="AS72" s="128">
        <f t="shared" si="58"/>
        <v>5683.7807606263987</v>
      </c>
      <c r="AT72" s="128">
        <f t="shared" si="58"/>
        <v>5517.619999999999</v>
      </c>
      <c r="AU72" s="128">
        <f t="shared" si="58"/>
        <v>5722.4124437487772</v>
      </c>
      <c r="AV72" s="128">
        <f t="shared" si="58"/>
        <v>5759.4179233503028</v>
      </c>
      <c r="AW72" s="128">
        <f t="shared" si="58"/>
        <v>5967.9055655636676</v>
      </c>
      <c r="AX72" s="128">
        <f t="shared" si="58"/>
        <v>6362.9697525206238</v>
      </c>
      <c r="AY72" s="128">
        <f t="shared" si="58"/>
        <v>5595.8194123190269</v>
      </c>
      <c r="AZ72" s="128">
        <f t="shared" si="58"/>
        <v>6078.4795609076764</v>
      </c>
      <c r="BA72" s="128">
        <f t="shared" si="58"/>
        <v>5404.1330886459746</v>
      </c>
      <c r="BB72" s="128">
        <f t="shared" si="58"/>
        <v>5291.2242348532172</v>
      </c>
      <c r="BC72" s="128">
        <f t="shared" si="58"/>
        <v>2123.2981489980116</v>
      </c>
    </row>
    <row r="73" spans="1:55" s="128" customFormat="1" x14ac:dyDescent="0.35">
      <c r="A73" s="128" t="str">
        <f t="shared" ref="A73:B73" si="67">A32</f>
        <v>DOE</v>
      </c>
      <c r="B73" s="128" t="str">
        <f t="shared" si="67"/>
        <v>Research</v>
      </c>
      <c r="C73" s="128" t="s">
        <v>90</v>
      </c>
      <c r="D73" s="128">
        <f t="shared" si="4"/>
        <v>2208.5262374395238</v>
      </c>
      <c r="E73" s="128">
        <f t="shared" si="50"/>
        <v>2597.4217118997913</v>
      </c>
      <c r="F73" s="128">
        <f t="shared" si="50"/>
        <v>2891.8429591174563</v>
      </c>
      <c r="G73" s="128">
        <f t="shared" si="50"/>
        <v>3351.3013073882635</v>
      </c>
      <c r="H73" s="128">
        <f t="shared" si="50"/>
        <v>3183.8143459915614</v>
      </c>
      <c r="I73" s="128">
        <f t="shared" si="50"/>
        <v>3304.8538163001294</v>
      </c>
      <c r="J73" s="128">
        <f t="shared" si="50"/>
        <v>3330.8317624882188</v>
      </c>
      <c r="K73" s="128">
        <f t="shared" si="50"/>
        <v>3736.699713593302</v>
      </c>
      <c r="L73" s="128">
        <f t="shared" si="50"/>
        <v>4140.0189993666872</v>
      </c>
      <c r="M73" s="128">
        <f t="shared" si="50"/>
        <v>4126.5314856327695</v>
      </c>
      <c r="N73" s="128">
        <f t="shared" si="50"/>
        <v>4222.0469335436801</v>
      </c>
      <c r="O73" s="128">
        <f t="shared" si="50"/>
        <v>3935.0048216007717</v>
      </c>
      <c r="P73" s="128">
        <f t="shared" si="50"/>
        <v>3957.5551782682514</v>
      </c>
      <c r="Q73" s="128">
        <f t="shared" si="50"/>
        <v>4084.4143979535907</v>
      </c>
      <c r="R73" s="128">
        <f t="shared" si="50"/>
        <v>4270.6357569371266</v>
      </c>
      <c r="S73" s="128">
        <f t="shared" si="50"/>
        <v>4355.3032870213492</v>
      </c>
      <c r="T73" s="128">
        <f t="shared" si="50"/>
        <v>5355.1447734336662</v>
      </c>
      <c r="U73" s="128">
        <f t="shared" si="50"/>
        <v>5446.058091286307</v>
      </c>
      <c r="V73" s="128">
        <f t="shared" si="50"/>
        <v>5364.416029939186</v>
      </c>
      <c r="W73" s="128">
        <f t="shared" si="50"/>
        <v>5009.156111704563</v>
      </c>
      <c r="X73" s="128">
        <f t="shared" si="50"/>
        <v>5093.7022564255822</v>
      </c>
      <c r="Y73" s="128">
        <f t="shared" si="50"/>
        <v>5131.989658742229</v>
      </c>
      <c r="Z73" s="128">
        <f t="shared" si="50"/>
        <v>5278.9076235768835</v>
      </c>
      <c r="AA73" s="128">
        <f t="shared" si="50"/>
        <v>5448.3347566182747</v>
      </c>
      <c r="AB73" s="128">
        <f t="shared" ref="AB73" si="68">AB32/AB$40</f>
        <v>5657.2472936876138</v>
      </c>
      <c r="AC73" s="128">
        <f t="shared" si="58"/>
        <v>5714.088968461645</v>
      </c>
      <c r="AD73" s="128">
        <f t="shared" si="58"/>
        <v>6315.7187037784051</v>
      </c>
      <c r="AE73" s="128">
        <f t="shared" si="58"/>
        <v>6653.4286470743982</v>
      </c>
      <c r="AF73" s="128">
        <f t="shared" si="58"/>
        <v>6807.8588128328338</v>
      </c>
      <c r="AG73" s="128">
        <f t="shared" si="58"/>
        <v>6949.2088246481562</v>
      </c>
      <c r="AH73" s="128">
        <f t="shared" si="58"/>
        <v>7084.7729789590257</v>
      </c>
      <c r="AI73" s="128">
        <f t="shared" si="58"/>
        <v>6697.7678465022045</v>
      </c>
      <c r="AJ73" s="128">
        <f t="shared" si="58"/>
        <v>7130.4813268383205</v>
      </c>
      <c r="AK73" s="128">
        <f t="shared" si="58"/>
        <v>7545.7334393818883</v>
      </c>
      <c r="AL73" s="128">
        <f t="shared" si="58"/>
        <v>7653.8072207850637</v>
      </c>
      <c r="AM73" s="128">
        <f t="shared" si="58"/>
        <v>8227.029438001784</v>
      </c>
      <c r="AN73" s="128">
        <f t="shared" si="58"/>
        <v>8257.5426322693493</v>
      </c>
      <c r="AO73" s="128">
        <f t="shared" si="58"/>
        <v>8048.0996349581274</v>
      </c>
      <c r="AP73" s="128">
        <f t="shared" si="58"/>
        <v>8124.8708214699991</v>
      </c>
      <c r="AQ73" s="128">
        <f t="shared" si="58"/>
        <v>8946.9397265948628</v>
      </c>
      <c r="AR73" s="128">
        <f t="shared" si="58"/>
        <v>10329.138991389915</v>
      </c>
      <c r="AS73" s="128">
        <f t="shared" si="58"/>
        <v>11171.587350010168</v>
      </c>
      <c r="AT73" s="128">
        <f t="shared" si="58"/>
        <v>11240.648000000001</v>
      </c>
      <c r="AU73" s="128">
        <f t="shared" si="58"/>
        <v>12692.445705341421</v>
      </c>
      <c r="AV73" s="128">
        <f t="shared" si="58"/>
        <v>12868.487177024304</v>
      </c>
      <c r="AW73" s="128">
        <f t="shared" si="58"/>
        <v>13089.613160140325</v>
      </c>
      <c r="AX73" s="128">
        <f t="shared" si="58"/>
        <v>10895.050412465629</v>
      </c>
      <c r="AY73" s="128">
        <f t="shared" si="58"/>
        <v>11089.694166024159</v>
      </c>
      <c r="AZ73" s="128">
        <f t="shared" si="58"/>
        <v>10887.195871221431</v>
      </c>
      <c r="BA73" s="128">
        <f t="shared" si="58"/>
        <v>11279.821271842335</v>
      </c>
      <c r="BB73" s="128">
        <f t="shared" si="58"/>
        <v>9989.3026001429189</v>
      </c>
      <c r="BC73" s="128">
        <f t="shared" si="58"/>
        <v>6109.0714394982415</v>
      </c>
    </row>
    <row r="74" spans="1:55" s="128" customFormat="1" x14ac:dyDescent="0.35">
      <c r="A74" s="128" t="str">
        <f t="shared" ref="A74:B74" si="69">A33</f>
        <v>NASA</v>
      </c>
      <c r="B74" s="128" t="str">
        <f t="shared" si="69"/>
        <v>Research</v>
      </c>
      <c r="C74" s="128" t="s">
        <v>90</v>
      </c>
      <c r="D74" s="128">
        <f t="shared" si="4"/>
        <v>3480.2344622255305</v>
      </c>
      <c r="E74" s="128">
        <f t="shared" si="50"/>
        <v>4254.8399443284616</v>
      </c>
      <c r="F74" s="128">
        <f t="shared" si="50"/>
        <v>3913.2900713822196</v>
      </c>
      <c r="G74" s="128">
        <f t="shared" si="50"/>
        <v>4089.8966251140159</v>
      </c>
      <c r="H74" s="128">
        <f t="shared" si="50"/>
        <v>4082.2390998593537</v>
      </c>
      <c r="I74" s="128">
        <f t="shared" si="50"/>
        <v>4164.6675291073734</v>
      </c>
      <c r="J74" s="128">
        <f t="shared" si="50"/>
        <v>3315.6409048067858</v>
      </c>
      <c r="K74" s="128">
        <f t="shared" si="50"/>
        <v>3100.1101564221194</v>
      </c>
      <c r="L74" s="128">
        <f t="shared" si="50"/>
        <v>3261.1779607346421</v>
      </c>
      <c r="M74" s="128">
        <f t="shared" si="50"/>
        <v>3483.18728347259</v>
      </c>
      <c r="N74" s="128">
        <f t="shared" si="50"/>
        <v>3517.2549792940249</v>
      </c>
      <c r="O74" s="128">
        <f t="shared" si="50"/>
        <v>3990.3567984570882</v>
      </c>
      <c r="P74" s="128">
        <f t="shared" si="50"/>
        <v>4280.7017543859647</v>
      </c>
      <c r="Q74" s="128">
        <f t="shared" si="50"/>
        <v>4260.1863694500271</v>
      </c>
      <c r="R74" s="128">
        <f t="shared" si="50"/>
        <v>5055.8482613277138</v>
      </c>
      <c r="S74" s="128">
        <f t="shared" si="50"/>
        <v>5185.8691968824132</v>
      </c>
      <c r="T74" s="128">
        <f t="shared" si="50"/>
        <v>5514.8045149681011</v>
      </c>
      <c r="U74" s="128">
        <f t="shared" si="50"/>
        <v>5153.6865624002548</v>
      </c>
      <c r="V74" s="128">
        <f t="shared" si="50"/>
        <v>5533.6036176516445</v>
      </c>
      <c r="W74" s="128">
        <f t="shared" si="50"/>
        <v>5860.827102090645</v>
      </c>
      <c r="X74" s="128">
        <f t="shared" si="50"/>
        <v>5814.1183502689773</v>
      </c>
      <c r="Y74" s="128">
        <f t="shared" si="50"/>
        <v>6131.0750953358756</v>
      </c>
      <c r="Z74" s="128">
        <f t="shared" si="50"/>
        <v>5857.277705721287</v>
      </c>
      <c r="AA74" s="128">
        <f t="shared" si="50"/>
        <v>6269.5701679476233</v>
      </c>
      <c r="AB74" s="128">
        <f t="shared" ref="AB74" si="70">AB33/AB$40</f>
        <v>6025.5869534654857</v>
      </c>
      <c r="AC74" s="128">
        <f t="shared" si="58"/>
        <v>5081.9446357251072</v>
      </c>
      <c r="AD74" s="128">
        <f t="shared" si="58"/>
        <v>5773.8335350275647</v>
      </c>
      <c r="AE74" s="128">
        <f t="shared" si="58"/>
        <v>6195.3931691818907</v>
      </c>
      <c r="AF74" s="128">
        <f t="shared" si="58"/>
        <v>7007.5126639823347</v>
      </c>
      <c r="AG74" s="128">
        <f t="shared" si="58"/>
        <v>6947.4324838341572</v>
      </c>
      <c r="AH74" s="128">
        <f t="shared" si="58"/>
        <v>5750.0653623723392</v>
      </c>
      <c r="AI74" s="128">
        <f t="shared" si="58"/>
        <v>4741.9854606125609</v>
      </c>
      <c r="AJ74" s="128">
        <f t="shared" si="58"/>
        <v>3890.3839016469497</v>
      </c>
      <c r="AK74" s="128">
        <f t="shared" si="58"/>
        <v>3117.8479718213839</v>
      </c>
      <c r="AL74" s="128">
        <f t="shared" si="58"/>
        <v>1799.5726015071421</v>
      </c>
      <c r="AM74" s="128">
        <f t="shared" si="58"/>
        <v>1659.2328278322925</v>
      </c>
      <c r="AN74" s="128">
        <f t="shared" si="58"/>
        <v>3869.6982947092265</v>
      </c>
      <c r="AO74" s="128">
        <f t="shared" si="58"/>
        <v>6260.468112518789</v>
      </c>
      <c r="AP74" s="128">
        <f t="shared" si="58"/>
        <v>5975.8515237793945</v>
      </c>
      <c r="AQ74" s="128">
        <f t="shared" si="58"/>
        <v>5966.9635459817737</v>
      </c>
      <c r="AR74" s="128">
        <f t="shared" si="58"/>
        <v>5678.5567855678555</v>
      </c>
      <c r="AS74" s="128">
        <f t="shared" si="58"/>
        <v>6119.1783607890984</v>
      </c>
      <c r="AT74" s="128">
        <f t="shared" si="58"/>
        <v>6082.6</v>
      </c>
      <c r="AU74" s="128">
        <f t="shared" si="58"/>
        <v>5177.5582077871259</v>
      </c>
      <c r="AV74" s="128">
        <f t="shared" si="58"/>
        <v>7387.3787340313138</v>
      </c>
      <c r="AW74" s="128">
        <f t="shared" si="58"/>
        <v>8839.4804209727881</v>
      </c>
      <c r="AX74" s="128">
        <f t="shared" si="58"/>
        <v>6560.0366636113658</v>
      </c>
      <c r="AY74" s="128">
        <f t="shared" si="58"/>
        <v>6977.640709329221</v>
      </c>
      <c r="AZ74" s="128">
        <f t="shared" si="58"/>
        <v>6644.5482100434183</v>
      </c>
      <c r="BA74" s="128">
        <f t="shared" si="58"/>
        <v>4840.8202345807067</v>
      </c>
      <c r="BB74" s="128">
        <f t="shared" si="58"/>
        <v>4793.0980637101811</v>
      </c>
      <c r="BC74" s="128">
        <f t="shared" si="58"/>
        <v>2937.8919993880986</v>
      </c>
    </row>
    <row r="75" spans="1:55" s="128" customFormat="1" x14ac:dyDescent="0.35">
      <c r="A75" s="128" t="str">
        <f t="shared" ref="A75:B75" si="71">A34</f>
        <v>DOD</v>
      </c>
      <c r="B75" s="128" t="str">
        <f t="shared" si="71"/>
        <v>Research</v>
      </c>
      <c r="C75" s="128" t="s">
        <v>90</v>
      </c>
      <c r="D75" s="128">
        <f t="shared" si="4"/>
        <v>5325.6680312616309</v>
      </c>
      <c r="E75" s="128">
        <f t="shared" si="50"/>
        <v>5314.8260264439805</v>
      </c>
      <c r="F75" s="128">
        <f t="shared" si="50"/>
        <v>5567.3101881894881</v>
      </c>
      <c r="G75" s="128">
        <f t="shared" si="50"/>
        <v>5545.9349346305862</v>
      </c>
      <c r="H75" s="128">
        <f t="shared" si="50"/>
        <v>5665.5358649789032</v>
      </c>
      <c r="I75" s="128">
        <f t="shared" si="50"/>
        <v>5851.9249676584732</v>
      </c>
      <c r="J75" s="128">
        <f t="shared" si="50"/>
        <v>6128.4165881244107</v>
      </c>
      <c r="K75" s="128">
        <f t="shared" si="50"/>
        <v>6505.4439303811405</v>
      </c>
      <c r="L75" s="128">
        <f t="shared" si="50"/>
        <v>6803.1433396664552</v>
      </c>
      <c r="M75" s="128">
        <f t="shared" si="50"/>
        <v>6212.6166700631748</v>
      </c>
      <c r="N75" s="128">
        <f t="shared" si="50"/>
        <v>6247.880102543877</v>
      </c>
      <c r="O75" s="128">
        <f t="shared" si="50"/>
        <v>6224.3008678881397</v>
      </c>
      <c r="P75" s="128">
        <f t="shared" si="50"/>
        <v>6315.0348990756456</v>
      </c>
      <c r="Q75" s="128">
        <f t="shared" si="50"/>
        <v>5918.3263292526944</v>
      </c>
      <c r="R75" s="128">
        <f t="shared" si="50"/>
        <v>6420.9694415173863</v>
      </c>
      <c r="S75" s="128">
        <f t="shared" si="50"/>
        <v>5979.6679091833275</v>
      </c>
      <c r="T75" s="128">
        <f t="shared" si="50"/>
        <v>6081.9564861770004</v>
      </c>
      <c r="U75" s="128">
        <f t="shared" si="50"/>
        <v>6500.7979572294926</v>
      </c>
      <c r="V75" s="128">
        <f t="shared" si="50"/>
        <v>7459.0675191018245</v>
      </c>
      <c r="W75" s="128">
        <f t="shared" si="50"/>
        <v>6471.2345490614989</v>
      </c>
      <c r="X75" s="128">
        <f t="shared" si="50"/>
        <v>6140.1673640167364</v>
      </c>
      <c r="Y75" s="128">
        <f t="shared" si="50"/>
        <v>5771.6045761220303</v>
      </c>
      <c r="Z75" s="128">
        <f t="shared" si="50"/>
        <v>5552.6732958639577</v>
      </c>
      <c r="AA75" s="128">
        <f t="shared" si="50"/>
        <v>5582.1235411329344</v>
      </c>
      <c r="AB75" s="128">
        <f t="shared" ref="AB75" si="72">AB34/AB$40</f>
        <v>5847.0406298327007</v>
      </c>
      <c r="AC75" s="128">
        <f t="shared" si="58"/>
        <v>6665.7485194876745</v>
      </c>
      <c r="AD75" s="128">
        <f t="shared" si="58"/>
        <v>7251.5799381471024</v>
      </c>
      <c r="AE75" s="128">
        <f t="shared" si="58"/>
        <v>7782.6317182949433</v>
      </c>
      <c r="AF75" s="128">
        <f t="shared" si="58"/>
        <v>7916.491752175607</v>
      </c>
      <c r="AG75" s="128">
        <f t="shared" si="58"/>
        <v>7850.6276150627618</v>
      </c>
      <c r="AH75" s="128">
        <f t="shared" si="58"/>
        <v>8361.159099298633</v>
      </c>
      <c r="AI75" s="128">
        <f t="shared" si="58"/>
        <v>8308.3911333571687</v>
      </c>
      <c r="AJ75" s="128">
        <f t="shared" si="58"/>
        <v>8475.3050336348879</v>
      </c>
      <c r="AK75" s="128">
        <f t="shared" si="58"/>
        <v>8338.789910237474</v>
      </c>
      <c r="AL75" s="128">
        <f t="shared" si="58"/>
        <v>8564.1689800085951</v>
      </c>
      <c r="AM75" s="128">
        <f t="shared" si="58"/>
        <v>9582.6460749330963</v>
      </c>
      <c r="AN75" s="128">
        <f t="shared" si="58"/>
        <v>8530.7531700918225</v>
      </c>
      <c r="AO75" s="128">
        <f t="shared" si="58"/>
        <v>9043.9757354520061</v>
      </c>
      <c r="AP75" s="128">
        <f t="shared" si="58"/>
        <v>8254.8750395444495</v>
      </c>
      <c r="AQ75" s="128">
        <f t="shared" si="58"/>
        <v>9343.3326429163226</v>
      </c>
      <c r="AR75" s="128">
        <f t="shared" si="58"/>
        <v>9336.8511685116846</v>
      </c>
      <c r="AS75" s="128">
        <f t="shared" si="58"/>
        <v>10130.162700833842</v>
      </c>
      <c r="AT75" s="128">
        <f t="shared" si="58"/>
        <v>10021.188</v>
      </c>
      <c r="AU75" s="128">
        <f t="shared" si="58"/>
        <v>10517.604187047544</v>
      </c>
      <c r="AV75" s="128">
        <f t="shared" si="58"/>
        <v>10923.742195754492</v>
      </c>
      <c r="AW75" s="128">
        <f t="shared" si="58"/>
        <v>9212.4291267659046</v>
      </c>
      <c r="AX75" s="128">
        <f t="shared" si="58"/>
        <v>9146.8185151237394</v>
      </c>
      <c r="AY75" s="128">
        <f t="shared" si="58"/>
        <v>11348.353465261716</v>
      </c>
      <c r="AZ75" s="128">
        <f t="shared" si="58"/>
        <v>12365.454247562875</v>
      </c>
      <c r="BA75" s="128">
        <f t="shared" si="58"/>
        <v>11318.837469081624</v>
      </c>
      <c r="BB75" s="128">
        <f t="shared" si="58"/>
        <v>9675.8978231123456</v>
      </c>
      <c r="BC75" s="128">
        <f t="shared" si="58"/>
        <v>7281.9489062260982</v>
      </c>
    </row>
    <row r="76" spans="1:55" s="128" customFormat="1" x14ac:dyDescent="0.35">
      <c r="A76" s="128" t="str">
        <f t="shared" ref="A76:B76" si="73">A35</f>
        <v>USDA</v>
      </c>
      <c r="B76" s="128" t="str">
        <f t="shared" si="73"/>
        <v>Research</v>
      </c>
      <c r="C76" s="128" t="s">
        <v>90</v>
      </c>
      <c r="D76" s="128">
        <f t="shared" si="4"/>
        <v>1495.8838853740231</v>
      </c>
      <c r="E76" s="128">
        <f t="shared" si="50"/>
        <v>1538.7056367432151</v>
      </c>
      <c r="F76" s="128">
        <f t="shared" si="50"/>
        <v>1700.259571706684</v>
      </c>
      <c r="G76" s="128">
        <f t="shared" si="50"/>
        <v>1807.4916387959865</v>
      </c>
      <c r="H76" s="128">
        <f t="shared" si="50"/>
        <v>1777.5527426160338</v>
      </c>
      <c r="I76" s="128">
        <f t="shared" si="50"/>
        <v>1700.9961190168174</v>
      </c>
      <c r="J76" s="128">
        <f t="shared" si="50"/>
        <v>1745.9566446748352</v>
      </c>
      <c r="K76" s="128">
        <f t="shared" si="50"/>
        <v>1688.6164353381801</v>
      </c>
      <c r="L76" s="128">
        <f t="shared" si="50"/>
        <v>1725.8982478361831</v>
      </c>
      <c r="M76" s="128">
        <f t="shared" si="50"/>
        <v>1701.4204198084367</v>
      </c>
      <c r="N76" s="128">
        <f t="shared" si="50"/>
        <v>1796.2926444488266</v>
      </c>
      <c r="O76" s="128">
        <f t="shared" si="50"/>
        <v>1728.8331726133076</v>
      </c>
      <c r="P76" s="128">
        <f t="shared" si="50"/>
        <v>1733.446519524618</v>
      </c>
      <c r="Q76" s="128">
        <f t="shared" si="50"/>
        <v>1800.1096290882515</v>
      </c>
      <c r="R76" s="128">
        <f t="shared" si="50"/>
        <v>1760.098349139445</v>
      </c>
      <c r="S76" s="128">
        <f t="shared" si="50"/>
        <v>1798.2039986445275</v>
      </c>
      <c r="T76" s="128">
        <f t="shared" si="50"/>
        <v>1922.9510878455751</v>
      </c>
      <c r="U76" s="128">
        <f t="shared" si="50"/>
        <v>2012.4481327800829</v>
      </c>
      <c r="V76" s="128">
        <f t="shared" si="50"/>
        <v>1951.8166224855763</v>
      </c>
      <c r="W76" s="128">
        <f t="shared" si="50"/>
        <v>2018.1596215473828</v>
      </c>
      <c r="X76" s="128">
        <f t="shared" si="50"/>
        <v>1972.5044829647341</v>
      </c>
      <c r="Y76" s="128">
        <f t="shared" si="50"/>
        <v>1879.3869169844529</v>
      </c>
      <c r="Z76" s="128">
        <f t="shared" si="50"/>
        <v>1851.9829946678194</v>
      </c>
      <c r="AA76" s="128">
        <f t="shared" si="50"/>
        <v>1900.0853970964988</v>
      </c>
      <c r="AB76" s="128">
        <f t="shared" ref="AB76" si="74">AB35/AB$40</f>
        <v>1935.8920286798818</v>
      </c>
      <c r="AC76" s="128">
        <f t="shared" si="58"/>
        <v>2090.6211265665888</v>
      </c>
      <c r="AD76" s="128">
        <f t="shared" si="58"/>
        <v>2480.8390480032272</v>
      </c>
      <c r="AE76" s="128">
        <f t="shared" si="58"/>
        <v>2213.3968758273763</v>
      </c>
      <c r="AF76" s="128">
        <f t="shared" si="58"/>
        <v>2400.1000129886997</v>
      </c>
      <c r="AG76" s="128">
        <f t="shared" si="58"/>
        <v>2389.575250412071</v>
      </c>
      <c r="AH76" s="128">
        <f t="shared" si="58"/>
        <v>2424.4875107665803</v>
      </c>
      <c r="AI76" s="128">
        <f t="shared" si="58"/>
        <v>2386.3341675604815</v>
      </c>
      <c r="AJ76" s="128">
        <f t="shared" si="58"/>
        <v>2276.7339364416612</v>
      </c>
      <c r="AK76" s="128">
        <f t="shared" si="58"/>
        <v>2296.3299625042609</v>
      </c>
      <c r="AL76" s="128">
        <f t="shared" si="58"/>
        <v>2385.558429872905</v>
      </c>
      <c r="AM76" s="128">
        <f t="shared" si="58"/>
        <v>2492.1944692239072</v>
      </c>
      <c r="AN76" s="128">
        <f t="shared" si="58"/>
        <v>2303.2356799300396</v>
      </c>
      <c r="AO76" s="128">
        <f t="shared" si="58"/>
        <v>2202.0614129267769</v>
      </c>
      <c r="AP76" s="128">
        <f t="shared" si="58"/>
        <v>1978.2769165875777</v>
      </c>
      <c r="AQ76" s="128">
        <f t="shared" si="58"/>
        <v>2156.1723280861638</v>
      </c>
      <c r="AR76" s="128">
        <f t="shared" si="58"/>
        <v>2160.0789257892579</v>
      </c>
      <c r="AS76" s="128">
        <f t="shared" si="58"/>
        <v>2186.671751067724</v>
      </c>
      <c r="AT76" s="128">
        <f t="shared" si="58"/>
        <v>2188.7570000000001</v>
      </c>
      <c r="AU76" s="128">
        <f t="shared" si="58"/>
        <v>2109.9168460183919</v>
      </c>
      <c r="AV76" s="128">
        <f t="shared" si="58"/>
        <v>2245.4682547305738</v>
      </c>
      <c r="AW76" s="128">
        <f t="shared" si="58"/>
        <v>2224.0987958661231</v>
      </c>
      <c r="AX76" s="128">
        <f t="shared" si="58"/>
        <v>3250.2291475710358</v>
      </c>
      <c r="AY76" s="128">
        <f t="shared" si="58"/>
        <v>2627.4308232673693</v>
      </c>
      <c r="AZ76" s="128">
        <f t="shared" si="58"/>
        <v>2394.527729990989</v>
      </c>
      <c r="BA76" s="128">
        <f t="shared" si="58"/>
        <v>2223.7293545041089</v>
      </c>
      <c r="BB76" s="128">
        <f t="shared" si="58"/>
        <v>2197.0643347907558</v>
      </c>
      <c r="BC76" s="128">
        <f t="shared" si="58"/>
        <v>1597.8277497322933</v>
      </c>
    </row>
    <row r="77" spans="1:55" s="128" customFormat="1" x14ac:dyDescent="0.35">
      <c r="A77" s="128" t="str">
        <f t="shared" ref="A77:B77" si="75">A36</f>
        <v>Other</v>
      </c>
      <c r="B77" s="128" t="str">
        <f t="shared" si="75"/>
        <v>Research</v>
      </c>
      <c r="C77" s="128" t="s">
        <v>90</v>
      </c>
      <c r="D77" s="128">
        <f t="shared" si="4"/>
        <v>4443.449944175657</v>
      </c>
      <c r="E77" s="128">
        <f t="shared" si="50"/>
        <v>4581.83368128045</v>
      </c>
      <c r="F77" s="128">
        <f t="shared" si="50"/>
        <v>4931.7001946787832</v>
      </c>
      <c r="G77" s="128">
        <f t="shared" si="50"/>
        <v>5365.484949832774</v>
      </c>
      <c r="H77" s="128">
        <f t="shared" si="50"/>
        <v>5557.7187060478209</v>
      </c>
      <c r="I77" s="128">
        <f t="shared" si="50"/>
        <v>5511.1177231565343</v>
      </c>
      <c r="J77" s="128">
        <f t="shared" si="50"/>
        <v>5057.3986804901051</v>
      </c>
      <c r="K77" s="128">
        <f t="shared" si="50"/>
        <v>4631.0993610927489</v>
      </c>
      <c r="L77" s="128">
        <f t="shared" si="50"/>
        <v>4574.9440574203118</v>
      </c>
      <c r="M77" s="128">
        <f t="shared" si="50"/>
        <v>4581.3246382718535</v>
      </c>
      <c r="N77" s="128">
        <f t="shared" si="50"/>
        <v>4645.8292250049253</v>
      </c>
      <c r="O77" s="128">
        <f t="shared" si="50"/>
        <v>4490.453230472519</v>
      </c>
      <c r="P77" s="128">
        <f t="shared" si="50"/>
        <v>4757.026976042257</v>
      </c>
      <c r="Q77" s="128">
        <f t="shared" si="50"/>
        <v>4833.3637858578431</v>
      </c>
      <c r="R77" s="128">
        <f t="shared" si="50"/>
        <v>5381.9810326659644</v>
      </c>
      <c r="S77" s="128">
        <f t="shared" si="50"/>
        <v>5719.0782785496476</v>
      </c>
      <c r="T77" s="128">
        <f t="shared" si="50"/>
        <v>6317.6836250613451</v>
      </c>
      <c r="U77" s="128">
        <f t="shared" si="50"/>
        <v>5182.4130226619782</v>
      </c>
      <c r="V77" s="128">
        <f t="shared" si="50"/>
        <v>5217.5268984874474</v>
      </c>
      <c r="W77" s="128">
        <f t="shared" si="50"/>
        <v>5501.1445139630669</v>
      </c>
      <c r="X77" s="128">
        <f t="shared" si="50"/>
        <v>5817.8631201434528</v>
      </c>
      <c r="Y77" s="128">
        <f t="shared" si="50"/>
        <v>5390.351791627334</v>
      </c>
      <c r="Z77" s="128">
        <f t="shared" ref="E77:AA78" si="76">Z36/Z$40</f>
        <v>5406.7854441558857</v>
      </c>
      <c r="AA77" s="128">
        <f t="shared" si="76"/>
        <v>5576.4304013663532</v>
      </c>
      <c r="AB77" s="128">
        <f t="shared" ref="AB77" si="77">AB36/AB$40</f>
        <v>5956.6990018276392</v>
      </c>
      <c r="AC77" s="128">
        <f t="shared" si="58"/>
        <v>6212.6428866547312</v>
      </c>
      <c r="AD77" s="128">
        <f t="shared" si="58"/>
        <v>6728.5195643404595</v>
      </c>
      <c r="AE77" s="128">
        <f t="shared" si="58"/>
        <v>7198.8350542758808</v>
      </c>
      <c r="AF77" s="128">
        <f t="shared" si="58"/>
        <v>6928.0516950253459</v>
      </c>
      <c r="AG77" s="128">
        <f t="shared" si="58"/>
        <v>6946.2850259920979</v>
      </c>
      <c r="AH77" s="128">
        <f t="shared" si="58"/>
        <v>7404.7689040380101</v>
      </c>
      <c r="AI77" s="128">
        <f t="shared" si="58"/>
        <v>6759.2134429746193</v>
      </c>
      <c r="AJ77" s="128">
        <f t="shared" si="58"/>
        <v>6688.2196706100749</v>
      </c>
      <c r="AK77" s="128">
        <f t="shared" si="58"/>
        <v>6315.8027724729736</v>
      </c>
      <c r="AL77" s="128">
        <f t="shared" si="58"/>
        <v>7058.016091571275</v>
      </c>
      <c r="AM77" s="128">
        <f t="shared" si="58"/>
        <v>6873.7875741248636</v>
      </c>
      <c r="AN77" s="128">
        <f t="shared" ref="AN77:BC77" si="78">AN36/AN$40</f>
        <v>6941.954475516789</v>
      </c>
      <c r="AO77" s="128">
        <f t="shared" si="78"/>
        <v>6746.839089367606</v>
      </c>
      <c r="AP77" s="128">
        <f t="shared" si="78"/>
        <v>7299.7598980181128</v>
      </c>
      <c r="AQ77" s="128">
        <f t="shared" si="78"/>
        <v>7097.0994485612364</v>
      </c>
      <c r="AR77" s="128">
        <f t="shared" si="78"/>
        <v>7065.6664066262383</v>
      </c>
      <c r="AS77" s="128">
        <f t="shared" si="78"/>
        <v>4819.8652054098029</v>
      </c>
      <c r="AT77" s="128">
        <f t="shared" si="78"/>
        <v>7232.3649313851492</v>
      </c>
      <c r="AU77" s="128">
        <f t="shared" si="78"/>
        <v>7217.1727646253321</v>
      </c>
      <c r="AV77" s="128">
        <f t="shared" si="78"/>
        <v>7081.4837287484388</v>
      </c>
      <c r="AW77" s="128">
        <f t="shared" si="78"/>
        <v>6561.7560079074619</v>
      </c>
      <c r="AX77" s="128">
        <f t="shared" si="78"/>
        <v>6622.5409440879885</v>
      </c>
      <c r="AY77" s="128">
        <f t="shared" si="78"/>
        <v>5017.4719438019392</v>
      </c>
      <c r="AZ77" s="128">
        <f t="shared" si="78"/>
        <v>3583.4521182886097</v>
      </c>
      <c r="BA77" s="128">
        <f t="shared" si="78"/>
        <v>5567.1427431580532</v>
      </c>
      <c r="BB77" s="128">
        <f t="shared" si="78"/>
        <v>5333.6196127420271</v>
      </c>
      <c r="BC77" s="128">
        <f t="shared" si="78"/>
        <v>4174.9273366987936</v>
      </c>
    </row>
    <row r="78" spans="1:55" s="128" customFormat="1" x14ac:dyDescent="0.35">
      <c r="A78" s="128" t="str">
        <f t="shared" ref="A78:B78" si="79">A37</f>
        <v>ARRA</v>
      </c>
      <c r="B78" s="128" t="str">
        <f t="shared" si="79"/>
        <v>Research</v>
      </c>
      <c r="C78" s="128" t="s">
        <v>90</v>
      </c>
      <c r="D78" s="128">
        <f t="shared" si="4"/>
        <v>0</v>
      </c>
      <c r="E78" s="128">
        <f t="shared" si="76"/>
        <v>0</v>
      </c>
      <c r="F78" s="128">
        <f t="shared" si="76"/>
        <v>0</v>
      </c>
      <c r="G78" s="128">
        <f t="shared" si="76"/>
        <v>0</v>
      </c>
      <c r="H78" s="128">
        <f t="shared" si="76"/>
        <v>0</v>
      </c>
      <c r="I78" s="128">
        <f t="shared" si="76"/>
        <v>0</v>
      </c>
      <c r="J78" s="128">
        <f t="shared" si="76"/>
        <v>0</v>
      </c>
      <c r="K78" s="128">
        <f t="shared" si="76"/>
        <v>0</v>
      </c>
      <c r="L78" s="128">
        <f t="shared" si="76"/>
        <v>0</v>
      </c>
      <c r="M78" s="128">
        <f t="shared" si="76"/>
        <v>0</v>
      </c>
      <c r="N78" s="128">
        <f t="shared" si="76"/>
        <v>0</v>
      </c>
      <c r="O78" s="128">
        <f t="shared" si="76"/>
        <v>0</v>
      </c>
      <c r="P78" s="128">
        <f t="shared" si="76"/>
        <v>0</v>
      </c>
      <c r="Q78" s="128">
        <f t="shared" si="76"/>
        <v>0</v>
      </c>
      <c r="R78" s="128">
        <f t="shared" si="76"/>
        <v>0</v>
      </c>
      <c r="S78" s="128">
        <f t="shared" si="76"/>
        <v>0</v>
      </c>
      <c r="T78" s="128">
        <f t="shared" si="76"/>
        <v>0</v>
      </c>
      <c r="U78" s="128">
        <f t="shared" si="76"/>
        <v>0</v>
      </c>
      <c r="V78" s="128">
        <f t="shared" si="76"/>
        <v>0</v>
      </c>
      <c r="W78" s="128">
        <f t="shared" si="76"/>
        <v>0</v>
      </c>
      <c r="X78" s="128">
        <f t="shared" si="76"/>
        <v>0</v>
      </c>
      <c r="Y78" s="128">
        <f t="shared" si="76"/>
        <v>0</v>
      </c>
      <c r="Z78" s="128">
        <f t="shared" si="76"/>
        <v>0</v>
      </c>
      <c r="AA78" s="128">
        <f t="shared" si="76"/>
        <v>0</v>
      </c>
      <c r="AB78" s="128">
        <f t="shared" ref="AB78:BC78" si="80">AB37/AB$40</f>
        <v>0</v>
      </c>
      <c r="AC78" s="128">
        <f t="shared" si="80"/>
        <v>0</v>
      </c>
      <c r="AD78" s="128">
        <f t="shared" si="80"/>
        <v>0</v>
      </c>
      <c r="AE78" s="128">
        <f t="shared" si="80"/>
        <v>0</v>
      </c>
      <c r="AF78" s="128">
        <f t="shared" si="80"/>
        <v>0</v>
      </c>
      <c r="AG78" s="128">
        <f t="shared" si="80"/>
        <v>0</v>
      </c>
      <c r="AH78" s="128">
        <f t="shared" si="80"/>
        <v>0</v>
      </c>
      <c r="AI78" s="128">
        <f t="shared" si="80"/>
        <v>0</v>
      </c>
      <c r="AJ78" s="128">
        <f t="shared" si="80"/>
        <v>0</v>
      </c>
      <c r="AK78" s="128">
        <f t="shared" si="80"/>
        <v>0</v>
      </c>
      <c r="AL78" s="128">
        <f t="shared" si="80"/>
        <v>15324.485434709257</v>
      </c>
      <c r="AM78" s="128">
        <f t="shared" si="80"/>
        <v>0</v>
      </c>
      <c r="AN78" s="128">
        <f t="shared" si="80"/>
        <v>0</v>
      </c>
      <c r="AO78" s="128">
        <f t="shared" si="80"/>
        <v>0</v>
      </c>
      <c r="AP78" s="128">
        <f t="shared" si="80"/>
        <v>0</v>
      </c>
      <c r="AQ78" s="128">
        <f t="shared" si="80"/>
        <v>0</v>
      </c>
      <c r="AR78" s="128">
        <f t="shared" si="80"/>
        <v>0</v>
      </c>
      <c r="AS78" s="128">
        <f t="shared" si="80"/>
        <v>0</v>
      </c>
      <c r="AT78" s="128">
        <f t="shared" si="80"/>
        <v>0</v>
      </c>
      <c r="AU78" s="128">
        <f t="shared" si="80"/>
        <v>0</v>
      </c>
      <c r="AV78" s="128">
        <f t="shared" si="80"/>
        <v>0</v>
      </c>
      <c r="AW78" s="128">
        <f t="shared" si="80"/>
        <v>0</v>
      </c>
      <c r="AX78" s="128">
        <f t="shared" si="80"/>
        <v>0</v>
      </c>
      <c r="AY78" s="128">
        <f t="shared" si="80"/>
        <v>0</v>
      </c>
      <c r="AZ78" s="128">
        <f t="shared" si="80"/>
        <v>0</v>
      </c>
      <c r="BA78" s="128">
        <f t="shared" si="80"/>
        <v>0</v>
      </c>
      <c r="BB78" s="128">
        <f t="shared" si="80"/>
        <v>0</v>
      </c>
      <c r="BC78" s="128">
        <f t="shared" si="80"/>
        <v>0</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5530-A4DF-4875-91CA-1254A08FA581}">
  <dimension ref="A1:X148"/>
  <sheetViews>
    <sheetView workbookViewId="0">
      <pane xSplit="2" ySplit="1" topLeftCell="C56" activePane="bottomRight" state="frozen"/>
      <selection pane="topRight" activeCell="C1" sqref="C1"/>
      <selection pane="bottomLeft" activeCell="A2" sqref="A2"/>
      <selection pane="bottomRight" activeCell="N62" sqref="N62"/>
    </sheetView>
  </sheetViews>
  <sheetFormatPr defaultRowHeight="11.5" x14ac:dyDescent="0.25"/>
  <cols>
    <col min="1" max="1" width="8.7265625" style="3"/>
    <col min="2" max="3" width="16.08984375" style="3" customWidth="1"/>
    <col min="4" max="23" width="8.7265625" style="3"/>
    <col min="24" max="24" width="8.7265625" style="75"/>
    <col min="25" max="16384" width="8.7265625" style="3"/>
  </cols>
  <sheetData>
    <row r="1" spans="1:24" s="107" customFormat="1" ht="100" x14ac:dyDescent="0.25">
      <c r="A1" s="105" t="s">
        <v>503</v>
      </c>
      <c r="B1" s="105" t="s">
        <v>293</v>
      </c>
      <c r="C1" s="105" t="s">
        <v>242</v>
      </c>
      <c r="D1" s="106" t="s">
        <v>504</v>
      </c>
      <c r="E1" s="106" t="s">
        <v>296</v>
      </c>
      <c r="F1" s="106" t="s">
        <v>297</v>
      </c>
      <c r="G1" s="106" t="s">
        <v>505</v>
      </c>
      <c r="H1" s="106" t="s">
        <v>506</v>
      </c>
      <c r="I1" s="106" t="s">
        <v>507</v>
      </c>
      <c r="J1" s="106" t="s">
        <v>299</v>
      </c>
      <c r="K1" s="106" t="s">
        <v>508</v>
      </c>
      <c r="L1" s="106" t="s">
        <v>509</v>
      </c>
      <c r="M1" s="106" t="s">
        <v>510</v>
      </c>
      <c r="N1" s="106" t="s">
        <v>298</v>
      </c>
      <c r="O1" s="106" t="s">
        <v>511</v>
      </c>
      <c r="P1" s="106" t="s">
        <v>512</v>
      </c>
      <c r="Q1" s="106" t="s">
        <v>513</v>
      </c>
      <c r="R1" s="106" t="s">
        <v>514</v>
      </c>
      <c r="S1" s="106" t="s">
        <v>515</v>
      </c>
      <c r="T1" s="106" t="s">
        <v>516</v>
      </c>
      <c r="U1" s="106" t="s">
        <v>517</v>
      </c>
      <c r="V1" s="106" t="s">
        <v>253</v>
      </c>
      <c r="X1" s="75" t="s">
        <v>89</v>
      </c>
    </row>
    <row r="2" spans="1:24" x14ac:dyDescent="0.25">
      <c r="A2" s="102">
        <v>1955</v>
      </c>
      <c r="B2" s="102" t="s">
        <v>294</v>
      </c>
      <c r="C2" s="102" t="s">
        <v>91</v>
      </c>
      <c r="D2" s="103">
        <v>2533</v>
      </c>
      <c r="E2" s="103">
        <v>2151</v>
      </c>
      <c r="F2" s="103">
        <v>0</v>
      </c>
      <c r="G2" s="103">
        <v>0</v>
      </c>
      <c r="H2" s="103">
        <v>0</v>
      </c>
      <c r="I2" s="103">
        <v>0</v>
      </c>
      <c r="J2" s="103">
        <v>0</v>
      </c>
      <c r="K2" s="103">
        <v>0</v>
      </c>
      <c r="L2" s="103">
        <v>0</v>
      </c>
      <c r="M2" s="103">
        <v>0</v>
      </c>
      <c r="N2" s="103">
        <v>0</v>
      </c>
      <c r="O2" s="103">
        <v>0</v>
      </c>
      <c r="P2" s="103">
        <v>67</v>
      </c>
      <c r="Q2" s="103">
        <v>0</v>
      </c>
      <c r="R2" s="103">
        <v>0</v>
      </c>
      <c r="S2" s="103">
        <v>0</v>
      </c>
      <c r="T2" s="103">
        <v>0</v>
      </c>
      <c r="U2" s="103">
        <v>0</v>
      </c>
      <c r="V2" s="103">
        <v>315</v>
      </c>
      <c r="X2" s="75">
        <v>0.13700000000000001</v>
      </c>
    </row>
    <row r="3" spans="1:24" x14ac:dyDescent="0.25">
      <c r="A3" s="102">
        <v>1956</v>
      </c>
      <c r="B3" s="102" t="s">
        <v>294</v>
      </c>
      <c r="C3" s="102" t="s">
        <v>91</v>
      </c>
      <c r="D3" s="103">
        <v>2988</v>
      </c>
      <c r="E3" s="103">
        <v>2535</v>
      </c>
      <c r="F3" s="103">
        <v>0</v>
      </c>
      <c r="G3" s="103">
        <v>0</v>
      </c>
      <c r="H3" s="103">
        <v>0</v>
      </c>
      <c r="I3" s="103">
        <v>0</v>
      </c>
      <c r="J3" s="103">
        <v>0</v>
      </c>
      <c r="K3" s="103">
        <v>0</v>
      </c>
      <c r="L3" s="103">
        <v>0</v>
      </c>
      <c r="M3" s="103">
        <v>0</v>
      </c>
      <c r="N3" s="103">
        <v>0</v>
      </c>
      <c r="O3" s="103">
        <v>0</v>
      </c>
      <c r="P3" s="103">
        <v>83</v>
      </c>
      <c r="Q3" s="103">
        <v>0</v>
      </c>
      <c r="R3" s="103">
        <v>0</v>
      </c>
      <c r="S3" s="103">
        <v>0</v>
      </c>
      <c r="T3" s="103">
        <v>0</v>
      </c>
      <c r="U3" s="103">
        <v>0</v>
      </c>
      <c r="V3" s="103">
        <v>370</v>
      </c>
      <c r="X3" s="75">
        <v>0.14050000000000001</v>
      </c>
    </row>
    <row r="4" spans="1:24" x14ac:dyDescent="0.25">
      <c r="A4" s="102">
        <v>1957</v>
      </c>
      <c r="B4" s="102" t="s">
        <v>294</v>
      </c>
      <c r="C4" s="102" t="s">
        <v>91</v>
      </c>
      <c r="D4" s="103">
        <v>3932</v>
      </c>
      <c r="E4" s="103">
        <v>3327</v>
      </c>
      <c r="F4" s="103">
        <v>0</v>
      </c>
      <c r="G4" s="103">
        <v>0</v>
      </c>
      <c r="H4" s="103">
        <v>0</v>
      </c>
      <c r="I4" s="103">
        <v>0</v>
      </c>
      <c r="J4" s="103">
        <v>0</v>
      </c>
      <c r="K4" s="103">
        <v>0</v>
      </c>
      <c r="L4" s="103">
        <v>0</v>
      </c>
      <c r="M4" s="103">
        <v>0</v>
      </c>
      <c r="N4" s="103">
        <v>0</v>
      </c>
      <c r="O4" s="103">
        <v>0</v>
      </c>
      <c r="P4" s="103">
        <v>140</v>
      </c>
      <c r="Q4" s="103">
        <v>0</v>
      </c>
      <c r="R4" s="103">
        <v>0</v>
      </c>
      <c r="S4" s="103">
        <v>0</v>
      </c>
      <c r="T4" s="103">
        <v>0</v>
      </c>
      <c r="U4" s="103">
        <v>0</v>
      </c>
      <c r="V4" s="103">
        <v>465</v>
      </c>
      <c r="X4" s="75">
        <v>0.14580000000000001</v>
      </c>
    </row>
    <row r="5" spans="1:24" x14ac:dyDescent="0.25">
      <c r="A5" s="102">
        <v>1958</v>
      </c>
      <c r="B5" s="102" t="s">
        <v>294</v>
      </c>
      <c r="C5" s="102" t="s">
        <v>91</v>
      </c>
      <c r="D5" s="103">
        <v>4570</v>
      </c>
      <c r="E5" s="103">
        <v>3801</v>
      </c>
      <c r="F5" s="103">
        <v>0</v>
      </c>
      <c r="G5" s="103">
        <v>0</v>
      </c>
      <c r="H5" s="103">
        <v>0</v>
      </c>
      <c r="I5" s="103">
        <v>0</v>
      </c>
      <c r="J5" s="103">
        <v>0</v>
      </c>
      <c r="K5" s="103">
        <v>0</v>
      </c>
      <c r="L5" s="103">
        <v>0</v>
      </c>
      <c r="M5" s="103">
        <v>0</v>
      </c>
      <c r="N5" s="103">
        <v>0</v>
      </c>
      <c r="O5" s="103">
        <v>0</v>
      </c>
      <c r="P5" s="103">
        <v>177</v>
      </c>
      <c r="Q5" s="103">
        <v>0</v>
      </c>
      <c r="R5" s="103">
        <v>0</v>
      </c>
      <c r="S5" s="103">
        <v>0</v>
      </c>
      <c r="T5" s="103">
        <v>0</v>
      </c>
      <c r="U5" s="103">
        <v>0</v>
      </c>
      <c r="V5" s="103">
        <v>592</v>
      </c>
      <c r="X5" s="75">
        <v>0.1502</v>
      </c>
    </row>
    <row r="6" spans="1:24" x14ac:dyDescent="0.25">
      <c r="A6" s="102">
        <v>1959</v>
      </c>
      <c r="B6" s="102" t="s">
        <v>294</v>
      </c>
      <c r="C6" s="102" t="s">
        <v>91</v>
      </c>
      <c r="D6" s="103">
        <v>6694</v>
      </c>
      <c r="E6" s="103">
        <v>5556</v>
      </c>
      <c r="F6" s="103">
        <v>0</v>
      </c>
      <c r="G6" s="103">
        <v>0</v>
      </c>
      <c r="H6" s="103">
        <v>0</v>
      </c>
      <c r="I6" s="103">
        <v>0</v>
      </c>
      <c r="J6" s="103">
        <v>0</v>
      </c>
      <c r="K6" s="103">
        <v>0</v>
      </c>
      <c r="L6" s="103">
        <v>0</v>
      </c>
      <c r="M6" s="103">
        <v>0</v>
      </c>
      <c r="N6" s="103">
        <v>0</v>
      </c>
      <c r="O6" s="103">
        <v>0</v>
      </c>
      <c r="P6" s="103">
        <v>233</v>
      </c>
      <c r="Q6" s="103">
        <v>0</v>
      </c>
      <c r="R6" s="103">
        <v>0</v>
      </c>
      <c r="S6" s="103">
        <v>0</v>
      </c>
      <c r="T6" s="103">
        <v>0</v>
      </c>
      <c r="U6" s="103">
        <v>0</v>
      </c>
      <c r="V6" s="103">
        <v>904</v>
      </c>
      <c r="X6" s="75">
        <v>0.1525</v>
      </c>
    </row>
    <row r="7" spans="1:24" x14ac:dyDescent="0.25">
      <c r="A7" s="102">
        <v>1960</v>
      </c>
      <c r="B7" s="102" t="s">
        <v>294</v>
      </c>
      <c r="C7" s="102" t="s">
        <v>91</v>
      </c>
      <c r="D7" s="103">
        <v>7552</v>
      </c>
      <c r="E7" s="103">
        <v>6107</v>
      </c>
      <c r="F7" s="103">
        <v>0</v>
      </c>
      <c r="G7" s="103">
        <v>0</v>
      </c>
      <c r="H7" s="103">
        <v>0</v>
      </c>
      <c r="I7" s="103">
        <v>0</v>
      </c>
      <c r="J7" s="103">
        <v>0</v>
      </c>
      <c r="K7" s="103">
        <v>0</v>
      </c>
      <c r="L7" s="103">
        <v>0</v>
      </c>
      <c r="M7" s="103">
        <v>0</v>
      </c>
      <c r="N7" s="103">
        <v>0</v>
      </c>
      <c r="O7" s="103">
        <v>0</v>
      </c>
      <c r="P7" s="103">
        <v>305</v>
      </c>
      <c r="Q7" s="103">
        <v>0</v>
      </c>
      <c r="R7" s="103">
        <v>0</v>
      </c>
      <c r="S7" s="103">
        <v>0</v>
      </c>
      <c r="T7" s="103">
        <v>0</v>
      </c>
      <c r="U7" s="103">
        <v>0</v>
      </c>
      <c r="V7" s="103">
        <v>1140</v>
      </c>
      <c r="X7" s="75">
        <v>0.15459999999999999</v>
      </c>
    </row>
    <row r="8" spans="1:24" x14ac:dyDescent="0.25">
      <c r="A8" s="102">
        <v>1961</v>
      </c>
      <c r="B8" s="102" t="s">
        <v>294</v>
      </c>
      <c r="C8" s="102" t="s">
        <v>91</v>
      </c>
      <c r="D8" s="103">
        <v>9059</v>
      </c>
      <c r="E8" s="103">
        <v>7005</v>
      </c>
      <c r="F8" s="103">
        <v>0</v>
      </c>
      <c r="G8" s="103">
        <v>137</v>
      </c>
      <c r="H8" s="103">
        <v>777</v>
      </c>
      <c r="I8" s="103">
        <v>373</v>
      </c>
      <c r="J8" s="103">
        <v>73</v>
      </c>
      <c r="K8" s="103">
        <v>125</v>
      </c>
      <c r="L8" s="103">
        <v>0</v>
      </c>
      <c r="M8" s="103">
        <v>55</v>
      </c>
      <c r="N8" s="103">
        <v>0</v>
      </c>
      <c r="O8" s="103">
        <v>0</v>
      </c>
      <c r="P8" s="103">
        <v>405</v>
      </c>
      <c r="Q8" s="103">
        <v>0</v>
      </c>
      <c r="R8" s="103">
        <v>0</v>
      </c>
      <c r="S8" s="103">
        <v>0</v>
      </c>
      <c r="T8" s="103">
        <v>0</v>
      </c>
      <c r="U8" s="103">
        <v>0</v>
      </c>
      <c r="V8" s="103">
        <v>108</v>
      </c>
      <c r="X8" s="75">
        <v>0.15670000000000001</v>
      </c>
    </row>
    <row r="9" spans="1:24" x14ac:dyDescent="0.25">
      <c r="A9" s="102">
        <v>1962</v>
      </c>
      <c r="B9" s="102" t="s">
        <v>294</v>
      </c>
      <c r="C9" s="102" t="s">
        <v>91</v>
      </c>
      <c r="D9" s="103">
        <v>10290</v>
      </c>
      <c r="E9" s="103">
        <v>7238</v>
      </c>
      <c r="F9" s="103">
        <v>0</v>
      </c>
      <c r="G9" s="103">
        <v>187</v>
      </c>
      <c r="H9" s="103">
        <v>1413</v>
      </c>
      <c r="I9" s="103">
        <v>448</v>
      </c>
      <c r="J9" s="103">
        <v>108</v>
      </c>
      <c r="K9" s="103">
        <v>136</v>
      </c>
      <c r="L9" s="103">
        <v>0</v>
      </c>
      <c r="M9" s="103">
        <v>101</v>
      </c>
      <c r="N9" s="103">
        <v>0</v>
      </c>
      <c r="O9" s="103">
        <v>0</v>
      </c>
      <c r="P9" s="103">
        <v>551</v>
      </c>
      <c r="Q9" s="103">
        <v>0</v>
      </c>
      <c r="R9" s="103">
        <v>0</v>
      </c>
      <c r="S9" s="103">
        <v>0</v>
      </c>
      <c r="T9" s="103">
        <v>0</v>
      </c>
      <c r="U9" s="103">
        <v>0</v>
      </c>
      <c r="V9" s="103">
        <v>107</v>
      </c>
      <c r="X9" s="75">
        <v>0.1583</v>
      </c>
    </row>
    <row r="10" spans="1:24" x14ac:dyDescent="0.25">
      <c r="A10" s="102">
        <v>1963</v>
      </c>
      <c r="B10" s="102" t="s">
        <v>294</v>
      </c>
      <c r="C10" s="102" t="s">
        <v>91</v>
      </c>
      <c r="D10" s="103">
        <v>12495</v>
      </c>
      <c r="E10" s="103">
        <v>7764</v>
      </c>
      <c r="F10" s="103">
        <v>0</v>
      </c>
      <c r="G10" s="103">
        <v>246</v>
      </c>
      <c r="H10" s="103">
        <v>2812</v>
      </c>
      <c r="I10" s="103">
        <v>515</v>
      </c>
      <c r="J10" s="103">
        <v>120</v>
      </c>
      <c r="K10" s="103">
        <v>146</v>
      </c>
      <c r="L10" s="103">
        <v>0</v>
      </c>
      <c r="M10" s="103">
        <v>142</v>
      </c>
      <c r="N10" s="103">
        <v>0</v>
      </c>
      <c r="O10" s="103">
        <v>0</v>
      </c>
      <c r="P10" s="103">
        <v>626</v>
      </c>
      <c r="Q10" s="103">
        <v>0</v>
      </c>
      <c r="R10" s="103">
        <v>0</v>
      </c>
      <c r="S10" s="103">
        <v>0</v>
      </c>
      <c r="T10" s="103">
        <v>0</v>
      </c>
      <c r="U10" s="103">
        <v>0</v>
      </c>
      <c r="V10" s="103">
        <v>125</v>
      </c>
      <c r="X10" s="75">
        <v>0.16020000000000001</v>
      </c>
    </row>
    <row r="11" spans="1:24" x14ac:dyDescent="0.25">
      <c r="A11" s="102">
        <v>1964</v>
      </c>
      <c r="B11" s="102" t="s">
        <v>294</v>
      </c>
      <c r="C11" s="102" t="s">
        <v>91</v>
      </c>
      <c r="D11" s="103">
        <v>14225</v>
      </c>
      <c r="E11" s="103">
        <v>7829</v>
      </c>
      <c r="F11" s="103">
        <v>0</v>
      </c>
      <c r="G11" s="103">
        <v>277</v>
      </c>
      <c r="H11" s="103">
        <v>4241</v>
      </c>
      <c r="I11" s="103">
        <v>571</v>
      </c>
      <c r="J11" s="103">
        <v>134</v>
      </c>
      <c r="K11" s="103">
        <v>165</v>
      </c>
      <c r="L11" s="103">
        <v>0</v>
      </c>
      <c r="M11" s="103">
        <v>122</v>
      </c>
      <c r="N11" s="103">
        <v>0</v>
      </c>
      <c r="O11" s="103">
        <v>0</v>
      </c>
      <c r="P11" s="103">
        <v>728</v>
      </c>
      <c r="Q11" s="103">
        <v>0</v>
      </c>
      <c r="R11" s="103">
        <v>0</v>
      </c>
      <c r="S11" s="103">
        <v>0</v>
      </c>
      <c r="T11" s="103">
        <v>0</v>
      </c>
      <c r="U11" s="103">
        <v>0</v>
      </c>
      <c r="V11" s="103">
        <v>160</v>
      </c>
      <c r="X11" s="75">
        <v>0.16209999999999999</v>
      </c>
    </row>
    <row r="12" spans="1:24" x14ac:dyDescent="0.25">
      <c r="A12" s="102">
        <v>1965</v>
      </c>
      <c r="B12" s="102" t="s">
        <v>294</v>
      </c>
      <c r="C12" s="102" t="s">
        <v>91</v>
      </c>
      <c r="D12" s="103">
        <v>14614</v>
      </c>
      <c r="E12" s="103">
        <v>7342</v>
      </c>
      <c r="F12" s="103">
        <v>0</v>
      </c>
      <c r="G12" s="103">
        <v>304</v>
      </c>
      <c r="H12" s="103">
        <v>4887</v>
      </c>
      <c r="I12" s="103">
        <v>585</v>
      </c>
      <c r="J12" s="103">
        <v>159</v>
      </c>
      <c r="K12" s="103">
        <v>195</v>
      </c>
      <c r="L12" s="103">
        <v>0</v>
      </c>
      <c r="M12" s="103">
        <v>147</v>
      </c>
      <c r="N12" s="103">
        <v>0</v>
      </c>
      <c r="O12" s="103">
        <v>0</v>
      </c>
      <c r="P12" s="103">
        <v>792</v>
      </c>
      <c r="Q12" s="103">
        <v>0</v>
      </c>
      <c r="R12" s="103">
        <v>0</v>
      </c>
      <c r="S12" s="103">
        <v>0</v>
      </c>
      <c r="T12" s="103">
        <v>0</v>
      </c>
      <c r="U12" s="103">
        <v>0</v>
      </c>
      <c r="V12" s="103">
        <v>203</v>
      </c>
      <c r="X12" s="75">
        <v>0.16489999999999999</v>
      </c>
    </row>
    <row r="13" spans="1:24" x14ac:dyDescent="0.25">
      <c r="A13" s="102">
        <v>1966</v>
      </c>
      <c r="B13" s="102" t="s">
        <v>294</v>
      </c>
      <c r="C13" s="102" t="s">
        <v>91</v>
      </c>
      <c r="D13" s="103">
        <v>15320</v>
      </c>
      <c r="E13" s="103">
        <v>7536</v>
      </c>
      <c r="F13" s="103">
        <v>0</v>
      </c>
      <c r="G13" s="103">
        <v>377</v>
      </c>
      <c r="H13" s="103">
        <v>4976</v>
      </c>
      <c r="I13" s="103">
        <v>575</v>
      </c>
      <c r="J13" s="103">
        <v>189</v>
      </c>
      <c r="K13" s="103">
        <v>201</v>
      </c>
      <c r="L13" s="103">
        <v>0</v>
      </c>
      <c r="M13" s="103">
        <v>251</v>
      </c>
      <c r="N13" s="103">
        <v>0</v>
      </c>
      <c r="O13" s="103">
        <v>0</v>
      </c>
      <c r="P13" s="103">
        <v>900</v>
      </c>
      <c r="Q13" s="103">
        <v>0</v>
      </c>
      <c r="R13" s="103">
        <v>0</v>
      </c>
      <c r="S13" s="103">
        <v>0</v>
      </c>
      <c r="T13" s="103">
        <v>0</v>
      </c>
      <c r="U13" s="103">
        <v>0</v>
      </c>
      <c r="V13" s="103">
        <v>315</v>
      </c>
      <c r="X13" s="75">
        <v>0.16850000000000001</v>
      </c>
    </row>
    <row r="14" spans="1:24" x14ac:dyDescent="0.25">
      <c r="A14" s="102">
        <v>1967</v>
      </c>
      <c r="B14" s="102" t="s">
        <v>294</v>
      </c>
      <c r="C14" s="102" t="s">
        <v>91</v>
      </c>
      <c r="D14" s="103">
        <v>16529</v>
      </c>
      <c r="E14" s="103">
        <v>8566</v>
      </c>
      <c r="F14" s="103">
        <v>18</v>
      </c>
      <c r="G14" s="103">
        <v>409</v>
      </c>
      <c r="H14" s="103">
        <v>4778</v>
      </c>
      <c r="I14" s="103">
        <v>600</v>
      </c>
      <c r="J14" s="103">
        <v>320</v>
      </c>
      <c r="K14" s="103">
        <v>218</v>
      </c>
      <c r="L14" s="103">
        <v>43</v>
      </c>
      <c r="M14" s="103">
        <v>380</v>
      </c>
      <c r="N14" s="103">
        <v>37</v>
      </c>
      <c r="O14" s="103">
        <v>154</v>
      </c>
      <c r="P14" s="103">
        <v>915</v>
      </c>
      <c r="Q14" s="103">
        <v>0</v>
      </c>
      <c r="R14" s="103">
        <v>48</v>
      </c>
      <c r="S14" s="103">
        <v>41</v>
      </c>
      <c r="T14" s="103">
        <v>0</v>
      </c>
      <c r="U14" s="103">
        <v>3</v>
      </c>
      <c r="V14" s="103">
        <v>0</v>
      </c>
      <c r="X14" s="75">
        <v>0.1736</v>
      </c>
    </row>
    <row r="15" spans="1:24" x14ac:dyDescent="0.25">
      <c r="A15" s="102">
        <v>1968</v>
      </c>
      <c r="B15" s="102" t="s">
        <v>294</v>
      </c>
      <c r="C15" s="102" t="s">
        <v>91</v>
      </c>
      <c r="D15" s="103">
        <v>15921</v>
      </c>
      <c r="E15" s="103">
        <v>8275</v>
      </c>
      <c r="F15" s="103">
        <v>17</v>
      </c>
      <c r="G15" s="103">
        <v>437</v>
      </c>
      <c r="H15" s="103">
        <v>4304</v>
      </c>
      <c r="I15" s="103">
        <v>657</v>
      </c>
      <c r="J15" s="103">
        <v>331</v>
      </c>
      <c r="K15" s="103">
        <v>217</v>
      </c>
      <c r="L15" s="103">
        <v>48</v>
      </c>
      <c r="M15" s="103">
        <v>304</v>
      </c>
      <c r="N15" s="103">
        <v>44</v>
      </c>
      <c r="O15" s="103">
        <v>166</v>
      </c>
      <c r="P15" s="103">
        <v>1021</v>
      </c>
      <c r="Q15" s="103">
        <v>0</v>
      </c>
      <c r="R15" s="103">
        <v>50</v>
      </c>
      <c r="S15" s="103">
        <v>45</v>
      </c>
      <c r="T15" s="103">
        <v>1</v>
      </c>
      <c r="U15" s="103">
        <v>5</v>
      </c>
      <c r="V15" s="103">
        <v>0</v>
      </c>
      <c r="X15" s="75">
        <v>0.1797</v>
      </c>
    </row>
    <row r="16" spans="1:24" x14ac:dyDescent="0.25">
      <c r="A16" s="102">
        <v>1969</v>
      </c>
      <c r="B16" s="102" t="s">
        <v>294</v>
      </c>
      <c r="C16" s="102" t="s">
        <v>91</v>
      </c>
      <c r="D16" s="103">
        <v>15641</v>
      </c>
      <c r="E16" s="103">
        <v>8356</v>
      </c>
      <c r="F16" s="103">
        <v>26</v>
      </c>
      <c r="G16" s="103">
        <v>433</v>
      </c>
      <c r="H16" s="103">
        <v>3799</v>
      </c>
      <c r="I16" s="103">
        <v>597</v>
      </c>
      <c r="J16" s="103">
        <v>323</v>
      </c>
      <c r="K16" s="103">
        <v>221</v>
      </c>
      <c r="L16" s="103">
        <v>54</v>
      </c>
      <c r="M16" s="103">
        <v>404</v>
      </c>
      <c r="N16" s="103">
        <v>32</v>
      </c>
      <c r="O16" s="103">
        <v>169</v>
      </c>
      <c r="P16" s="103">
        <v>1088</v>
      </c>
      <c r="Q16" s="103">
        <v>0</v>
      </c>
      <c r="R16" s="103">
        <v>78</v>
      </c>
      <c r="S16" s="103">
        <v>50</v>
      </c>
      <c r="T16" s="103">
        <v>5</v>
      </c>
      <c r="U16" s="103">
        <v>5</v>
      </c>
      <c r="V16" s="103">
        <v>0</v>
      </c>
      <c r="X16" s="75">
        <v>0.18790000000000001</v>
      </c>
    </row>
    <row r="17" spans="1:24" x14ac:dyDescent="0.25">
      <c r="A17" s="102">
        <v>1970</v>
      </c>
      <c r="B17" s="102" t="s">
        <v>294</v>
      </c>
      <c r="C17" s="102" t="s">
        <v>91</v>
      </c>
      <c r="D17" s="103">
        <v>15339</v>
      </c>
      <c r="E17" s="103">
        <v>7981</v>
      </c>
      <c r="F17" s="103">
        <v>32</v>
      </c>
      <c r="G17" s="103">
        <v>452</v>
      </c>
      <c r="H17" s="103">
        <v>3606</v>
      </c>
      <c r="I17" s="103">
        <v>574</v>
      </c>
      <c r="J17" s="103">
        <v>340</v>
      </c>
      <c r="K17" s="103">
        <v>238</v>
      </c>
      <c r="L17" s="103">
        <v>79</v>
      </c>
      <c r="M17" s="103">
        <v>535</v>
      </c>
      <c r="N17" s="103">
        <v>47</v>
      </c>
      <c r="O17" s="103">
        <v>164</v>
      </c>
      <c r="P17" s="103">
        <v>1084</v>
      </c>
      <c r="Q17" s="103">
        <v>0</v>
      </c>
      <c r="R17" s="103">
        <v>136</v>
      </c>
      <c r="S17" s="103">
        <v>59</v>
      </c>
      <c r="T17" s="103">
        <v>9</v>
      </c>
      <c r="U17" s="103">
        <v>6</v>
      </c>
      <c r="V17" s="103">
        <v>0</v>
      </c>
      <c r="X17" s="75">
        <v>0.19789999999999999</v>
      </c>
    </row>
    <row r="18" spans="1:24" x14ac:dyDescent="0.25">
      <c r="A18" s="102">
        <v>1971</v>
      </c>
      <c r="B18" s="102" t="s">
        <v>294</v>
      </c>
      <c r="C18" s="102" t="s">
        <v>91</v>
      </c>
      <c r="D18" s="103">
        <v>15543</v>
      </c>
      <c r="E18" s="103">
        <v>8110</v>
      </c>
      <c r="F18" s="103">
        <v>32</v>
      </c>
      <c r="G18" s="103">
        <v>513</v>
      </c>
      <c r="H18" s="103">
        <v>3048</v>
      </c>
      <c r="I18" s="103">
        <v>556</v>
      </c>
      <c r="J18" s="103">
        <v>416</v>
      </c>
      <c r="K18" s="103">
        <v>259</v>
      </c>
      <c r="L18" s="103">
        <v>90</v>
      </c>
      <c r="M18" s="103">
        <v>728</v>
      </c>
      <c r="N18" s="103">
        <v>65</v>
      </c>
      <c r="O18" s="103">
        <v>215</v>
      </c>
      <c r="P18" s="103">
        <v>1288</v>
      </c>
      <c r="Q18" s="103">
        <v>0</v>
      </c>
      <c r="R18" s="103">
        <v>145</v>
      </c>
      <c r="S18" s="103">
        <v>63</v>
      </c>
      <c r="T18" s="103">
        <v>10</v>
      </c>
      <c r="U18" s="103">
        <v>7</v>
      </c>
      <c r="V18" s="103">
        <v>0</v>
      </c>
      <c r="X18" s="75">
        <v>0.20799999999999999</v>
      </c>
    </row>
    <row r="19" spans="1:24" x14ac:dyDescent="0.25">
      <c r="A19" s="102">
        <v>1972</v>
      </c>
      <c r="B19" s="102" t="s">
        <v>294</v>
      </c>
      <c r="C19" s="102" t="s">
        <v>91</v>
      </c>
      <c r="D19" s="103">
        <v>16496</v>
      </c>
      <c r="E19" s="103">
        <v>8902</v>
      </c>
      <c r="F19" s="103">
        <v>29</v>
      </c>
      <c r="G19" s="103">
        <v>625</v>
      </c>
      <c r="H19" s="103">
        <v>2932</v>
      </c>
      <c r="I19" s="103">
        <v>574</v>
      </c>
      <c r="J19" s="103">
        <v>479</v>
      </c>
      <c r="K19" s="103">
        <v>294</v>
      </c>
      <c r="L19" s="103">
        <v>50</v>
      </c>
      <c r="M19" s="103">
        <v>558</v>
      </c>
      <c r="N19" s="103">
        <v>66</v>
      </c>
      <c r="O19" s="103">
        <v>235</v>
      </c>
      <c r="P19" s="103">
        <v>1547</v>
      </c>
      <c r="Q19" s="103">
        <v>0</v>
      </c>
      <c r="R19" s="103">
        <v>106</v>
      </c>
      <c r="S19" s="103">
        <v>69</v>
      </c>
      <c r="T19" s="103">
        <v>23</v>
      </c>
      <c r="U19" s="103">
        <v>8</v>
      </c>
      <c r="V19" s="103">
        <v>0</v>
      </c>
      <c r="X19" s="75">
        <v>0.21790000000000001</v>
      </c>
    </row>
    <row r="20" spans="1:24" x14ac:dyDescent="0.25">
      <c r="A20" s="102">
        <v>1973</v>
      </c>
      <c r="B20" s="102" t="s">
        <v>294</v>
      </c>
      <c r="C20" s="102" t="s">
        <v>91</v>
      </c>
      <c r="D20" s="103">
        <v>16800</v>
      </c>
      <c r="E20" s="103">
        <v>9002</v>
      </c>
      <c r="F20" s="103">
        <v>28</v>
      </c>
      <c r="G20" s="103">
        <v>658</v>
      </c>
      <c r="H20" s="103">
        <v>2824</v>
      </c>
      <c r="I20" s="103">
        <v>630</v>
      </c>
      <c r="J20" s="103">
        <v>554</v>
      </c>
      <c r="K20" s="103">
        <v>308</v>
      </c>
      <c r="L20" s="103">
        <v>50</v>
      </c>
      <c r="M20" s="103">
        <v>572</v>
      </c>
      <c r="N20" s="103">
        <v>78</v>
      </c>
      <c r="O20" s="103">
        <v>290</v>
      </c>
      <c r="P20" s="103">
        <v>1585</v>
      </c>
      <c r="Q20" s="103">
        <v>0</v>
      </c>
      <c r="R20" s="103">
        <v>106</v>
      </c>
      <c r="S20" s="103">
        <v>74</v>
      </c>
      <c r="T20" s="103">
        <v>33</v>
      </c>
      <c r="U20" s="103">
        <v>7</v>
      </c>
      <c r="V20" s="103">
        <v>0</v>
      </c>
      <c r="X20" s="75">
        <v>0.2273</v>
      </c>
    </row>
    <row r="21" spans="1:24" x14ac:dyDescent="0.25">
      <c r="A21" s="102">
        <v>1974</v>
      </c>
      <c r="B21" s="102" t="s">
        <v>294</v>
      </c>
      <c r="C21" s="102" t="s">
        <v>91</v>
      </c>
      <c r="D21" s="103">
        <v>17410</v>
      </c>
      <c r="E21" s="103">
        <v>9016</v>
      </c>
      <c r="F21" s="103">
        <v>24</v>
      </c>
      <c r="G21" s="103">
        <v>749</v>
      </c>
      <c r="H21" s="103">
        <v>2702</v>
      </c>
      <c r="I21" s="103">
        <v>759</v>
      </c>
      <c r="J21" s="103">
        <v>516</v>
      </c>
      <c r="K21" s="103">
        <v>313</v>
      </c>
      <c r="L21" s="103">
        <v>51</v>
      </c>
      <c r="M21" s="103">
        <v>693</v>
      </c>
      <c r="N21" s="103">
        <v>82</v>
      </c>
      <c r="O21" s="103">
        <v>236</v>
      </c>
      <c r="P21" s="103">
        <v>2069</v>
      </c>
      <c r="Q21" s="103">
        <v>0</v>
      </c>
      <c r="R21" s="103">
        <v>71</v>
      </c>
      <c r="S21" s="103">
        <v>85</v>
      </c>
      <c r="T21" s="103">
        <v>35</v>
      </c>
      <c r="U21" s="103">
        <v>9</v>
      </c>
      <c r="V21" s="103">
        <v>0</v>
      </c>
      <c r="X21" s="75">
        <v>0.24349999999999999</v>
      </c>
    </row>
    <row r="22" spans="1:24" ht="13" x14ac:dyDescent="0.25">
      <c r="A22" s="102">
        <v>1975</v>
      </c>
      <c r="B22" s="102" t="s">
        <v>294</v>
      </c>
      <c r="C22" s="102" t="s">
        <v>91</v>
      </c>
      <c r="D22" s="103">
        <v>19039</v>
      </c>
      <c r="E22" s="103">
        <v>9679</v>
      </c>
      <c r="F22" s="103">
        <v>29</v>
      </c>
      <c r="G22" s="103">
        <v>813</v>
      </c>
      <c r="H22" s="103">
        <v>2764</v>
      </c>
      <c r="I22" s="103">
        <v>1363</v>
      </c>
      <c r="J22" s="103">
        <v>624</v>
      </c>
      <c r="K22" s="103">
        <v>342</v>
      </c>
      <c r="L22" s="103">
        <v>65</v>
      </c>
      <c r="M22" s="103">
        <v>635</v>
      </c>
      <c r="N22" s="103">
        <v>93</v>
      </c>
      <c r="O22" s="103">
        <v>239</v>
      </c>
      <c r="P22" s="103">
        <v>2170</v>
      </c>
      <c r="Q22" s="103">
        <v>0</v>
      </c>
      <c r="R22" s="103">
        <v>72</v>
      </c>
      <c r="S22" s="103">
        <v>95</v>
      </c>
      <c r="T22" s="103">
        <v>44</v>
      </c>
      <c r="U22" s="103">
        <v>12</v>
      </c>
      <c r="V22" s="103">
        <v>0</v>
      </c>
      <c r="X22" s="124">
        <v>0.26869999999999999</v>
      </c>
    </row>
    <row r="23" spans="1:24" ht="13" x14ac:dyDescent="0.25">
      <c r="A23" s="102">
        <v>1976</v>
      </c>
      <c r="B23" s="102" t="s">
        <v>294</v>
      </c>
      <c r="C23" s="102" t="s">
        <v>91</v>
      </c>
      <c r="D23" s="103">
        <v>20780</v>
      </c>
      <c r="E23" s="103">
        <v>10430</v>
      </c>
      <c r="F23" s="103">
        <v>42</v>
      </c>
      <c r="G23" s="103">
        <v>858</v>
      </c>
      <c r="H23" s="103">
        <v>3130</v>
      </c>
      <c r="I23" s="103">
        <v>1649</v>
      </c>
      <c r="J23" s="103">
        <v>683</v>
      </c>
      <c r="K23" s="103">
        <v>383</v>
      </c>
      <c r="L23" s="103">
        <v>69</v>
      </c>
      <c r="M23" s="103">
        <v>631</v>
      </c>
      <c r="N23" s="103">
        <v>109</v>
      </c>
      <c r="O23" s="103">
        <v>255</v>
      </c>
      <c r="P23" s="103">
        <v>2351</v>
      </c>
      <c r="Q23" s="103">
        <v>0</v>
      </c>
      <c r="R23" s="103">
        <v>48</v>
      </c>
      <c r="S23" s="103">
        <v>98</v>
      </c>
      <c r="T23" s="103">
        <v>35</v>
      </c>
      <c r="U23" s="103">
        <v>12</v>
      </c>
      <c r="V23" s="103">
        <v>0</v>
      </c>
      <c r="X23" s="124">
        <v>0.28739999999999999</v>
      </c>
    </row>
    <row r="24" spans="1:24" ht="13" x14ac:dyDescent="0.25">
      <c r="A24" s="102">
        <v>1977</v>
      </c>
      <c r="B24" s="102" t="s">
        <v>294</v>
      </c>
      <c r="C24" s="102" t="s">
        <v>91</v>
      </c>
      <c r="D24" s="103">
        <v>23450</v>
      </c>
      <c r="E24" s="103">
        <v>11864</v>
      </c>
      <c r="F24" s="103">
        <v>66</v>
      </c>
      <c r="G24" s="103">
        <v>974</v>
      </c>
      <c r="H24" s="103">
        <v>2832</v>
      </c>
      <c r="I24" s="103">
        <v>2562</v>
      </c>
      <c r="J24" s="103">
        <v>753</v>
      </c>
      <c r="K24" s="103">
        <v>457</v>
      </c>
      <c r="L24" s="103">
        <v>71</v>
      </c>
      <c r="M24" s="103">
        <v>708</v>
      </c>
      <c r="N24" s="103">
        <v>101</v>
      </c>
      <c r="O24" s="103">
        <v>230</v>
      </c>
      <c r="P24" s="103">
        <v>2629</v>
      </c>
      <c r="Q24" s="103">
        <v>0</v>
      </c>
      <c r="R24" s="103">
        <v>55</v>
      </c>
      <c r="S24" s="103">
        <v>107</v>
      </c>
      <c r="T24" s="103">
        <v>30</v>
      </c>
      <c r="U24" s="103">
        <v>13</v>
      </c>
      <c r="V24" s="103">
        <v>0</v>
      </c>
      <c r="X24" s="124">
        <v>0.30819999999999997</v>
      </c>
    </row>
    <row r="25" spans="1:24" ht="13" x14ac:dyDescent="0.25">
      <c r="A25" s="102">
        <v>1978</v>
      </c>
      <c r="B25" s="102" t="s">
        <v>295</v>
      </c>
      <c r="C25" s="102" t="s">
        <v>91</v>
      </c>
      <c r="D25" s="103">
        <v>25976</v>
      </c>
      <c r="E25" s="103">
        <v>12899</v>
      </c>
      <c r="F25" s="103">
        <v>57</v>
      </c>
      <c r="G25" s="103">
        <v>1050</v>
      </c>
      <c r="H25" s="103">
        <v>2939</v>
      </c>
      <c r="I25" s="103">
        <v>3134</v>
      </c>
      <c r="J25" s="103">
        <v>904</v>
      </c>
      <c r="K25" s="103">
        <v>501</v>
      </c>
      <c r="L25" s="103">
        <v>77</v>
      </c>
      <c r="M25" s="103">
        <v>768</v>
      </c>
      <c r="N25" s="103">
        <v>92</v>
      </c>
      <c r="O25" s="103">
        <v>345</v>
      </c>
      <c r="P25" s="103">
        <v>2968</v>
      </c>
      <c r="Q25" s="103">
        <v>0</v>
      </c>
      <c r="R25" s="103">
        <v>67</v>
      </c>
      <c r="S25" s="103">
        <v>111</v>
      </c>
      <c r="T25" s="103">
        <v>44</v>
      </c>
      <c r="U25" s="103">
        <v>20</v>
      </c>
      <c r="V25" s="103">
        <v>0</v>
      </c>
      <c r="X25" s="124">
        <v>0.32890000000000003</v>
      </c>
    </row>
    <row r="26" spans="1:24" ht="13" x14ac:dyDescent="0.25">
      <c r="A26" s="102">
        <v>1979</v>
      </c>
      <c r="B26" s="102" t="s">
        <v>295</v>
      </c>
      <c r="C26" s="102" t="s">
        <v>91</v>
      </c>
      <c r="D26" s="103">
        <v>28208</v>
      </c>
      <c r="E26" s="103">
        <v>13791</v>
      </c>
      <c r="F26" s="103">
        <v>117</v>
      </c>
      <c r="G26" s="103">
        <v>1119</v>
      </c>
      <c r="H26" s="103">
        <v>3136</v>
      </c>
      <c r="I26" s="103">
        <v>3461</v>
      </c>
      <c r="J26" s="103">
        <v>1010</v>
      </c>
      <c r="K26" s="103">
        <v>552</v>
      </c>
      <c r="L26" s="103">
        <v>93</v>
      </c>
      <c r="M26" s="103">
        <v>798</v>
      </c>
      <c r="N26" s="103">
        <v>127</v>
      </c>
      <c r="O26" s="103">
        <v>354</v>
      </c>
      <c r="P26" s="103">
        <v>3401</v>
      </c>
      <c r="Q26" s="103">
        <v>0</v>
      </c>
      <c r="R26" s="103">
        <v>57</v>
      </c>
      <c r="S26" s="103">
        <v>123</v>
      </c>
      <c r="T26" s="103">
        <v>47</v>
      </c>
      <c r="U26" s="103">
        <v>23</v>
      </c>
      <c r="V26" s="103">
        <v>0</v>
      </c>
      <c r="X26" s="124">
        <v>0.35549999999999998</v>
      </c>
    </row>
    <row r="27" spans="1:24" ht="13" x14ac:dyDescent="0.25">
      <c r="A27" s="102">
        <v>1980</v>
      </c>
      <c r="B27" s="102" t="s">
        <v>295</v>
      </c>
      <c r="C27" s="102" t="s">
        <v>91</v>
      </c>
      <c r="D27" s="103">
        <v>29739</v>
      </c>
      <c r="E27" s="103">
        <v>14946</v>
      </c>
      <c r="F27" s="103">
        <v>125</v>
      </c>
      <c r="G27" s="103">
        <v>1233</v>
      </c>
      <c r="H27" s="103">
        <v>2738</v>
      </c>
      <c r="I27" s="103">
        <v>3603</v>
      </c>
      <c r="J27" s="103">
        <v>999</v>
      </c>
      <c r="K27" s="103">
        <v>585</v>
      </c>
      <c r="L27" s="103">
        <v>101</v>
      </c>
      <c r="M27" s="103">
        <v>887</v>
      </c>
      <c r="N27" s="103">
        <v>119</v>
      </c>
      <c r="O27" s="103">
        <v>468</v>
      </c>
      <c r="P27" s="103">
        <v>3694</v>
      </c>
      <c r="Q27" s="103">
        <v>0</v>
      </c>
      <c r="R27" s="103">
        <v>47</v>
      </c>
      <c r="S27" s="103">
        <v>126</v>
      </c>
      <c r="T27" s="103">
        <v>45</v>
      </c>
      <c r="U27" s="103">
        <v>22</v>
      </c>
      <c r="V27" s="103">
        <v>0</v>
      </c>
      <c r="X27" s="124">
        <v>0.38650000000000001</v>
      </c>
    </row>
    <row r="28" spans="1:24" ht="13" x14ac:dyDescent="0.25">
      <c r="A28" s="102">
        <v>1981</v>
      </c>
      <c r="B28" s="102" t="s">
        <v>295</v>
      </c>
      <c r="C28" s="102" t="s">
        <v>91</v>
      </c>
      <c r="D28" s="103">
        <v>33735</v>
      </c>
      <c r="E28" s="103">
        <v>18413</v>
      </c>
      <c r="F28" s="103">
        <v>160</v>
      </c>
      <c r="G28" s="103">
        <v>1340</v>
      </c>
      <c r="H28" s="103">
        <v>3111</v>
      </c>
      <c r="I28" s="103">
        <v>3501</v>
      </c>
      <c r="J28" s="103">
        <v>1061</v>
      </c>
      <c r="K28" s="103">
        <v>659</v>
      </c>
      <c r="L28" s="103">
        <v>106</v>
      </c>
      <c r="M28" s="103">
        <v>869</v>
      </c>
      <c r="N28" s="103">
        <v>104</v>
      </c>
      <c r="O28" s="103">
        <v>298</v>
      </c>
      <c r="P28" s="103">
        <v>3871</v>
      </c>
      <c r="Q28" s="103">
        <v>0</v>
      </c>
      <c r="R28" s="103">
        <v>43</v>
      </c>
      <c r="S28" s="103">
        <v>143</v>
      </c>
      <c r="T28" s="103">
        <v>34</v>
      </c>
      <c r="U28" s="103">
        <v>22</v>
      </c>
      <c r="V28" s="103">
        <v>0</v>
      </c>
      <c r="X28" s="124">
        <v>0.4244</v>
      </c>
    </row>
    <row r="29" spans="1:24" ht="13" x14ac:dyDescent="0.25">
      <c r="A29" s="102">
        <v>1982</v>
      </c>
      <c r="B29" s="102" t="s">
        <v>295</v>
      </c>
      <c r="C29" s="102" t="s">
        <v>91</v>
      </c>
      <c r="D29" s="103">
        <v>36115</v>
      </c>
      <c r="E29" s="103">
        <v>22070</v>
      </c>
      <c r="F29" s="103">
        <v>165</v>
      </c>
      <c r="G29" s="103">
        <v>1359</v>
      </c>
      <c r="H29" s="103">
        <v>2584</v>
      </c>
      <c r="I29" s="103">
        <v>3012</v>
      </c>
      <c r="J29" s="103">
        <v>965</v>
      </c>
      <c r="K29" s="103">
        <v>693</v>
      </c>
      <c r="L29" s="103">
        <v>104</v>
      </c>
      <c r="M29" s="103">
        <v>791</v>
      </c>
      <c r="N29" s="103">
        <v>63</v>
      </c>
      <c r="O29" s="103">
        <v>228</v>
      </c>
      <c r="P29" s="103">
        <v>3869</v>
      </c>
      <c r="Q29" s="103">
        <v>0</v>
      </c>
      <c r="R29" s="103">
        <v>32</v>
      </c>
      <c r="S29" s="103">
        <v>139</v>
      </c>
      <c r="T29" s="103">
        <v>31</v>
      </c>
      <c r="U29" s="103">
        <v>10</v>
      </c>
      <c r="V29" s="103">
        <v>0</v>
      </c>
      <c r="X29" s="124">
        <v>0.45390000000000003</v>
      </c>
    </row>
    <row r="30" spans="1:24" ht="13" x14ac:dyDescent="0.25">
      <c r="A30" s="102">
        <v>1983</v>
      </c>
      <c r="B30" s="102" t="s">
        <v>295</v>
      </c>
      <c r="C30" s="102" t="s">
        <v>91</v>
      </c>
      <c r="D30" s="103">
        <v>38768</v>
      </c>
      <c r="E30" s="103">
        <v>24936</v>
      </c>
      <c r="F30" s="103">
        <v>177</v>
      </c>
      <c r="G30" s="103">
        <v>1502</v>
      </c>
      <c r="H30" s="103">
        <v>2134</v>
      </c>
      <c r="I30" s="103">
        <v>2578</v>
      </c>
      <c r="J30" s="103">
        <v>952</v>
      </c>
      <c r="K30" s="103">
        <v>745</v>
      </c>
      <c r="L30" s="103">
        <v>107</v>
      </c>
      <c r="M30" s="103">
        <v>876</v>
      </c>
      <c r="N30" s="103">
        <v>44</v>
      </c>
      <c r="O30" s="103">
        <v>189</v>
      </c>
      <c r="P30" s="103">
        <v>4298</v>
      </c>
      <c r="Q30" s="103">
        <v>0</v>
      </c>
      <c r="R30" s="103">
        <v>32</v>
      </c>
      <c r="S30" s="103">
        <v>157</v>
      </c>
      <c r="T30" s="103">
        <v>37</v>
      </c>
      <c r="U30" s="103">
        <v>6</v>
      </c>
      <c r="V30" s="103">
        <v>0</v>
      </c>
      <c r="X30" s="124">
        <v>0.47370000000000001</v>
      </c>
    </row>
    <row r="31" spans="1:24" ht="13" x14ac:dyDescent="0.25">
      <c r="A31" s="102">
        <v>1984</v>
      </c>
      <c r="B31" s="102" t="s">
        <v>295</v>
      </c>
      <c r="C31" s="102" t="s">
        <v>91</v>
      </c>
      <c r="D31" s="103">
        <v>44214</v>
      </c>
      <c r="E31" s="103">
        <v>29287</v>
      </c>
      <c r="F31" s="103">
        <v>192</v>
      </c>
      <c r="G31" s="103">
        <v>1676</v>
      </c>
      <c r="H31" s="103">
        <v>2300</v>
      </c>
      <c r="I31" s="103">
        <v>2581</v>
      </c>
      <c r="J31" s="103">
        <v>963</v>
      </c>
      <c r="K31" s="103">
        <v>762</v>
      </c>
      <c r="L31" s="103">
        <v>110</v>
      </c>
      <c r="M31" s="103">
        <v>1040</v>
      </c>
      <c r="N31" s="103">
        <v>46</v>
      </c>
      <c r="O31" s="103">
        <v>200</v>
      </c>
      <c r="P31" s="103">
        <v>4779</v>
      </c>
      <c r="Q31" s="103">
        <v>0</v>
      </c>
      <c r="R31" s="103">
        <v>26</v>
      </c>
      <c r="S31" s="103">
        <v>218</v>
      </c>
      <c r="T31" s="103">
        <v>24</v>
      </c>
      <c r="U31" s="103">
        <v>8</v>
      </c>
      <c r="V31" s="103">
        <v>0</v>
      </c>
      <c r="X31" s="124">
        <v>0.49070000000000003</v>
      </c>
    </row>
    <row r="32" spans="1:24" ht="13" x14ac:dyDescent="0.25">
      <c r="A32" s="102">
        <v>1985</v>
      </c>
      <c r="B32" s="102" t="s">
        <v>295</v>
      </c>
      <c r="C32" s="102" t="s">
        <v>91</v>
      </c>
      <c r="D32" s="103">
        <v>49887</v>
      </c>
      <c r="E32" s="103">
        <v>33698</v>
      </c>
      <c r="F32" s="103">
        <v>210</v>
      </c>
      <c r="G32" s="103">
        <v>1862</v>
      </c>
      <c r="H32" s="103">
        <v>2725</v>
      </c>
      <c r="I32" s="103">
        <v>2389</v>
      </c>
      <c r="J32" s="103">
        <v>1059</v>
      </c>
      <c r="K32" s="103">
        <v>836</v>
      </c>
      <c r="L32" s="103">
        <v>114</v>
      </c>
      <c r="M32" s="103">
        <v>1030</v>
      </c>
      <c r="N32" s="103">
        <v>50</v>
      </c>
      <c r="O32" s="103">
        <v>220</v>
      </c>
      <c r="P32" s="103">
        <v>5418</v>
      </c>
      <c r="Q32" s="103">
        <v>0</v>
      </c>
      <c r="R32" s="103">
        <v>21</v>
      </c>
      <c r="S32" s="103">
        <v>193</v>
      </c>
      <c r="T32" s="103">
        <v>47</v>
      </c>
      <c r="U32" s="103">
        <v>17</v>
      </c>
      <c r="V32" s="103">
        <v>0</v>
      </c>
      <c r="X32" s="124">
        <v>0.5071</v>
      </c>
    </row>
    <row r="33" spans="1:24" ht="13" x14ac:dyDescent="0.25">
      <c r="A33" s="102">
        <v>1986</v>
      </c>
      <c r="B33" s="102" t="s">
        <v>295</v>
      </c>
      <c r="C33" s="102" t="s">
        <v>91</v>
      </c>
      <c r="D33" s="103">
        <v>53249</v>
      </c>
      <c r="E33" s="103">
        <v>36926</v>
      </c>
      <c r="F33" s="103">
        <v>211</v>
      </c>
      <c r="G33" s="103">
        <v>1873</v>
      </c>
      <c r="H33" s="103">
        <v>2894</v>
      </c>
      <c r="I33" s="103">
        <v>2286</v>
      </c>
      <c r="J33" s="103">
        <v>1062</v>
      </c>
      <c r="K33" s="103">
        <v>815</v>
      </c>
      <c r="L33" s="103">
        <v>111</v>
      </c>
      <c r="M33" s="103">
        <v>917</v>
      </c>
      <c r="N33" s="103">
        <v>88</v>
      </c>
      <c r="O33" s="103">
        <v>248</v>
      </c>
      <c r="P33" s="103">
        <v>5565</v>
      </c>
      <c r="Q33" s="103">
        <v>0</v>
      </c>
      <c r="R33" s="103">
        <v>14</v>
      </c>
      <c r="S33" s="103">
        <v>183</v>
      </c>
      <c r="T33" s="103">
        <v>41</v>
      </c>
      <c r="U33" s="103">
        <v>14</v>
      </c>
      <c r="V33" s="103">
        <v>0</v>
      </c>
      <c r="X33" s="124">
        <v>0.51849999999999996</v>
      </c>
    </row>
    <row r="34" spans="1:24" ht="13" x14ac:dyDescent="0.25">
      <c r="A34" s="102">
        <v>1987</v>
      </c>
      <c r="B34" s="102" t="s">
        <v>295</v>
      </c>
      <c r="C34" s="102" t="s">
        <v>91</v>
      </c>
      <c r="D34" s="103">
        <v>57069</v>
      </c>
      <c r="E34" s="103">
        <v>39152</v>
      </c>
      <c r="F34" s="103">
        <v>223</v>
      </c>
      <c r="G34" s="103">
        <v>2042</v>
      </c>
      <c r="H34" s="103">
        <v>3398</v>
      </c>
      <c r="I34" s="103">
        <v>2053</v>
      </c>
      <c r="J34" s="103">
        <v>1133</v>
      </c>
      <c r="K34" s="103">
        <v>822</v>
      </c>
      <c r="L34" s="103">
        <v>110</v>
      </c>
      <c r="M34" s="103">
        <v>908</v>
      </c>
      <c r="N34" s="103">
        <v>99</v>
      </c>
      <c r="O34" s="103">
        <v>267</v>
      </c>
      <c r="P34" s="103">
        <v>6556</v>
      </c>
      <c r="Q34" s="103">
        <v>0</v>
      </c>
      <c r="R34" s="103">
        <v>25</v>
      </c>
      <c r="S34" s="103">
        <v>215</v>
      </c>
      <c r="T34" s="103">
        <v>49</v>
      </c>
      <c r="U34" s="103">
        <v>17</v>
      </c>
      <c r="V34" s="103">
        <v>0</v>
      </c>
      <c r="X34" s="124">
        <v>0.53010000000000002</v>
      </c>
    </row>
    <row r="35" spans="1:24" ht="13" x14ac:dyDescent="0.25">
      <c r="A35" s="102">
        <v>1988</v>
      </c>
      <c r="B35" s="102" t="s">
        <v>295</v>
      </c>
      <c r="C35" s="102" t="s">
        <v>91</v>
      </c>
      <c r="D35" s="103">
        <v>59106</v>
      </c>
      <c r="E35" s="103">
        <v>40099</v>
      </c>
      <c r="F35" s="103">
        <v>224</v>
      </c>
      <c r="G35" s="103">
        <v>2160</v>
      </c>
      <c r="H35" s="103">
        <v>3683</v>
      </c>
      <c r="I35" s="103">
        <v>2126</v>
      </c>
      <c r="J35" s="103">
        <v>1160</v>
      </c>
      <c r="K35" s="103">
        <v>882</v>
      </c>
      <c r="L35" s="103">
        <v>122</v>
      </c>
      <c r="M35" s="103">
        <v>896</v>
      </c>
      <c r="N35" s="103">
        <v>108</v>
      </c>
      <c r="O35" s="103">
        <v>285</v>
      </c>
      <c r="P35" s="103">
        <v>7076</v>
      </c>
      <c r="Q35" s="103">
        <v>0</v>
      </c>
      <c r="R35" s="103">
        <v>23</v>
      </c>
      <c r="S35" s="103">
        <v>195</v>
      </c>
      <c r="T35" s="103">
        <v>51</v>
      </c>
      <c r="U35" s="103">
        <v>17</v>
      </c>
      <c r="V35" s="103">
        <v>0</v>
      </c>
      <c r="X35" s="124">
        <v>0.54730000000000001</v>
      </c>
    </row>
    <row r="36" spans="1:24" ht="13" x14ac:dyDescent="0.25">
      <c r="A36" s="102">
        <v>1989</v>
      </c>
      <c r="B36" s="102" t="s">
        <v>295</v>
      </c>
      <c r="C36" s="102" t="s">
        <v>91</v>
      </c>
      <c r="D36" s="103">
        <v>62115</v>
      </c>
      <c r="E36" s="103">
        <v>40642</v>
      </c>
      <c r="F36" s="103">
        <v>279</v>
      </c>
      <c r="G36" s="103">
        <v>2373</v>
      </c>
      <c r="H36" s="103">
        <v>4555</v>
      </c>
      <c r="I36" s="103">
        <v>2419</v>
      </c>
      <c r="J36" s="103">
        <v>1255</v>
      </c>
      <c r="K36" s="103">
        <v>907</v>
      </c>
      <c r="L36" s="103">
        <v>128</v>
      </c>
      <c r="M36" s="103">
        <v>1064</v>
      </c>
      <c r="N36" s="103">
        <v>74</v>
      </c>
      <c r="O36" s="103">
        <v>347</v>
      </c>
      <c r="P36" s="103">
        <v>7773</v>
      </c>
      <c r="Q36" s="103">
        <v>0</v>
      </c>
      <c r="R36" s="103">
        <v>27</v>
      </c>
      <c r="S36" s="103">
        <v>212</v>
      </c>
      <c r="T36" s="103">
        <v>45</v>
      </c>
      <c r="U36" s="103">
        <v>15</v>
      </c>
      <c r="V36" s="103">
        <v>0</v>
      </c>
      <c r="X36" s="124">
        <v>0.56940000000000002</v>
      </c>
    </row>
    <row r="37" spans="1:24" ht="13" x14ac:dyDescent="0.25">
      <c r="A37" s="102">
        <v>1990</v>
      </c>
      <c r="B37" s="102" t="s">
        <v>295</v>
      </c>
      <c r="C37" s="102" t="s">
        <v>91</v>
      </c>
      <c r="D37" s="103">
        <v>63781</v>
      </c>
      <c r="E37" s="103">
        <v>39925</v>
      </c>
      <c r="F37" s="103">
        <v>375</v>
      </c>
      <c r="G37" s="103">
        <v>2410</v>
      </c>
      <c r="H37" s="103">
        <v>5765</v>
      </c>
      <c r="I37" s="103">
        <v>2726</v>
      </c>
      <c r="J37" s="103">
        <v>1386</v>
      </c>
      <c r="K37" s="103">
        <v>950</v>
      </c>
      <c r="L37" s="103">
        <v>140</v>
      </c>
      <c r="M37" s="103">
        <v>1045</v>
      </c>
      <c r="N37" s="103">
        <v>67</v>
      </c>
      <c r="O37" s="103">
        <v>374</v>
      </c>
      <c r="P37" s="103">
        <v>8308</v>
      </c>
      <c r="Q37" s="103">
        <v>0</v>
      </c>
      <c r="R37" s="103">
        <v>33</v>
      </c>
      <c r="S37" s="103">
        <v>216</v>
      </c>
      <c r="T37" s="103">
        <v>44</v>
      </c>
      <c r="U37" s="103">
        <v>17</v>
      </c>
      <c r="V37" s="103">
        <v>0</v>
      </c>
      <c r="X37" s="124">
        <v>0.59019999999999995</v>
      </c>
    </row>
    <row r="38" spans="1:24" ht="13" x14ac:dyDescent="0.25">
      <c r="A38" s="102">
        <v>1991</v>
      </c>
      <c r="B38" s="102" t="s">
        <v>295</v>
      </c>
      <c r="C38" s="102" t="s">
        <v>91</v>
      </c>
      <c r="D38" s="103">
        <v>65898</v>
      </c>
      <c r="E38" s="103">
        <v>39328</v>
      </c>
      <c r="F38" s="103">
        <v>378</v>
      </c>
      <c r="G38" s="103">
        <v>2635</v>
      </c>
      <c r="H38" s="103">
        <v>6511</v>
      </c>
      <c r="I38" s="103">
        <v>2953</v>
      </c>
      <c r="J38" s="103">
        <v>1582</v>
      </c>
      <c r="K38" s="103">
        <v>1052</v>
      </c>
      <c r="L38" s="103">
        <v>178</v>
      </c>
      <c r="M38" s="103">
        <v>1231</v>
      </c>
      <c r="N38" s="103">
        <v>88</v>
      </c>
      <c r="O38" s="103">
        <v>433</v>
      </c>
      <c r="P38" s="103">
        <v>9226</v>
      </c>
      <c r="Q38" s="103">
        <v>0</v>
      </c>
      <c r="R38" s="103">
        <v>30</v>
      </c>
      <c r="S38" s="103">
        <v>219</v>
      </c>
      <c r="T38" s="103">
        <v>51</v>
      </c>
      <c r="U38" s="103">
        <v>4</v>
      </c>
      <c r="V38" s="103">
        <v>0</v>
      </c>
      <c r="X38" s="124">
        <v>0.61129999999999995</v>
      </c>
    </row>
    <row r="39" spans="1:24" ht="13" x14ac:dyDescent="0.25">
      <c r="A39" s="102">
        <v>1992</v>
      </c>
      <c r="B39" s="102" t="s">
        <v>295</v>
      </c>
      <c r="C39" s="102" t="s">
        <v>91</v>
      </c>
      <c r="D39" s="103">
        <v>68398</v>
      </c>
      <c r="E39" s="103">
        <v>40083</v>
      </c>
      <c r="F39" s="103">
        <v>371</v>
      </c>
      <c r="G39" s="103">
        <v>2659</v>
      </c>
      <c r="H39" s="103">
        <v>6744</v>
      </c>
      <c r="I39" s="103">
        <v>3099</v>
      </c>
      <c r="J39" s="103">
        <v>1688</v>
      </c>
      <c r="K39" s="103">
        <v>1155</v>
      </c>
      <c r="L39" s="103">
        <v>192</v>
      </c>
      <c r="M39" s="103">
        <v>1523</v>
      </c>
      <c r="N39" s="103">
        <v>127</v>
      </c>
      <c r="O39" s="103">
        <v>365</v>
      </c>
      <c r="P39" s="103">
        <v>10055</v>
      </c>
      <c r="Q39" s="103">
        <v>0</v>
      </c>
      <c r="R39" s="103">
        <v>37</v>
      </c>
      <c r="S39" s="103">
        <v>245</v>
      </c>
      <c r="T39" s="103">
        <v>51</v>
      </c>
      <c r="U39" s="103">
        <v>4</v>
      </c>
      <c r="V39" s="103">
        <v>0</v>
      </c>
      <c r="X39" s="124">
        <v>0.62660000000000005</v>
      </c>
    </row>
    <row r="40" spans="1:24" ht="13" x14ac:dyDescent="0.25">
      <c r="A40" s="102">
        <v>1993</v>
      </c>
      <c r="B40" s="102" t="s">
        <v>295</v>
      </c>
      <c r="C40" s="102" t="s">
        <v>91</v>
      </c>
      <c r="D40" s="103">
        <v>69884</v>
      </c>
      <c r="E40" s="103">
        <v>41249</v>
      </c>
      <c r="F40" s="103">
        <v>382</v>
      </c>
      <c r="G40" s="103">
        <v>2691</v>
      </c>
      <c r="H40" s="103">
        <v>6988</v>
      </c>
      <c r="I40" s="103">
        <v>2677</v>
      </c>
      <c r="J40" s="103">
        <v>1802</v>
      </c>
      <c r="K40" s="103">
        <v>1152</v>
      </c>
      <c r="L40" s="103">
        <v>220</v>
      </c>
      <c r="M40" s="103">
        <v>1703</v>
      </c>
      <c r="N40" s="103">
        <v>57</v>
      </c>
      <c r="O40" s="103">
        <v>348</v>
      </c>
      <c r="P40" s="103">
        <v>10280</v>
      </c>
      <c r="Q40" s="103">
        <v>0</v>
      </c>
      <c r="R40" s="103">
        <v>36</v>
      </c>
      <c r="S40" s="103">
        <v>250</v>
      </c>
      <c r="T40" s="103">
        <v>49</v>
      </c>
      <c r="U40" s="103">
        <v>0</v>
      </c>
      <c r="V40" s="103">
        <v>0</v>
      </c>
      <c r="X40" s="124">
        <v>0.64129999999999998</v>
      </c>
    </row>
    <row r="41" spans="1:24" ht="13" x14ac:dyDescent="0.25">
      <c r="A41" s="102">
        <v>1994</v>
      </c>
      <c r="B41" s="102" t="s">
        <v>295</v>
      </c>
      <c r="C41" s="102" t="s">
        <v>91</v>
      </c>
      <c r="D41" s="103">
        <v>68331</v>
      </c>
      <c r="E41" s="103">
        <v>37764</v>
      </c>
      <c r="F41" s="103">
        <v>254</v>
      </c>
      <c r="G41" s="103">
        <v>2712</v>
      </c>
      <c r="H41" s="103">
        <v>7414</v>
      </c>
      <c r="I41" s="103">
        <v>2873</v>
      </c>
      <c r="J41" s="103">
        <v>2062</v>
      </c>
      <c r="K41" s="103">
        <v>1193</v>
      </c>
      <c r="L41" s="103">
        <v>380</v>
      </c>
      <c r="M41" s="103">
        <v>1888</v>
      </c>
      <c r="N41" s="103">
        <v>68</v>
      </c>
      <c r="O41" s="103">
        <v>373</v>
      </c>
      <c r="P41" s="103">
        <v>10993</v>
      </c>
      <c r="Q41" s="103">
        <v>0</v>
      </c>
      <c r="R41" s="103">
        <v>45</v>
      </c>
      <c r="S41" s="103">
        <v>265</v>
      </c>
      <c r="T41" s="103">
        <v>46</v>
      </c>
      <c r="U41" s="103">
        <v>0</v>
      </c>
      <c r="V41" s="103">
        <v>0</v>
      </c>
      <c r="X41" s="124">
        <v>0.65529999999999999</v>
      </c>
    </row>
    <row r="42" spans="1:24" ht="13" x14ac:dyDescent="0.25">
      <c r="A42" s="102">
        <v>1995</v>
      </c>
      <c r="B42" s="102" t="s">
        <v>295</v>
      </c>
      <c r="C42" s="102" t="s">
        <v>91</v>
      </c>
      <c r="D42" s="103">
        <v>68791</v>
      </c>
      <c r="E42" s="103">
        <v>37204</v>
      </c>
      <c r="F42" s="103">
        <v>287</v>
      </c>
      <c r="G42" s="103">
        <v>2794</v>
      </c>
      <c r="H42" s="103">
        <v>7916</v>
      </c>
      <c r="I42" s="103">
        <v>2844</v>
      </c>
      <c r="J42" s="103">
        <v>1988</v>
      </c>
      <c r="K42" s="103">
        <v>1194</v>
      </c>
      <c r="L42" s="103">
        <v>525</v>
      </c>
      <c r="M42" s="103">
        <v>1833</v>
      </c>
      <c r="N42" s="103">
        <v>70</v>
      </c>
      <c r="O42" s="103">
        <v>369</v>
      </c>
      <c r="P42" s="103">
        <v>11407</v>
      </c>
      <c r="Q42" s="103">
        <v>0</v>
      </c>
      <c r="R42" s="103">
        <v>43</v>
      </c>
      <c r="S42" s="103">
        <v>257</v>
      </c>
      <c r="T42" s="103">
        <v>59</v>
      </c>
      <c r="U42" s="103">
        <v>1</v>
      </c>
      <c r="V42" s="103">
        <v>0</v>
      </c>
      <c r="X42" s="124">
        <v>0.66920000000000002</v>
      </c>
    </row>
    <row r="43" spans="1:24" ht="13" x14ac:dyDescent="0.25">
      <c r="A43" s="102">
        <v>1996</v>
      </c>
      <c r="B43" s="102" t="s">
        <v>295</v>
      </c>
      <c r="C43" s="102" t="s">
        <v>91</v>
      </c>
      <c r="D43" s="103">
        <v>69049</v>
      </c>
      <c r="E43" s="103">
        <v>37801</v>
      </c>
      <c r="F43" s="103">
        <v>252</v>
      </c>
      <c r="G43" s="103">
        <v>2846</v>
      </c>
      <c r="H43" s="103">
        <v>7844</v>
      </c>
      <c r="I43" s="103">
        <v>2521</v>
      </c>
      <c r="J43" s="103">
        <v>1802</v>
      </c>
      <c r="K43" s="103">
        <v>1176</v>
      </c>
      <c r="L43" s="103">
        <v>432</v>
      </c>
      <c r="M43" s="103">
        <v>1795</v>
      </c>
      <c r="N43" s="103">
        <v>50</v>
      </c>
      <c r="O43" s="103">
        <v>331</v>
      </c>
      <c r="P43" s="103">
        <v>11867</v>
      </c>
      <c r="Q43" s="103">
        <v>0</v>
      </c>
      <c r="R43" s="103">
        <v>16</v>
      </c>
      <c r="S43" s="103">
        <v>259</v>
      </c>
      <c r="T43" s="103">
        <v>56</v>
      </c>
      <c r="U43" s="103">
        <v>2</v>
      </c>
      <c r="V43" s="103">
        <v>0</v>
      </c>
      <c r="X43" s="124">
        <v>0.68179999999999996</v>
      </c>
    </row>
    <row r="44" spans="1:24" ht="13" x14ac:dyDescent="0.25">
      <c r="A44" s="102">
        <v>1997</v>
      </c>
      <c r="B44" s="102" t="s">
        <v>295</v>
      </c>
      <c r="C44" s="102" t="s">
        <v>91</v>
      </c>
      <c r="D44" s="103">
        <v>71653</v>
      </c>
      <c r="E44" s="103">
        <v>39591</v>
      </c>
      <c r="F44" s="103">
        <v>190</v>
      </c>
      <c r="G44" s="103">
        <v>2944</v>
      </c>
      <c r="H44" s="103">
        <v>7844</v>
      </c>
      <c r="I44" s="103">
        <v>2372</v>
      </c>
      <c r="J44" s="103">
        <v>1886</v>
      </c>
      <c r="K44" s="103">
        <v>1203</v>
      </c>
      <c r="L44" s="103">
        <v>409</v>
      </c>
      <c r="M44" s="103">
        <v>1785</v>
      </c>
      <c r="N44" s="103">
        <v>48</v>
      </c>
      <c r="O44" s="103">
        <v>373</v>
      </c>
      <c r="P44" s="103">
        <v>12670</v>
      </c>
      <c r="Q44" s="103">
        <v>0</v>
      </c>
      <c r="R44" s="103">
        <v>9</v>
      </c>
      <c r="S44" s="103">
        <v>267</v>
      </c>
      <c r="T44" s="103">
        <v>59</v>
      </c>
      <c r="U44" s="103">
        <v>2</v>
      </c>
      <c r="V44" s="103">
        <v>0</v>
      </c>
      <c r="X44" s="124">
        <v>0.69389999999999996</v>
      </c>
    </row>
    <row r="45" spans="1:24" ht="13" x14ac:dyDescent="0.25">
      <c r="A45" s="102">
        <v>1998</v>
      </c>
      <c r="B45" s="102" t="s">
        <v>295</v>
      </c>
      <c r="C45" s="102" t="s">
        <v>91</v>
      </c>
      <c r="D45" s="103">
        <v>73569</v>
      </c>
      <c r="E45" s="103">
        <v>39823</v>
      </c>
      <c r="F45" s="103">
        <v>163</v>
      </c>
      <c r="G45" s="103">
        <v>4360</v>
      </c>
      <c r="H45" s="103">
        <v>8198</v>
      </c>
      <c r="I45" s="103">
        <v>948</v>
      </c>
      <c r="J45" s="103">
        <v>1855</v>
      </c>
      <c r="K45" s="103">
        <v>1249</v>
      </c>
      <c r="L45" s="103">
        <v>398</v>
      </c>
      <c r="M45" s="103">
        <v>1833</v>
      </c>
      <c r="N45" s="103">
        <v>42</v>
      </c>
      <c r="O45" s="103">
        <v>444</v>
      </c>
      <c r="P45" s="103">
        <v>13576</v>
      </c>
      <c r="Q45" s="103">
        <v>0</v>
      </c>
      <c r="R45" s="103">
        <v>18</v>
      </c>
      <c r="S45" s="103">
        <v>587</v>
      </c>
      <c r="T45" s="103">
        <v>72</v>
      </c>
      <c r="U45" s="103">
        <v>2</v>
      </c>
      <c r="V45" s="103">
        <v>0</v>
      </c>
      <c r="X45" s="124">
        <v>0.7026</v>
      </c>
    </row>
    <row r="46" spans="1:24" ht="13" x14ac:dyDescent="0.25">
      <c r="A46" s="102">
        <v>1999</v>
      </c>
      <c r="B46" s="102" t="s">
        <v>295</v>
      </c>
      <c r="C46" s="102" t="s">
        <v>91</v>
      </c>
      <c r="D46" s="103">
        <v>77637</v>
      </c>
      <c r="E46" s="103">
        <v>41306</v>
      </c>
      <c r="F46" s="103">
        <v>190</v>
      </c>
      <c r="G46" s="103">
        <v>4690</v>
      </c>
      <c r="H46" s="103">
        <v>8245</v>
      </c>
      <c r="I46" s="103">
        <v>1131</v>
      </c>
      <c r="J46" s="103">
        <v>1842</v>
      </c>
      <c r="K46" s="103">
        <v>1288</v>
      </c>
      <c r="L46" s="103">
        <v>432</v>
      </c>
      <c r="M46" s="103">
        <v>1725</v>
      </c>
      <c r="N46" s="103">
        <v>59</v>
      </c>
      <c r="O46" s="103">
        <v>403</v>
      </c>
      <c r="P46" s="103">
        <v>15553</v>
      </c>
      <c r="Q46" s="103">
        <v>0</v>
      </c>
      <c r="R46" s="103">
        <v>38</v>
      </c>
      <c r="S46" s="103">
        <v>644</v>
      </c>
      <c r="T46" s="103">
        <v>88</v>
      </c>
      <c r="U46" s="103">
        <v>3</v>
      </c>
      <c r="V46" s="103">
        <v>0</v>
      </c>
      <c r="X46" s="124">
        <v>0.71130000000000004</v>
      </c>
    </row>
    <row r="47" spans="1:24" ht="13" x14ac:dyDescent="0.25">
      <c r="A47" s="102">
        <v>2000</v>
      </c>
      <c r="B47" s="102" t="s">
        <v>295</v>
      </c>
      <c r="C47" s="102" t="s">
        <v>91</v>
      </c>
      <c r="D47" s="103">
        <v>78664</v>
      </c>
      <c r="E47" s="103">
        <v>42580</v>
      </c>
      <c r="F47" s="103">
        <v>200</v>
      </c>
      <c r="G47" s="103">
        <v>4977</v>
      </c>
      <c r="H47" s="103">
        <v>5363</v>
      </c>
      <c r="I47" s="103">
        <v>996</v>
      </c>
      <c r="J47" s="103">
        <v>1999</v>
      </c>
      <c r="K47" s="103">
        <v>1426</v>
      </c>
      <c r="L47" s="103">
        <v>406</v>
      </c>
      <c r="M47" s="103">
        <v>1636</v>
      </c>
      <c r="N47" s="103">
        <v>46</v>
      </c>
      <c r="O47" s="103">
        <v>418</v>
      </c>
      <c r="P47" s="103">
        <v>17869</v>
      </c>
      <c r="Q47" s="103">
        <v>0</v>
      </c>
      <c r="R47" s="103">
        <v>25</v>
      </c>
      <c r="S47" s="103">
        <v>645</v>
      </c>
      <c r="T47" s="103">
        <v>73</v>
      </c>
      <c r="U47" s="103">
        <v>6</v>
      </c>
      <c r="V47" s="103">
        <v>0</v>
      </c>
      <c r="X47" s="124">
        <v>0.72609999999999997</v>
      </c>
    </row>
    <row r="48" spans="1:24" ht="13" x14ac:dyDescent="0.25">
      <c r="A48" s="102">
        <v>2001</v>
      </c>
      <c r="B48" s="102" t="s">
        <v>295</v>
      </c>
      <c r="C48" s="102" t="s">
        <v>91</v>
      </c>
      <c r="D48" s="103">
        <v>86756</v>
      </c>
      <c r="E48" s="103">
        <v>45713</v>
      </c>
      <c r="F48" s="103">
        <v>252</v>
      </c>
      <c r="G48" s="103">
        <v>5468</v>
      </c>
      <c r="H48" s="103">
        <v>6126</v>
      </c>
      <c r="I48" s="103">
        <v>1314</v>
      </c>
      <c r="J48" s="103">
        <v>2096</v>
      </c>
      <c r="K48" s="103">
        <v>1657</v>
      </c>
      <c r="L48" s="103">
        <v>429</v>
      </c>
      <c r="M48" s="103">
        <v>1640</v>
      </c>
      <c r="N48" s="103">
        <v>54</v>
      </c>
      <c r="O48" s="103">
        <v>411</v>
      </c>
      <c r="P48" s="103">
        <v>20758</v>
      </c>
      <c r="Q48" s="103">
        <v>0</v>
      </c>
      <c r="R48" s="103">
        <v>30</v>
      </c>
      <c r="S48" s="103">
        <v>719</v>
      </c>
      <c r="T48" s="103">
        <v>88</v>
      </c>
      <c r="U48" s="103">
        <v>3</v>
      </c>
      <c r="V48" s="103">
        <v>0</v>
      </c>
      <c r="X48" s="124">
        <v>0.74370000000000003</v>
      </c>
    </row>
    <row r="49" spans="1:24" ht="13" x14ac:dyDescent="0.25">
      <c r="A49" s="102">
        <v>2002</v>
      </c>
      <c r="B49" s="102" t="s">
        <v>295</v>
      </c>
      <c r="C49" s="102" t="s">
        <v>91</v>
      </c>
      <c r="D49" s="103">
        <v>97624</v>
      </c>
      <c r="E49" s="103">
        <v>53016</v>
      </c>
      <c r="F49" s="103">
        <v>279</v>
      </c>
      <c r="G49" s="103">
        <v>5753</v>
      </c>
      <c r="H49" s="103">
        <v>6270</v>
      </c>
      <c r="I49" s="103">
        <v>1327</v>
      </c>
      <c r="J49" s="103">
        <v>2160</v>
      </c>
      <c r="K49" s="103">
        <v>1606</v>
      </c>
      <c r="L49" s="103">
        <v>467</v>
      </c>
      <c r="M49" s="103">
        <v>1838</v>
      </c>
      <c r="N49" s="103">
        <v>50</v>
      </c>
      <c r="O49" s="103">
        <v>411</v>
      </c>
      <c r="P49" s="103">
        <v>23560</v>
      </c>
      <c r="Q49" s="103">
        <v>0</v>
      </c>
      <c r="R49" s="103">
        <v>37</v>
      </c>
      <c r="S49" s="103">
        <v>756</v>
      </c>
      <c r="T49" s="103">
        <v>91</v>
      </c>
      <c r="U49" s="103">
        <v>3</v>
      </c>
      <c r="V49" s="103">
        <v>0</v>
      </c>
      <c r="X49" s="124">
        <v>0.75539999999999996</v>
      </c>
    </row>
    <row r="50" spans="1:24" ht="13" x14ac:dyDescent="0.25">
      <c r="A50" s="102">
        <v>2003</v>
      </c>
      <c r="B50" s="102" t="s">
        <v>295</v>
      </c>
      <c r="C50" s="102" t="s">
        <v>91</v>
      </c>
      <c r="D50" s="103">
        <v>112544</v>
      </c>
      <c r="E50" s="103">
        <v>63048</v>
      </c>
      <c r="F50" s="103">
        <v>269</v>
      </c>
      <c r="G50" s="103">
        <v>6129</v>
      </c>
      <c r="H50" s="103">
        <v>7355</v>
      </c>
      <c r="I50" s="103">
        <v>1403</v>
      </c>
      <c r="J50" s="103">
        <v>2151</v>
      </c>
      <c r="K50" s="103">
        <v>1708</v>
      </c>
      <c r="L50" s="103">
        <v>463</v>
      </c>
      <c r="M50" s="103">
        <v>1869</v>
      </c>
      <c r="N50" s="103">
        <v>48</v>
      </c>
      <c r="O50" s="103">
        <v>430</v>
      </c>
      <c r="P50" s="103">
        <v>26517</v>
      </c>
      <c r="Q50" s="103">
        <v>0</v>
      </c>
      <c r="R50" s="103">
        <v>38</v>
      </c>
      <c r="S50" s="103">
        <v>817</v>
      </c>
      <c r="T50" s="103">
        <v>299</v>
      </c>
      <c r="U50" s="103">
        <v>0</v>
      </c>
      <c r="V50" s="103">
        <v>0</v>
      </c>
      <c r="X50" s="124">
        <v>0.76990000000000003</v>
      </c>
    </row>
    <row r="51" spans="1:24" ht="13" x14ac:dyDescent="0.25">
      <c r="A51" s="102">
        <v>2004</v>
      </c>
      <c r="B51" s="102" t="s">
        <v>295</v>
      </c>
      <c r="C51" s="102" t="s">
        <v>91</v>
      </c>
      <c r="D51" s="103">
        <v>121867</v>
      </c>
      <c r="E51" s="103">
        <v>69593</v>
      </c>
      <c r="F51" s="103">
        <v>264</v>
      </c>
      <c r="G51" s="103">
        <v>6466</v>
      </c>
      <c r="H51" s="103">
        <v>7612</v>
      </c>
      <c r="I51" s="103">
        <v>1343</v>
      </c>
      <c r="J51" s="103">
        <v>2168</v>
      </c>
      <c r="K51" s="103">
        <v>1750</v>
      </c>
      <c r="L51" s="103">
        <v>454</v>
      </c>
      <c r="M51" s="103">
        <v>1863</v>
      </c>
      <c r="N51" s="103">
        <v>47</v>
      </c>
      <c r="O51" s="103">
        <v>459</v>
      </c>
      <c r="P51" s="103">
        <v>28251</v>
      </c>
      <c r="Q51" s="103">
        <v>0</v>
      </c>
      <c r="R51" s="103">
        <v>47</v>
      </c>
      <c r="S51" s="103">
        <v>866</v>
      </c>
      <c r="T51" s="103">
        <v>684</v>
      </c>
      <c r="U51" s="103">
        <v>0</v>
      </c>
      <c r="V51" s="103">
        <v>0</v>
      </c>
      <c r="X51" s="124">
        <v>0.78869999999999996</v>
      </c>
    </row>
    <row r="52" spans="1:24" ht="13" x14ac:dyDescent="0.25">
      <c r="A52" s="102">
        <v>2005</v>
      </c>
      <c r="B52" s="102" t="s">
        <v>295</v>
      </c>
      <c r="C52" s="102" t="s">
        <v>91</v>
      </c>
      <c r="D52" s="103">
        <v>126601</v>
      </c>
      <c r="E52" s="103">
        <v>74047</v>
      </c>
      <c r="F52" s="103">
        <v>255</v>
      </c>
      <c r="G52" s="103">
        <v>6570</v>
      </c>
      <c r="H52" s="103">
        <v>7300</v>
      </c>
      <c r="I52" s="103">
        <v>1296</v>
      </c>
      <c r="J52" s="103">
        <v>2168</v>
      </c>
      <c r="K52" s="103">
        <v>1820</v>
      </c>
      <c r="L52" s="103">
        <v>423</v>
      </c>
      <c r="M52" s="103">
        <v>1847</v>
      </c>
      <c r="N52" s="103">
        <v>45</v>
      </c>
      <c r="O52" s="103">
        <v>470</v>
      </c>
      <c r="P52" s="103">
        <v>28824</v>
      </c>
      <c r="Q52" s="103">
        <v>0</v>
      </c>
      <c r="R52" s="103">
        <v>35</v>
      </c>
      <c r="S52" s="103">
        <v>742</v>
      </c>
      <c r="T52" s="103">
        <v>758</v>
      </c>
      <c r="U52" s="103">
        <v>0</v>
      </c>
      <c r="V52" s="103">
        <v>0</v>
      </c>
      <c r="X52" s="124">
        <v>0.81269999999999998</v>
      </c>
    </row>
    <row r="53" spans="1:24" ht="13" x14ac:dyDescent="0.25">
      <c r="A53" s="102">
        <v>2006</v>
      </c>
      <c r="B53" s="102" t="s">
        <v>295</v>
      </c>
      <c r="C53" s="102" t="s">
        <v>91</v>
      </c>
      <c r="D53" s="103">
        <v>131624</v>
      </c>
      <c r="E53" s="103">
        <v>78037</v>
      </c>
      <c r="F53" s="103">
        <v>255</v>
      </c>
      <c r="G53" s="103">
        <v>6691</v>
      </c>
      <c r="H53" s="103">
        <v>8204</v>
      </c>
      <c r="I53" s="103">
        <v>1195</v>
      </c>
      <c r="J53" s="103">
        <v>2120</v>
      </c>
      <c r="K53" s="103">
        <v>1869</v>
      </c>
      <c r="L53" s="103">
        <v>390</v>
      </c>
      <c r="M53" s="103">
        <v>1711</v>
      </c>
      <c r="N53" s="103">
        <v>55</v>
      </c>
      <c r="O53" s="103">
        <v>495</v>
      </c>
      <c r="P53" s="103">
        <v>28797</v>
      </c>
      <c r="Q53" s="103">
        <v>0</v>
      </c>
      <c r="R53" s="103">
        <v>27</v>
      </c>
      <c r="S53" s="103">
        <v>769</v>
      </c>
      <c r="T53" s="103">
        <v>1008</v>
      </c>
      <c r="U53" s="103">
        <v>0</v>
      </c>
      <c r="V53" s="103">
        <v>0</v>
      </c>
      <c r="X53" s="124">
        <v>0.83909999999999996</v>
      </c>
    </row>
    <row r="54" spans="1:24" ht="13" x14ac:dyDescent="0.25">
      <c r="A54" s="102">
        <v>2007</v>
      </c>
      <c r="B54" s="102" t="s">
        <v>295</v>
      </c>
      <c r="C54" s="102" t="s">
        <v>91</v>
      </c>
      <c r="D54" s="103">
        <v>138087</v>
      </c>
      <c r="E54" s="103">
        <v>82272</v>
      </c>
      <c r="F54" s="103">
        <v>246</v>
      </c>
      <c r="G54" s="103">
        <v>7809</v>
      </c>
      <c r="H54" s="103">
        <v>9024</v>
      </c>
      <c r="I54" s="103">
        <v>1893</v>
      </c>
      <c r="J54" s="103">
        <v>1936</v>
      </c>
      <c r="K54" s="103">
        <v>1857</v>
      </c>
      <c r="L54" s="103">
        <v>428</v>
      </c>
      <c r="M54" s="103">
        <v>1361</v>
      </c>
      <c r="N54" s="103">
        <v>49</v>
      </c>
      <c r="O54" s="103">
        <v>536</v>
      </c>
      <c r="P54" s="103">
        <v>29461</v>
      </c>
      <c r="Q54" s="103">
        <v>0</v>
      </c>
      <c r="R54" s="103">
        <v>27</v>
      </c>
      <c r="S54" s="103">
        <v>819</v>
      </c>
      <c r="T54" s="103">
        <v>369</v>
      </c>
      <c r="U54" s="103">
        <v>0</v>
      </c>
      <c r="V54" s="103">
        <v>0</v>
      </c>
      <c r="X54" s="124">
        <v>0.86219999999999997</v>
      </c>
    </row>
    <row r="55" spans="1:24" ht="13" x14ac:dyDescent="0.25">
      <c r="A55" s="102">
        <v>2008</v>
      </c>
      <c r="B55" s="102" t="s">
        <v>295</v>
      </c>
      <c r="C55" s="102" t="s">
        <v>91</v>
      </c>
      <c r="D55" s="103">
        <v>140113</v>
      </c>
      <c r="E55" s="103">
        <v>84713</v>
      </c>
      <c r="F55" s="103">
        <v>255</v>
      </c>
      <c r="G55" s="103">
        <v>8234</v>
      </c>
      <c r="H55" s="103">
        <v>8323</v>
      </c>
      <c r="I55" s="103">
        <v>1896</v>
      </c>
      <c r="J55" s="103">
        <v>2106</v>
      </c>
      <c r="K55" s="103">
        <v>1864</v>
      </c>
      <c r="L55" s="103">
        <v>450</v>
      </c>
      <c r="M55" s="103">
        <v>1394</v>
      </c>
      <c r="N55" s="103">
        <v>50</v>
      </c>
      <c r="O55" s="103">
        <v>497</v>
      </c>
      <c r="P55" s="103">
        <v>29063</v>
      </c>
      <c r="Q55" s="103">
        <v>0</v>
      </c>
      <c r="R55" s="103">
        <v>27</v>
      </c>
      <c r="S55" s="103">
        <v>886</v>
      </c>
      <c r="T55" s="103">
        <v>355</v>
      </c>
      <c r="U55" s="103">
        <v>0</v>
      </c>
      <c r="V55" s="103">
        <v>0</v>
      </c>
      <c r="X55" s="124">
        <v>0.88009999999999999</v>
      </c>
    </row>
    <row r="56" spans="1:24" ht="13" x14ac:dyDescent="0.25">
      <c r="A56" s="102">
        <v>2009</v>
      </c>
      <c r="B56" s="102" t="s">
        <v>295</v>
      </c>
      <c r="C56" s="102" t="s">
        <v>91</v>
      </c>
      <c r="D56" s="103">
        <v>156009</v>
      </c>
      <c r="E56" s="103">
        <v>85166</v>
      </c>
      <c r="F56" s="103">
        <v>255</v>
      </c>
      <c r="G56" s="103">
        <v>11840</v>
      </c>
      <c r="H56" s="103">
        <v>6891</v>
      </c>
      <c r="I56" s="103">
        <v>3318</v>
      </c>
      <c r="J56" s="103">
        <v>2245</v>
      </c>
      <c r="K56" s="103">
        <v>1935</v>
      </c>
      <c r="L56" s="103">
        <v>618</v>
      </c>
      <c r="M56" s="103">
        <v>1440</v>
      </c>
      <c r="N56" s="103">
        <v>62</v>
      </c>
      <c r="O56" s="103">
        <v>479</v>
      </c>
      <c r="P56" s="103">
        <v>40389</v>
      </c>
      <c r="Q56" s="103">
        <v>30</v>
      </c>
      <c r="R56" s="103">
        <v>63</v>
      </c>
      <c r="S56" s="103">
        <v>943</v>
      </c>
      <c r="T56" s="103">
        <v>335</v>
      </c>
      <c r="U56" s="103">
        <v>0</v>
      </c>
      <c r="V56" s="103">
        <v>0</v>
      </c>
      <c r="X56" s="124">
        <v>0.8891</v>
      </c>
    </row>
    <row r="57" spans="1:24" ht="13" x14ac:dyDescent="0.25">
      <c r="A57" s="102">
        <v>2010</v>
      </c>
      <c r="B57" s="102" t="s">
        <v>295</v>
      </c>
      <c r="C57" s="102" t="s">
        <v>91</v>
      </c>
      <c r="D57" s="103">
        <v>146596</v>
      </c>
      <c r="E57" s="103">
        <v>86517</v>
      </c>
      <c r="F57" s="103">
        <v>194</v>
      </c>
      <c r="G57" s="103">
        <v>9280</v>
      </c>
      <c r="H57" s="103">
        <v>8232</v>
      </c>
      <c r="I57" s="103">
        <v>2455</v>
      </c>
      <c r="J57" s="103">
        <v>2237</v>
      </c>
      <c r="K57" s="103">
        <v>2043</v>
      </c>
      <c r="L57" s="103">
        <v>550</v>
      </c>
      <c r="M57" s="103">
        <v>1496</v>
      </c>
      <c r="N57" s="103">
        <v>109</v>
      </c>
      <c r="O57" s="103">
        <v>535</v>
      </c>
      <c r="P57" s="103">
        <v>31488</v>
      </c>
      <c r="Q57" s="103">
        <v>36</v>
      </c>
      <c r="R57" s="103">
        <v>77</v>
      </c>
      <c r="S57" s="103">
        <v>1034</v>
      </c>
      <c r="T57" s="103">
        <v>313</v>
      </c>
      <c r="U57" s="103">
        <v>0</v>
      </c>
      <c r="V57" s="103">
        <v>0</v>
      </c>
      <c r="X57" s="124">
        <v>0.89680000000000004</v>
      </c>
    </row>
    <row r="58" spans="1:24" ht="13" x14ac:dyDescent="0.25">
      <c r="A58" s="102">
        <v>2011</v>
      </c>
      <c r="B58" s="102" t="s">
        <v>295</v>
      </c>
      <c r="C58" s="102" t="s">
        <v>91</v>
      </c>
      <c r="D58" s="103">
        <v>142457</v>
      </c>
      <c r="E58" s="103">
        <v>82972</v>
      </c>
      <c r="F58" s="103">
        <v>196</v>
      </c>
      <c r="G58" s="103">
        <v>9483</v>
      </c>
      <c r="H58" s="103">
        <v>8398</v>
      </c>
      <c r="I58" s="103">
        <v>2233</v>
      </c>
      <c r="J58" s="103">
        <v>2171</v>
      </c>
      <c r="K58" s="103">
        <v>1916</v>
      </c>
      <c r="L58" s="103">
        <v>548</v>
      </c>
      <c r="M58" s="103">
        <v>1420</v>
      </c>
      <c r="N58" s="103">
        <v>83</v>
      </c>
      <c r="O58" s="103">
        <v>578</v>
      </c>
      <c r="P58" s="103">
        <v>30903</v>
      </c>
      <c r="Q58" s="103">
        <v>180</v>
      </c>
      <c r="R58" s="103">
        <v>68</v>
      </c>
      <c r="S58" s="103">
        <v>1160</v>
      </c>
      <c r="T58" s="104">
        <v>172</v>
      </c>
      <c r="U58" s="103">
        <v>0</v>
      </c>
      <c r="V58" s="103">
        <v>0</v>
      </c>
      <c r="X58" s="124">
        <v>0.91479999999999995</v>
      </c>
    </row>
    <row r="59" spans="1:24" ht="13" x14ac:dyDescent="0.25">
      <c r="A59" s="102">
        <v>2012</v>
      </c>
      <c r="B59" s="102" t="s">
        <v>295</v>
      </c>
      <c r="C59" s="102" t="s">
        <v>91</v>
      </c>
      <c r="D59" s="103">
        <v>141450</v>
      </c>
      <c r="E59" s="103">
        <v>79559</v>
      </c>
      <c r="F59" s="103">
        <v>269</v>
      </c>
      <c r="G59" s="103">
        <v>9304</v>
      </c>
      <c r="H59" s="103">
        <v>10661</v>
      </c>
      <c r="I59" s="103">
        <v>2197</v>
      </c>
      <c r="J59" s="103">
        <v>2147</v>
      </c>
      <c r="K59" s="103">
        <v>1920</v>
      </c>
      <c r="L59" s="103">
        <v>607</v>
      </c>
      <c r="M59" s="103">
        <v>1486</v>
      </c>
      <c r="N59" s="103">
        <v>58</v>
      </c>
      <c r="O59" s="103">
        <v>597</v>
      </c>
      <c r="P59" s="103">
        <v>31243</v>
      </c>
      <c r="Q59" s="103">
        <v>80</v>
      </c>
      <c r="R59" s="103">
        <v>18</v>
      </c>
      <c r="S59" s="103">
        <v>1160</v>
      </c>
      <c r="T59" s="103">
        <v>143</v>
      </c>
      <c r="U59" s="103">
        <v>1</v>
      </c>
      <c r="V59" s="103">
        <v>0</v>
      </c>
      <c r="X59" s="124">
        <v>0.93140000000000001</v>
      </c>
    </row>
    <row r="60" spans="1:24" ht="13" x14ac:dyDescent="0.25">
      <c r="A60" s="102">
        <v>2013</v>
      </c>
      <c r="B60" s="102" t="s">
        <v>295</v>
      </c>
      <c r="C60" s="102" t="s">
        <v>91</v>
      </c>
      <c r="D60" s="103">
        <v>130861</v>
      </c>
      <c r="E60" s="103">
        <v>70620</v>
      </c>
      <c r="F60" s="103">
        <v>350</v>
      </c>
      <c r="G60" s="103">
        <v>8802</v>
      </c>
      <c r="H60" s="103">
        <v>10476</v>
      </c>
      <c r="I60" s="103">
        <v>2269</v>
      </c>
      <c r="J60" s="103">
        <v>2020</v>
      </c>
      <c r="K60" s="103">
        <v>1753</v>
      </c>
      <c r="L60" s="103">
        <v>719</v>
      </c>
      <c r="M60" s="103">
        <v>1337</v>
      </c>
      <c r="N60" s="104">
        <v>54</v>
      </c>
      <c r="O60" s="103">
        <v>536</v>
      </c>
      <c r="P60" s="103">
        <v>30044</v>
      </c>
      <c r="Q60" s="103">
        <v>72</v>
      </c>
      <c r="R60" s="103">
        <v>26</v>
      </c>
      <c r="S60" s="103">
        <v>1164</v>
      </c>
      <c r="T60" s="103">
        <v>618</v>
      </c>
      <c r="U60" s="103">
        <v>0</v>
      </c>
      <c r="V60" s="103">
        <v>0</v>
      </c>
      <c r="X60" s="124">
        <v>0.94830000000000003</v>
      </c>
    </row>
    <row r="61" spans="1:24" ht="13" x14ac:dyDescent="0.25">
      <c r="A61" s="102">
        <v>2014</v>
      </c>
      <c r="B61" s="102" t="s">
        <v>295</v>
      </c>
      <c r="C61" s="102" t="s">
        <v>91</v>
      </c>
      <c r="D61" s="103">
        <v>133547</v>
      </c>
      <c r="E61" s="103">
        <v>70611</v>
      </c>
      <c r="F61" s="103">
        <v>410</v>
      </c>
      <c r="G61" s="103">
        <v>9482</v>
      </c>
      <c r="H61" s="103">
        <v>11055</v>
      </c>
      <c r="I61" s="103">
        <v>2387</v>
      </c>
      <c r="J61" s="103">
        <v>2172</v>
      </c>
      <c r="K61" s="103">
        <v>1967</v>
      </c>
      <c r="L61" s="103">
        <v>877</v>
      </c>
      <c r="M61" s="103">
        <v>1261</v>
      </c>
      <c r="N61" s="104">
        <v>66</v>
      </c>
      <c r="O61" s="103">
        <v>515</v>
      </c>
      <c r="P61" s="103">
        <v>30927</v>
      </c>
      <c r="Q61" s="103">
        <v>25</v>
      </c>
      <c r="R61" s="103">
        <v>58</v>
      </c>
      <c r="S61" s="103">
        <v>1101</v>
      </c>
      <c r="T61" s="103">
        <v>634</v>
      </c>
      <c r="U61" s="103">
        <v>0</v>
      </c>
      <c r="V61" s="103">
        <v>0</v>
      </c>
      <c r="X61" s="124">
        <v>0.96560000000000001</v>
      </c>
    </row>
    <row r="62" spans="1:24" ht="13" x14ac:dyDescent="0.25">
      <c r="A62" s="102">
        <v>2015</v>
      </c>
      <c r="B62" s="102" t="s">
        <v>295</v>
      </c>
      <c r="C62" s="102" t="s">
        <v>91</v>
      </c>
      <c r="D62" s="103">
        <v>136090</v>
      </c>
      <c r="E62" s="103">
        <v>72560</v>
      </c>
      <c r="F62" s="103">
        <v>290</v>
      </c>
      <c r="G62" s="103">
        <v>10068</v>
      </c>
      <c r="H62" s="103">
        <v>10875</v>
      </c>
      <c r="I62" s="103">
        <v>3153</v>
      </c>
      <c r="J62" s="103">
        <v>2161</v>
      </c>
      <c r="K62" s="103">
        <v>1989</v>
      </c>
      <c r="L62" s="103">
        <v>809</v>
      </c>
      <c r="M62" s="103">
        <v>1363</v>
      </c>
      <c r="N62" s="104">
        <v>55</v>
      </c>
      <c r="O62" s="103">
        <v>491</v>
      </c>
      <c r="P62" s="103">
        <v>30331</v>
      </c>
      <c r="Q62" s="103">
        <v>71</v>
      </c>
      <c r="R62" s="103">
        <v>55</v>
      </c>
      <c r="S62" s="103">
        <v>1178</v>
      </c>
      <c r="T62" s="103">
        <v>639</v>
      </c>
      <c r="U62" s="103">
        <v>0</v>
      </c>
      <c r="V62" s="103">
        <v>0</v>
      </c>
      <c r="X62" s="124">
        <v>0.97560000000000002</v>
      </c>
    </row>
    <row r="63" spans="1:24" ht="13" x14ac:dyDescent="0.25">
      <c r="A63" s="102">
        <v>2016</v>
      </c>
      <c r="B63" s="102" t="s">
        <v>295</v>
      </c>
      <c r="C63" s="102" t="s">
        <v>91</v>
      </c>
      <c r="D63" s="103">
        <v>147813</v>
      </c>
      <c r="E63" s="103">
        <v>79828</v>
      </c>
      <c r="F63" s="103">
        <v>288</v>
      </c>
      <c r="G63" s="103">
        <v>10042</v>
      </c>
      <c r="H63" s="103">
        <v>12789</v>
      </c>
      <c r="I63" s="103">
        <v>3473</v>
      </c>
      <c r="J63" s="103">
        <v>2294</v>
      </c>
      <c r="K63" s="103">
        <v>2030</v>
      </c>
      <c r="L63" s="103">
        <v>887</v>
      </c>
      <c r="M63" s="103">
        <v>1326</v>
      </c>
      <c r="N63" s="104">
        <v>65</v>
      </c>
      <c r="O63" s="103">
        <v>474</v>
      </c>
      <c r="P63" s="103">
        <v>32365</v>
      </c>
      <c r="Q63" s="103">
        <v>21</v>
      </c>
      <c r="R63" s="103">
        <v>105</v>
      </c>
      <c r="S63" s="103">
        <v>1222</v>
      </c>
      <c r="T63" s="103">
        <v>605</v>
      </c>
      <c r="U63" s="103">
        <v>0</v>
      </c>
      <c r="V63" s="103">
        <v>0</v>
      </c>
      <c r="X63" s="124">
        <v>0.98340000000000005</v>
      </c>
    </row>
    <row r="64" spans="1:24" ht="13" x14ac:dyDescent="0.25">
      <c r="A64" s="102">
        <v>2017</v>
      </c>
      <c r="B64" s="102" t="s">
        <v>295</v>
      </c>
      <c r="C64" s="102" t="s">
        <v>91</v>
      </c>
      <c r="D64" s="103">
        <v>124710</v>
      </c>
      <c r="E64" s="103">
        <v>57055</v>
      </c>
      <c r="F64" s="103">
        <v>289</v>
      </c>
      <c r="G64" s="103">
        <v>9947</v>
      </c>
      <c r="H64" s="103">
        <v>10134</v>
      </c>
      <c r="I64" s="103">
        <v>3519</v>
      </c>
      <c r="J64" s="103">
        <v>2378</v>
      </c>
      <c r="K64" s="103">
        <v>2090</v>
      </c>
      <c r="L64" s="103">
        <v>901</v>
      </c>
      <c r="M64" s="103">
        <v>1444</v>
      </c>
      <c r="N64" s="104">
        <v>71</v>
      </c>
      <c r="O64" s="103">
        <v>478</v>
      </c>
      <c r="P64" s="103">
        <v>34255</v>
      </c>
      <c r="Q64" s="103">
        <v>21</v>
      </c>
      <c r="R64" s="103">
        <v>74</v>
      </c>
      <c r="S64" s="103">
        <v>1346</v>
      </c>
      <c r="T64" s="103">
        <v>707</v>
      </c>
      <c r="U64" s="103">
        <v>0</v>
      </c>
      <c r="V64" s="103">
        <v>0</v>
      </c>
      <c r="X64" s="124">
        <v>1</v>
      </c>
    </row>
    <row r="65" spans="1:24" ht="13" x14ac:dyDescent="0.25">
      <c r="A65" s="102">
        <v>2018</v>
      </c>
      <c r="B65" s="102" t="s">
        <v>295</v>
      </c>
      <c r="C65" s="102" t="s">
        <v>91</v>
      </c>
      <c r="D65" s="103">
        <v>140701</v>
      </c>
      <c r="E65" s="103">
        <v>68325</v>
      </c>
      <c r="F65" s="103">
        <v>238</v>
      </c>
      <c r="G65" s="103">
        <v>10692</v>
      </c>
      <c r="H65" s="103">
        <v>10455</v>
      </c>
      <c r="I65" s="103">
        <v>4212</v>
      </c>
      <c r="J65" s="103">
        <v>2383</v>
      </c>
      <c r="K65" s="103">
        <v>2074</v>
      </c>
      <c r="L65" s="103">
        <v>840</v>
      </c>
      <c r="M65" s="103">
        <v>1551</v>
      </c>
      <c r="N65" s="103">
        <v>144</v>
      </c>
      <c r="O65" s="103">
        <v>534</v>
      </c>
      <c r="P65" s="103">
        <v>37151</v>
      </c>
      <c r="Q65" s="103">
        <v>20</v>
      </c>
      <c r="R65" s="103">
        <v>106</v>
      </c>
      <c r="S65" s="103">
        <v>1286</v>
      </c>
      <c r="T65" s="103">
        <v>690</v>
      </c>
      <c r="U65" s="103">
        <v>0</v>
      </c>
      <c r="V65" s="103">
        <v>0</v>
      </c>
      <c r="X65" s="124">
        <v>1.0222</v>
      </c>
    </row>
    <row r="66" spans="1:24" ht="13" x14ac:dyDescent="0.25">
      <c r="A66" s="102">
        <v>2019</v>
      </c>
      <c r="B66" s="102" t="s">
        <v>295</v>
      </c>
      <c r="C66" s="102" t="s">
        <v>91</v>
      </c>
      <c r="D66" s="103">
        <v>145615</v>
      </c>
      <c r="E66" s="103">
        <v>71396</v>
      </c>
      <c r="F66" s="103">
        <v>235</v>
      </c>
      <c r="G66" s="103">
        <v>10961</v>
      </c>
      <c r="H66" s="103">
        <v>10016</v>
      </c>
      <c r="I66" s="103">
        <v>4433</v>
      </c>
      <c r="J66" s="103">
        <v>2486</v>
      </c>
      <c r="K66" s="103">
        <v>2205</v>
      </c>
      <c r="L66" s="103">
        <v>783</v>
      </c>
      <c r="M66" s="103">
        <v>1582</v>
      </c>
      <c r="N66" s="103">
        <v>165</v>
      </c>
      <c r="O66" s="103">
        <v>517</v>
      </c>
      <c r="P66" s="103">
        <v>38755</v>
      </c>
      <c r="Q66" s="103">
        <v>20</v>
      </c>
      <c r="R66" s="103">
        <v>102</v>
      </c>
      <c r="S66" s="103">
        <v>1370</v>
      </c>
      <c r="T66" s="103">
        <v>590</v>
      </c>
      <c r="U66" s="103">
        <v>0</v>
      </c>
      <c r="V66" s="103">
        <v>0</v>
      </c>
      <c r="X66" s="124">
        <v>1.0410999999999999</v>
      </c>
    </row>
    <row r="67" spans="1:24" ht="13" x14ac:dyDescent="0.25">
      <c r="A67" s="102">
        <v>2020</v>
      </c>
      <c r="B67" s="102" t="s">
        <v>295</v>
      </c>
      <c r="C67" s="102" t="s">
        <v>91</v>
      </c>
      <c r="D67" s="103">
        <v>163875</v>
      </c>
      <c r="E67" s="103">
        <v>79389</v>
      </c>
      <c r="F67" s="103">
        <v>226</v>
      </c>
      <c r="G67" s="103">
        <v>11620</v>
      </c>
      <c r="H67" s="103">
        <v>14158</v>
      </c>
      <c r="I67" s="103">
        <v>4391</v>
      </c>
      <c r="J67" s="103">
        <v>2653</v>
      </c>
      <c r="K67" s="103">
        <v>2332</v>
      </c>
      <c r="L67" s="103">
        <v>858</v>
      </c>
      <c r="M67" s="103">
        <v>1674</v>
      </c>
      <c r="N67" s="103">
        <v>97</v>
      </c>
      <c r="O67" s="103">
        <v>527</v>
      </c>
      <c r="P67" s="103">
        <v>43936</v>
      </c>
      <c r="Q67" s="103">
        <v>20</v>
      </c>
      <c r="R67" s="103">
        <v>106</v>
      </c>
      <c r="S67" s="103">
        <v>1366</v>
      </c>
      <c r="T67" s="103">
        <v>522</v>
      </c>
      <c r="U67" s="103">
        <v>0</v>
      </c>
      <c r="V67" s="103">
        <v>0</v>
      </c>
      <c r="X67" s="124">
        <v>1.0547</v>
      </c>
    </row>
    <row r="68" spans="1:24" ht="13" x14ac:dyDescent="0.25">
      <c r="A68" s="102">
        <v>2021</v>
      </c>
      <c r="B68" s="102" t="s">
        <v>295</v>
      </c>
      <c r="C68" s="102" t="s">
        <v>91</v>
      </c>
      <c r="D68" s="103">
        <v>158550</v>
      </c>
      <c r="E68" s="103">
        <v>77219</v>
      </c>
      <c r="F68" s="103">
        <v>230</v>
      </c>
      <c r="G68" s="103">
        <v>12118</v>
      </c>
      <c r="H68" s="103">
        <v>11512</v>
      </c>
      <c r="I68" s="103">
        <v>4381</v>
      </c>
      <c r="J68" s="103">
        <v>3395</v>
      </c>
      <c r="K68" s="103">
        <v>2514</v>
      </c>
      <c r="L68" s="103">
        <v>946</v>
      </c>
      <c r="M68" s="103">
        <v>1685</v>
      </c>
      <c r="N68" s="104">
        <v>104</v>
      </c>
      <c r="O68" s="103">
        <v>554</v>
      </c>
      <c r="P68" s="103">
        <v>40877</v>
      </c>
      <c r="Q68" s="103">
        <v>20</v>
      </c>
      <c r="R68" s="103">
        <v>91</v>
      </c>
      <c r="S68" s="103">
        <v>1436</v>
      </c>
      <c r="T68" s="103">
        <v>475</v>
      </c>
      <c r="U68" s="103">
        <v>0</v>
      </c>
      <c r="V68" s="103">
        <v>0</v>
      </c>
      <c r="X68" s="124">
        <v>1.091</v>
      </c>
    </row>
    <row r="69" spans="1:24" ht="13" x14ac:dyDescent="0.25">
      <c r="A69" s="102">
        <v>2022</v>
      </c>
      <c r="B69" s="102" t="s">
        <v>295</v>
      </c>
      <c r="C69" s="102" t="s">
        <v>91</v>
      </c>
      <c r="D69" s="103">
        <v>180196</v>
      </c>
      <c r="E69" s="103">
        <v>83857</v>
      </c>
      <c r="F69" s="103">
        <v>173</v>
      </c>
      <c r="G69" s="103">
        <v>13246</v>
      </c>
      <c r="H69" s="103">
        <v>14453</v>
      </c>
      <c r="I69" s="103">
        <v>6340</v>
      </c>
      <c r="J69" s="103">
        <v>2848</v>
      </c>
      <c r="K69" s="103">
        <v>3000</v>
      </c>
      <c r="L69" s="103">
        <v>5976</v>
      </c>
      <c r="M69" s="103">
        <v>2274</v>
      </c>
      <c r="N69" s="103">
        <v>8</v>
      </c>
      <c r="O69" s="103">
        <v>679</v>
      </c>
      <c r="P69" s="103">
        <v>44943</v>
      </c>
      <c r="Q69" s="103">
        <v>20</v>
      </c>
      <c r="R69" s="103">
        <v>90</v>
      </c>
      <c r="S69" s="103">
        <v>1588</v>
      </c>
      <c r="T69" s="103">
        <v>701</v>
      </c>
      <c r="U69" s="103">
        <v>0</v>
      </c>
      <c r="V69" s="103">
        <v>0</v>
      </c>
      <c r="X69" s="124">
        <v>1.1673</v>
      </c>
    </row>
    <row r="70" spans="1:24" ht="13" x14ac:dyDescent="0.25">
      <c r="A70" s="102">
        <v>2023</v>
      </c>
      <c r="B70" s="102" t="s">
        <v>295</v>
      </c>
      <c r="C70" s="102" t="s">
        <v>91</v>
      </c>
      <c r="D70" s="103">
        <v>193078</v>
      </c>
      <c r="E70" s="103">
        <v>101060</v>
      </c>
      <c r="F70" s="103">
        <v>178</v>
      </c>
      <c r="G70" s="103">
        <v>13715</v>
      </c>
      <c r="H70" s="103">
        <v>10841</v>
      </c>
      <c r="I70" s="103">
        <v>6342</v>
      </c>
      <c r="J70" s="103">
        <v>3175</v>
      </c>
      <c r="K70" s="103">
        <v>2654</v>
      </c>
      <c r="L70" s="103">
        <v>3362</v>
      </c>
      <c r="M70" s="103">
        <v>1651</v>
      </c>
      <c r="N70" s="103">
        <v>5</v>
      </c>
      <c r="O70" s="103">
        <v>527</v>
      </c>
      <c r="P70" s="103">
        <v>47576</v>
      </c>
      <c r="Q70" s="103">
        <v>20</v>
      </c>
      <c r="R70" s="103">
        <v>106</v>
      </c>
      <c r="S70" s="103">
        <v>1366</v>
      </c>
      <c r="T70" s="103">
        <v>500</v>
      </c>
      <c r="U70" s="103">
        <v>0</v>
      </c>
      <c r="V70" s="103">
        <v>0</v>
      </c>
      <c r="X70" s="124">
        <v>1.2206999999999999</v>
      </c>
    </row>
    <row r="71" spans="1:24" ht="13" x14ac:dyDescent="0.25">
      <c r="A71" s="102">
        <v>2024</v>
      </c>
      <c r="B71" s="102" t="s">
        <v>295</v>
      </c>
      <c r="C71" s="102" t="s">
        <v>91</v>
      </c>
      <c r="D71" s="103">
        <v>199342.23140400002</v>
      </c>
      <c r="E71" s="103">
        <v>105686.065</v>
      </c>
      <c r="F71" s="103">
        <v>252</v>
      </c>
      <c r="G71" s="103">
        <v>15659</v>
      </c>
      <c r="H71" s="103">
        <v>10215</v>
      </c>
      <c r="I71" s="103">
        <v>6140</v>
      </c>
      <c r="J71" s="116">
        <v>3246.51</v>
      </c>
      <c r="K71" s="103">
        <v>2910</v>
      </c>
      <c r="L71" s="103">
        <v>2639</v>
      </c>
      <c r="M71" s="103">
        <v>2198</v>
      </c>
      <c r="N71" s="103">
        <v>5</v>
      </c>
      <c r="O71" s="103">
        <v>819</v>
      </c>
      <c r="P71" s="103">
        <v>47205.656404000001</v>
      </c>
      <c r="Q71" s="103">
        <v>0</v>
      </c>
      <c r="R71" s="103">
        <v>95</v>
      </c>
      <c r="S71" s="103">
        <v>1826</v>
      </c>
      <c r="T71" s="103">
        <v>446</v>
      </c>
      <c r="U71" s="103">
        <v>0</v>
      </c>
      <c r="V71" s="103" t="s">
        <v>524</v>
      </c>
      <c r="X71" s="124">
        <v>1.2533000000000001</v>
      </c>
    </row>
    <row r="72" spans="1:24" ht="13" x14ac:dyDescent="0.25">
      <c r="A72" s="102">
        <v>2025</v>
      </c>
      <c r="B72" s="102" t="s">
        <v>295</v>
      </c>
      <c r="C72" s="102" t="s">
        <v>91</v>
      </c>
      <c r="D72" s="103">
        <v>188595.61801108613</v>
      </c>
      <c r="E72" s="103">
        <v>96694.744000000006</v>
      </c>
      <c r="F72" s="103">
        <v>220</v>
      </c>
      <c r="G72" s="103">
        <v>14625.846591706035</v>
      </c>
      <c r="H72" s="103">
        <v>10646.77735820652</v>
      </c>
      <c r="I72" s="103">
        <v>6003.6629581735833</v>
      </c>
      <c r="J72" s="103">
        <v>3196.1469999999999</v>
      </c>
      <c r="K72" s="103">
        <v>2889</v>
      </c>
      <c r="L72" s="103">
        <v>2302</v>
      </c>
      <c r="M72" s="103">
        <v>2234</v>
      </c>
      <c r="N72" s="103">
        <v>5</v>
      </c>
      <c r="O72" s="103">
        <v>790</v>
      </c>
      <c r="P72" s="103">
        <v>46613.440103000008</v>
      </c>
      <c r="Q72" s="103">
        <v>0</v>
      </c>
      <c r="R72" s="103">
        <v>94</v>
      </c>
      <c r="S72" s="103">
        <v>1839</v>
      </c>
      <c r="T72" s="103">
        <v>442</v>
      </c>
      <c r="U72" s="103">
        <v>0</v>
      </c>
      <c r="V72" s="103" t="s">
        <v>524</v>
      </c>
      <c r="X72" s="124">
        <v>1.2807999999999999</v>
      </c>
    </row>
    <row r="73" spans="1:24" ht="13" x14ac:dyDescent="0.25">
      <c r="A73" s="102">
        <v>2026</v>
      </c>
      <c r="B73" s="102" t="s">
        <v>295</v>
      </c>
      <c r="C73" s="102" t="s">
        <v>91</v>
      </c>
      <c r="D73" s="103">
        <v>153666.23745414996</v>
      </c>
      <c r="E73" s="103">
        <v>93384.931869149965</v>
      </c>
      <c r="F73" s="103">
        <v>252</v>
      </c>
      <c r="G73" s="103">
        <v>10147</v>
      </c>
      <c r="H73" s="103">
        <v>6822</v>
      </c>
      <c r="I73" s="103">
        <v>1964</v>
      </c>
      <c r="J73" s="103">
        <v>1357.87</v>
      </c>
      <c r="K73" s="103">
        <v>2451</v>
      </c>
      <c r="L73" s="103">
        <v>2565</v>
      </c>
      <c r="M73" s="103">
        <v>1916</v>
      </c>
      <c r="N73" s="103">
        <v>5</v>
      </c>
      <c r="O73" s="103">
        <v>398</v>
      </c>
      <c r="P73" s="103">
        <v>30044.435584999999</v>
      </c>
      <c r="Q73" s="103">
        <v>0</v>
      </c>
      <c r="R73" s="103">
        <v>95</v>
      </c>
      <c r="S73" s="103">
        <v>1864</v>
      </c>
      <c r="T73" s="103">
        <v>400</v>
      </c>
      <c r="U73" s="103">
        <v>0</v>
      </c>
      <c r="V73" s="103" t="s">
        <v>524</v>
      </c>
      <c r="X73" s="124">
        <v>1.3073999999999999</v>
      </c>
    </row>
    <row r="77" spans="1:24" x14ac:dyDescent="0.25">
      <c r="A77" s="3">
        <f>A2</f>
        <v>1955</v>
      </c>
      <c r="B77" s="3" t="str">
        <f>B2</f>
        <v>Obligations</v>
      </c>
      <c r="C77" s="3" t="s">
        <v>90</v>
      </c>
      <c r="D77" s="3">
        <f>D2/$X2</f>
        <v>18489.05109489051</v>
      </c>
      <c r="E77" s="3">
        <f t="shared" ref="E77:V91" si="0">E2/$X2</f>
        <v>15700.729927007298</v>
      </c>
      <c r="F77" s="3">
        <f t="shared" si="0"/>
        <v>0</v>
      </c>
      <c r="G77" s="3">
        <f t="shared" si="0"/>
        <v>0</v>
      </c>
      <c r="H77" s="3">
        <f t="shared" si="0"/>
        <v>0</v>
      </c>
      <c r="I77" s="3">
        <f t="shared" si="0"/>
        <v>0</v>
      </c>
      <c r="J77" s="3">
        <f t="shared" si="0"/>
        <v>0</v>
      </c>
      <c r="K77" s="3">
        <f t="shared" si="0"/>
        <v>0</v>
      </c>
      <c r="L77" s="3">
        <f t="shared" si="0"/>
        <v>0</v>
      </c>
      <c r="M77" s="3">
        <f t="shared" si="0"/>
        <v>0</v>
      </c>
      <c r="N77" s="3">
        <f t="shared" si="0"/>
        <v>0</v>
      </c>
      <c r="O77" s="3">
        <f t="shared" si="0"/>
        <v>0</v>
      </c>
      <c r="P77" s="3">
        <f t="shared" si="0"/>
        <v>489.05109489051091</v>
      </c>
      <c r="Q77" s="3">
        <f t="shared" si="0"/>
        <v>0</v>
      </c>
      <c r="R77" s="3">
        <f t="shared" si="0"/>
        <v>0</v>
      </c>
      <c r="S77" s="3">
        <f t="shared" si="0"/>
        <v>0</v>
      </c>
      <c r="T77" s="3">
        <f t="shared" si="0"/>
        <v>0</v>
      </c>
      <c r="U77" s="3">
        <f t="shared" si="0"/>
        <v>0</v>
      </c>
      <c r="V77" s="3">
        <f t="shared" si="0"/>
        <v>2299.2700729927005</v>
      </c>
    </row>
    <row r="78" spans="1:24" x14ac:dyDescent="0.25">
      <c r="A78" s="3">
        <f t="shared" ref="A78:B78" si="1">A3</f>
        <v>1956</v>
      </c>
      <c r="B78" s="3" t="str">
        <f t="shared" si="1"/>
        <v>Obligations</v>
      </c>
      <c r="C78" s="3" t="s">
        <v>90</v>
      </c>
      <c r="D78" s="3">
        <f t="shared" ref="D78:S141" si="2">D3/$X3</f>
        <v>21266.903914590745</v>
      </c>
      <c r="E78" s="3">
        <f t="shared" si="2"/>
        <v>18042.704626334518</v>
      </c>
      <c r="F78" s="3">
        <f t="shared" si="2"/>
        <v>0</v>
      </c>
      <c r="G78" s="3">
        <f t="shared" si="2"/>
        <v>0</v>
      </c>
      <c r="H78" s="3">
        <f t="shared" si="2"/>
        <v>0</v>
      </c>
      <c r="I78" s="3">
        <f t="shared" si="2"/>
        <v>0</v>
      </c>
      <c r="J78" s="3">
        <f t="shared" si="2"/>
        <v>0</v>
      </c>
      <c r="K78" s="3">
        <f t="shared" si="2"/>
        <v>0</v>
      </c>
      <c r="L78" s="3">
        <f t="shared" si="2"/>
        <v>0</v>
      </c>
      <c r="M78" s="3">
        <f t="shared" si="2"/>
        <v>0</v>
      </c>
      <c r="N78" s="3">
        <f t="shared" si="2"/>
        <v>0</v>
      </c>
      <c r="O78" s="3">
        <f t="shared" si="2"/>
        <v>0</v>
      </c>
      <c r="P78" s="3">
        <f t="shared" si="2"/>
        <v>590.74733096085401</v>
      </c>
      <c r="Q78" s="3">
        <f t="shared" si="2"/>
        <v>0</v>
      </c>
      <c r="R78" s="3">
        <f t="shared" si="2"/>
        <v>0</v>
      </c>
      <c r="S78" s="3">
        <f t="shared" si="2"/>
        <v>0</v>
      </c>
      <c r="T78" s="3">
        <f t="shared" si="0"/>
        <v>0</v>
      </c>
      <c r="U78" s="3">
        <f t="shared" si="0"/>
        <v>0</v>
      </c>
      <c r="V78" s="3">
        <f t="shared" si="0"/>
        <v>2633.4519572953736</v>
      </c>
    </row>
    <row r="79" spans="1:24" x14ac:dyDescent="0.25">
      <c r="A79" s="3">
        <f t="shared" ref="A79:B79" si="3">A4</f>
        <v>1957</v>
      </c>
      <c r="B79" s="3" t="str">
        <f t="shared" si="3"/>
        <v>Obligations</v>
      </c>
      <c r="C79" s="3" t="s">
        <v>90</v>
      </c>
      <c r="D79" s="3">
        <f t="shared" si="2"/>
        <v>26968.449931412892</v>
      </c>
      <c r="E79" s="3">
        <f t="shared" si="0"/>
        <v>22818.93004115226</v>
      </c>
      <c r="F79" s="3">
        <f t="shared" si="0"/>
        <v>0</v>
      </c>
      <c r="G79" s="3">
        <f t="shared" si="0"/>
        <v>0</v>
      </c>
      <c r="H79" s="3">
        <f t="shared" si="0"/>
        <v>0</v>
      </c>
      <c r="I79" s="3">
        <f t="shared" si="0"/>
        <v>0</v>
      </c>
      <c r="J79" s="3">
        <f t="shared" si="0"/>
        <v>0</v>
      </c>
      <c r="K79" s="3">
        <f t="shared" si="0"/>
        <v>0</v>
      </c>
      <c r="L79" s="3">
        <f t="shared" si="0"/>
        <v>0</v>
      </c>
      <c r="M79" s="3">
        <f t="shared" si="0"/>
        <v>0</v>
      </c>
      <c r="N79" s="3">
        <f t="shared" si="0"/>
        <v>0</v>
      </c>
      <c r="O79" s="3">
        <f t="shared" si="0"/>
        <v>0</v>
      </c>
      <c r="P79" s="3">
        <f t="shared" si="0"/>
        <v>960.21947873799718</v>
      </c>
      <c r="Q79" s="3">
        <f t="shared" si="0"/>
        <v>0</v>
      </c>
      <c r="R79" s="3">
        <f t="shared" si="0"/>
        <v>0</v>
      </c>
      <c r="S79" s="3">
        <f t="shared" si="0"/>
        <v>0</v>
      </c>
      <c r="T79" s="3">
        <f t="shared" si="0"/>
        <v>0</v>
      </c>
      <c r="U79" s="3">
        <f t="shared" si="0"/>
        <v>0</v>
      </c>
      <c r="V79" s="3">
        <f t="shared" si="0"/>
        <v>3189.3004115226336</v>
      </c>
    </row>
    <row r="80" spans="1:24" x14ac:dyDescent="0.25">
      <c r="A80" s="3">
        <f t="shared" ref="A80:B80" si="4">A5</f>
        <v>1958</v>
      </c>
      <c r="B80" s="3" t="str">
        <f t="shared" si="4"/>
        <v>Obligations</v>
      </c>
      <c r="C80" s="3" t="s">
        <v>90</v>
      </c>
      <c r="D80" s="3">
        <f t="shared" si="2"/>
        <v>30426.098535286284</v>
      </c>
      <c r="E80" s="3">
        <f t="shared" si="0"/>
        <v>25306.258322237016</v>
      </c>
      <c r="F80" s="3">
        <f t="shared" si="0"/>
        <v>0</v>
      </c>
      <c r="G80" s="3">
        <f t="shared" si="0"/>
        <v>0</v>
      </c>
      <c r="H80" s="3">
        <f t="shared" si="0"/>
        <v>0</v>
      </c>
      <c r="I80" s="3">
        <f t="shared" si="0"/>
        <v>0</v>
      </c>
      <c r="J80" s="3">
        <f t="shared" si="0"/>
        <v>0</v>
      </c>
      <c r="K80" s="3">
        <f t="shared" si="0"/>
        <v>0</v>
      </c>
      <c r="L80" s="3">
        <f t="shared" si="0"/>
        <v>0</v>
      </c>
      <c r="M80" s="3">
        <f t="shared" si="0"/>
        <v>0</v>
      </c>
      <c r="N80" s="3">
        <f t="shared" si="0"/>
        <v>0</v>
      </c>
      <c r="O80" s="3">
        <f t="shared" si="0"/>
        <v>0</v>
      </c>
      <c r="P80" s="3">
        <f t="shared" si="0"/>
        <v>1178.4287616511319</v>
      </c>
      <c r="Q80" s="3">
        <f t="shared" si="0"/>
        <v>0</v>
      </c>
      <c r="R80" s="3">
        <f t="shared" si="0"/>
        <v>0</v>
      </c>
      <c r="S80" s="3">
        <f t="shared" si="0"/>
        <v>0</v>
      </c>
      <c r="T80" s="3">
        <f t="shared" si="0"/>
        <v>0</v>
      </c>
      <c r="U80" s="3">
        <f t="shared" si="0"/>
        <v>0</v>
      </c>
      <c r="V80" s="3">
        <f t="shared" si="0"/>
        <v>3941.4114513981358</v>
      </c>
    </row>
    <row r="81" spans="1:22" x14ac:dyDescent="0.25">
      <c r="A81" s="3">
        <f t="shared" ref="A81:B81" si="5">A6</f>
        <v>1959</v>
      </c>
      <c r="B81" s="3" t="str">
        <f t="shared" si="5"/>
        <v>Obligations</v>
      </c>
      <c r="C81" s="3" t="s">
        <v>90</v>
      </c>
      <c r="D81" s="3">
        <f t="shared" si="2"/>
        <v>43895.081967213118</v>
      </c>
      <c r="E81" s="3">
        <f t="shared" si="0"/>
        <v>36432.7868852459</v>
      </c>
      <c r="F81" s="3">
        <f t="shared" si="0"/>
        <v>0</v>
      </c>
      <c r="G81" s="3">
        <f t="shared" si="0"/>
        <v>0</v>
      </c>
      <c r="H81" s="3">
        <f t="shared" si="0"/>
        <v>0</v>
      </c>
      <c r="I81" s="3">
        <f t="shared" si="0"/>
        <v>0</v>
      </c>
      <c r="J81" s="3">
        <f t="shared" si="0"/>
        <v>0</v>
      </c>
      <c r="K81" s="3">
        <f t="shared" si="0"/>
        <v>0</v>
      </c>
      <c r="L81" s="3">
        <f t="shared" si="0"/>
        <v>0</v>
      </c>
      <c r="M81" s="3">
        <f t="shared" si="0"/>
        <v>0</v>
      </c>
      <c r="N81" s="3">
        <f t="shared" si="0"/>
        <v>0</v>
      </c>
      <c r="O81" s="3">
        <f t="shared" si="0"/>
        <v>0</v>
      </c>
      <c r="P81" s="3">
        <f t="shared" si="0"/>
        <v>1527.8688524590164</v>
      </c>
      <c r="Q81" s="3">
        <f t="shared" si="0"/>
        <v>0</v>
      </c>
      <c r="R81" s="3">
        <f t="shared" si="0"/>
        <v>0</v>
      </c>
      <c r="S81" s="3">
        <f t="shared" si="0"/>
        <v>0</v>
      </c>
      <c r="T81" s="3">
        <f t="shared" si="0"/>
        <v>0</v>
      </c>
      <c r="U81" s="3">
        <f t="shared" si="0"/>
        <v>0</v>
      </c>
      <c r="V81" s="3">
        <f t="shared" si="0"/>
        <v>5927.8688524590161</v>
      </c>
    </row>
    <row r="82" spans="1:22" x14ac:dyDescent="0.25">
      <c r="A82" s="3">
        <f t="shared" ref="A82:B82" si="6">A7</f>
        <v>1960</v>
      </c>
      <c r="B82" s="3" t="str">
        <f t="shared" si="6"/>
        <v>Obligations</v>
      </c>
      <c r="C82" s="3" t="s">
        <v>90</v>
      </c>
      <c r="D82" s="3">
        <f t="shared" si="2"/>
        <v>48848.64165588616</v>
      </c>
      <c r="E82" s="3">
        <f t="shared" si="0"/>
        <v>39501.940491591209</v>
      </c>
      <c r="F82" s="3">
        <f t="shared" si="0"/>
        <v>0</v>
      </c>
      <c r="G82" s="3">
        <f t="shared" si="0"/>
        <v>0</v>
      </c>
      <c r="H82" s="3">
        <f t="shared" si="0"/>
        <v>0</v>
      </c>
      <c r="I82" s="3">
        <f t="shared" si="0"/>
        <v>0</v>
      </c>
      <c r="J82" s="3">
        <f t="shared" si="0"/>
        <v>0</v>
      </c>
      <c r="K82" s="3">
        <f t="shared" si="0"/>
        <v>0</v>
      </c>
      <c r="L82" s="3">
        <f t="shared" si="0"/>
        <v>0</v>
      </c>
      <c r="M82" s="3">
        <f t="shared" si="0"/>
        <v>0</v>
      </c>
      <c r="N82" s="3">
        <f t="shared" si="0"/>
        <v>0</v>
      </c>
      <c r="O82" s="3">
        <f t="shared" si="0"/>
        <v>0</v>
      </c>
      <c r="P82" s="3">
        <f t="shared" si="0"/>
        <v>1972.8331177231566</v>
      </c>
      <c r="Q82" s="3">
        <f t="shared" si="0"/>
        <v>0</v>
      </c>
      <c r="R82" s="3">
        <f t="shared" si="0"/>
        <v>0</v>
      </c>
      <c r="S82" s="3">
        <f t="shared" si="0"/>
        <v>0</v>
      </c>
      <c r="T82" s="3">
        <f t="shared" si="0"/>
        <v>0</v>
      </c>
      <c r="U82" s="3">
        <f t="shared" si="0"/>
        <v>0</v>
      </c>
      <c r="V82" s="3">
        <f t="shared" si="0"/>
        <v>7373.8680465717989</v>
      </c>
    </row>
    <row r="83" spans="1:22" x14ac:dyDescent="0.25">
      <c r="A83" s="3">
        <f t="shared" ref="A83:B83" si="7">A8</f>
        <v>1961</v>
      </c>
      <c r="B83" s="3" t="str">
        <f t="shared" si="7"/>
        <v>Obligations</v>
      </c>
      <c r="C83" s="3" t="s">
        <v>90</v>
      </c>
      <c r="D83" s="3">
        <f t="shared" si="2"/>
        <v>57811.104020421182</v>
      </c>
      <c r="E83" s="3">
        <f t="shared" si="0"/>
        <v>44703.254626675174</v>
      </c>
      <c r="F83" s="3">
        <f t="shared" si="0"/>
        <v>0</v>
      </c>
      <c r="G83" s="3">
        <f t="shared" si="0"/>
        <v>874.28206764518188</v>
      </c>
      <c r="H83" s="3">
        <f t="shared" si="0"/>
        <v>4958.5194639438414</v>
      </c>
      <c r="I83" s="3">
        <f t="shared" si="0"/>
        <v>2380.3446075303127</v>
      </c>
      <c r="J83" s="3">
        <f t="shared" si="0"/>
        <v>465.85832801531586</v>
      </c>
      <c r="K83" s="3">
        <f t="shared" si="0"/>
        <v>797.70261646458198</v>
      </c>
      <c r="L83" s="3">
        <f t="shared" si="0"/>
        <v>0</v>
      </c>
      <c r="M83" s="3">
        <f t="shared" si="0"/>
        <v>350.98915124441606</v>
      </c>
      <c r="N83" s="3">
        <f t="shared" si="0"/>
        <v>0</v>
      </c>
      <c r="O83" s="3">
        <f t="shared" si="0"/>
        <v>0</v>
      </c>
      <c r="P83" s="3">
        <f t="shared" si="0"/>
        <v>2584.5564773452456</v>
      </c>
      <c r="Q83" s="3">
        <f t="shared" si="0"/>
        <v>0</v>
      </c>
      <c r="R83" s="3">
        <f t="shared" si="0"/>
        <v>0</v>
      </c>
      <c r="S83" s="3">
        <f t="shared" si="0"/>
        <v>0</v>
      </c>
      <c r="T83" s="3">
        <f t="shared" si="0"/>
        <v>0</v>
      </c>
      <c r="U83" s="3">
        <f t="shared" si="0"/>
        <v>0</v>
      </c>
      <c r="V83" s="3">
        <f t="shared" si="0"/>
        <v>689.21506062539879</v>
      </c>
    </row>
    <row r="84" spans="1:22" x14ac:dyDescent="0.25">
      <c r="A84" s="3">
        <f t="shared" ref="A84:B84" si="8">A9</f>
        <v>1962</v>
      </c>
      <c r="B84" s="3" t="str">
        <f t="shared" si="8"/>
        <v>Obligations</v>
      </c>
      <c r="C84" s="3" t="s">
        <v>90</v>
      </c>
      <c r="D84" s="3">
        <f t="shared" si="2"/>
        <v>65003.158559696778</v>
      </c>
      <c r="E84" s="3">
        <f t="shared" si="0"/>
        <v>45723.310170562225</v>
      </c>
      <c r="F84" s="3">
        <f t="shared" si="0"/>
        <v>0</v>
      </c>
      <c r="G84" s="3">
        <f t="shared" si="0"/>
        <v>1181.3013265950726</v>
      </c>
      <c r="H84" s="3">
        <f t="shared" si="0"/>
        <v>8926.0897030953893</v>
      </c>
      <c r="I84" s="3">
        <f t="shared" si="0"/>
        <v>2830.0694883133292</v>
      </c>
      <c r="J84" s="3">
        <f t="shared" si="0"/>
        <v>682.24889450410615</v>
      </c>
      <c r="K84" s="3">
        <f t="shared" si="0"/>
        <v>859.12823752368922</v>
      </c>
      <c r="L84" s="3">
        <f t="shared" si="0"/>
        <v>0</v>
      </c>
      <c r="M84" s="3">
        <f t="shared" si="0"/>
        <v>638.02905874921032</v>
      </c>
      <c r="N84" s="3">
        <f t="shared" si="0"/>
        <v>0</v>
      </c>
      <c r="O84" s="3">
        <f t="shared" si="0"/>
        <v>0</v>
      </c>
      <c r="P84" s="3">
        <f t="shared" si="0"/>
        <v>3480.7327858496528</v>
      </c>
      <c r="Q84" s="3">
        <f t="shared" si="0"/>
        <v>0</v>
      </c>
      <c r="R84" s="3">
        <f t="shared" si="0"/>
        <v>0</v>
      </c>
      <c r="S84" s="3">
        <f t="shared" si="0"/>
        <v>0</v>
      </c>
      <c r="T84" s="3">
        <f t="shared" si="0"/>
        <v>0</v>
      </c>
      <c r="U84" s="3">
        <f t="shared" si="0"/>
        <v>0</v>
      </c>
      <c r="V84" s="3">
        <f t="shared" si="0"/>
        <v>675.93177511054955</v>
      </c>
    </row>
    <row r="85" spans="1:22" x14ac:dyDescent="0.25">
      <c r="A85" s="3">
        <f t="shared" ref="A85:B85" si="9">A10</f>
        <v>1963</v>
      </c>
      <c r="B85" s="3" t="str">
        <f t="shared" si="9"/>
        <v>Obligations</v>
      </c>
      <c r="C85" s="3" t="s">
        <v>90</v>
      </c>
      <c r="D85" s="3">
        <f t="shared" si="2"/>
        <v>77996.25468164793</v>
      </c>
      <c r="E85" s="3">
        <f t="shared" si="0"/>
        <v>48464.419475655428</v>
      </c>
      <c r="F85" s="3">
        <f t="shared" si="0"/>
        <v>0</v>
      </c>
      <c r="G85" s="3">
        <f t="shared" si="0"/>
        <v>1535.5805243445693</v>
      </c>
      <c r="H85" s="3">
        <f t="shared" si="0"/>
        <v>17553.058676654182</v>
      </c>
      <c r="I85" s="3">
        <f t="shared" si="0"/>
        <v>3214.7315855181023</v>
      </c>
      <c r="J85" s="3">
        <f t="shared" si="0"/>
        <v>749.06367041198496</v>
      </c>
      <c r="K85" s="3">
        <f t="shared" si="0"/>
        <v>911.36079900124844</v>
      </c>
      <c r="L85" s="3">
        <f t="shared" si="0"/>
        <v>0</v>
      </c>
      <c r="M85" s="3">
        <f t="shared" si="0"/>
        <v>886.39200998751551</v>
      </c>
      <c r="N85" s="3">
        <f t="shared" si="0"/>
        <v>0</v>
      </c>
      <c r="O85" s="3">
        <f t="shared" si="0"/>
        <v>0</v>
      </c>
      <c r="P85" s="3">
        <f t="shared" si="0"/>
        <v>3907.6154806491882</v>
      </c>
      <c r="Q85" s="3">
        <f t="shared" si="0"/>
        <v>0</v>
      </c>
      <c r="R85" s="3">
        <f t="shared" si="0"/>
        <v>0</v>
      </c>
      <c r="S85" s="3">
        <f t="shared" si="0"/>
        <v>0</v>
      </c>
      <c r="T85" s="3">
        <f t="shared" si="0"/>
        <v>0</v>
      </c>
      <c r="U85" s="3">
        <f t="shared" si="0"/>
        <v>0</v>
      </c>
      <c r="V85" s="3">
        <f t="shared" si="0"/>
        <v>780.27465667915101</v>
      </c>
    </row>
    <row r="86" spans="1:22" x14ac:dyDescent="0.25">
      <c r="A86" s="3">
        <f t="shared" ref="A86:B86" si="10">A11</f>
        <v>1964</v>
      </c>
      <c r="B86" s="3" t="str">
        <f t="shared" si="10"/>
        <v>Obligations</v>
      </c>
      <c r="C86" s="3" t="s">
        <v>90</v>
      </c>
      <c r="D86" s="3">
        <f t="shared" si="2"/>
        <v>87754.472547810001</v>
      </c>
      <c r="E86" s="3">
        <f t="shared" si="0"/>
        <v>48297.347316471314</v>
      </c>
      <c r="F86" s="3">
        <f t="shared" si="0"/>
        <v>0</v>
      </c>
      <c r="G86" s="3">
        <f t="shared" si="0"/>
        <v>1708.8217149907466</v>
      </c>
      <c r="H86" s="3">
        <f t="shared" si="0"/>
        <v>26162.862430598398</v>
      </c>
      <c r="I86" s="3">
        <f t="shared" si="0"/>
        <v>3522.5169648365209</v>
      </c>
      <c r="J86" s="3">
        <f t="shared" si="0"/>
        <v>826.65021591610116</v>
      </c>
      <c r="K86" s="3">
        <f t="shared" si="0"/>
        <v>1017.8901912399754</v>
      </c>
      <c r="L86" s="3">
        <f t="shared" si="0"/>
        <v>0</v>
      </c>
      <c r="M86" s="3">
        <f t="shared" si="0"/>
        <v>752.6218383713757</v>
      </c>
      <c r="N86" s="3">
        <f t="shared" si="0"/>
        <v>0</v>
      </c>
      <c r="O86" s="3">
        <f t="shared" si="0"/>
        <v>0</v>
      </c>
      <c r="P86" s="3">
        <f t="shared" si="0"/>
        <v>4491.0549043800129</v>
      </c>
      <c r="Q86" s="3">
        <f t="shared" si="0"/>
        <v>0</v>
      </c>
      <c r="R86" s="3">
        <f t="shared" si="0"/>
        <v>0</v>
      </c>
      <c r="S86" s="3">
        <f t="shared" si="0"/>
        <v>0</v>
      </c>
      <c r="T86" s="3">
        <f t="shared" si="0"/>
        <v>0</v>
      </c>
      <c r="U86" s="3">
        <f t="shared" si="0"/>
        <v>0</v>
      </c>
      <c r="V86" s="3">
        <f t="shared" si="0"/>
        <v>987.04503392967308</v>
      </c>
    </row>
    <row r="87" spans="1:22" x14ac:dyDescent="0.25">
      <c r="A87" s="3">
        <f t="shared" ref="A87:B87" si="11">A12</f>
        <v>1965</v>
      </c>
      <c r="B87" s="3" t="str">
        <f t="shared" si="11"/>
        <v>Obligations</v>
      </c>
      <c r="C87" s="3" t="s">
        <v>90</v>
      </c>
      <c r="D87" s="3">
        <f t="shared" si="2"/>
        <v>88623.408126137059</v>
      </c>
      <c r="E87" s="3">
        <f t="shared" si="0"/>
        <v>44523.953911461496</v>
      </c>
      <c r="F87" s="3">
        <f t="shared" si="0"/>
        <v>0</v>
      </c>
      <c r="G87" s="3">
        <f t="shared" si="0"/>
        <v>1843.5415403274712</v>
      </c>
      <c r="H87" s="3">
        <f t="shared" si="0"/>
        <v>29636.143117040632</v>
      </c>
      <c r="I87" s="3">
        <f t="shared" si="0"/>
        <v>3547.604608853851</v>
      </c>
      <c r="J87" s="3">
        <f t="shared" si="0"/>
        <v>964.22073984232873</v>
      </c>
      <c r="K87" s="3">
        <f t="shared" si="0"/>
        <v>1182.5348696179503</v>
      </c>
      <c r="L87" s="3">
        <f t="shared" si="0"/>
        <v>0</v>
      </c>
      <c r="M87" s="3">
        <f t="shared" si="0"/>
        <v>891.44936325045489</v>
      </c>
      <c r="N87" s="3">
        <f t="shared" si="0"/>
        <v>0</v>
      </c>
      <c r="O87" s="3">
        <f t="shared" si="0"/>
        <v>0</v>
      </c>
      <c r="P87" s="3">
        <f t="shared" si="0"/>
        <v>4802.9108550636756</v>
      </c>
      <c r="Q87" s="3">
        <f t="shared" si="0"/>
        <v>0</v>
      </c>
      <c r="R87" s="3">
        <f t="shared" si="0"/>
        <v>0</v>
      </c>
      <c r="S87" s="3">
        <f t="shared" si="0"/>
        <v>0</v>
      </c>
      <c r="T87" s="3">
        <f t="shared" si="0"/>
        <v>0</v>
      </c>
      <c r="U87" s="3">
        <f t="shared" si="0"/>
        <v>0</v>
      </c>
      <c r="V87" s="3">
        <f t="shared" si="0"/>
        <v>1231.0491206791996</v>
      </c>
    </row>
    <row r="88" spans="1:22" x14ac:dyDescent="0.25">
      <c r="A88" s="3">
        <f t="shared" ref="A88:B88" si="12">A13</f>
        <v>1966</v>
      </c>
      <c r="B88" s="3" t="str">
        <f t="shared" si="12"/>
        <v>Obligations</v>
      </c>
      <c r="C88" s="3" t="s">
        <v>90</v>
      </c>
      <c r="D88" s="3">
        <f t="shared" si="2"/>
        <v>90919.881305637973</v>
      </c>
      <c r="E88" s="3">
        <f t="shared" si="0"/>
        <v>44724.035608308601</v>
      </c>
      <c r="F88" s="3">
        <f t="shared" si="0"/>
        <v>0</v>
      </c>
      <c r="G88" s="3">
        <f t="shared" si="0"/>
        <v>2237.388724035608</v>
      </c>
      <c r="H88" s="3">
        <f t="shared" si="0"/>
        <v>29531.157270029671</v>
      </c>
      <c r="I88" s="3">
        <f t="shared" si="0"/>
        <v>3412.4629080118693</v>
      </c>
      <c r="J88" s="3">
        <f t="shared" si="0"/>
        <v>1121.6617210682491</v>
      </c>
      <c r="K88" s="3">
        <f t="shared" si="0"/>
        <v>1192.8783382789318</v>
      </c>
      <c r="L88" s="3">
        <f t="shared" si="0"/>
        <v>0</v>
      </c>
      <c r="M88" s="3">
        <f t="shared" si="0"/>
        <v>1489.614243323442</v>
      </c>
      <c r="N88" s="3">
        <f t="shared" si="0"/>
        <v>0</v>
      </c>
      <c r="O88" s="3">
        <f t="shared" si="0"/>
        <v>0</v>
      </c>
      <c r="P88" s="3">
        <f t="shared" si="0"/>
        <v>5341.2462908011867</v>
      </c>
      <c r="Q88" s="3">
        <f t="shared" si="0"/>
        <v>0</v>
      </c>
      <c r="R88" s="3">
        <f t="shared" si="0"/>
        <v>0</v>
      </c>
      <c r="S88" s="3">
        <f t="shared" si="0"/>
        <v>0</v>
      </c>
      <c r="T88" s="3">
        <f t="shared" si="0"/>
        <v>0</v>
      </c>
      <c r="U88" s="3">
        <f t="shared" si="0"/>
        <v>0</v>
      </c>
      <c r="V88" s="3">
        <f t="shared" si="0"/>
        <v>1869.4362017804153</v>
      </c>
    </row>
    <row r="89" spans="1:22" x14ac:dyDescent="0.25">
      <c r="A89" s="3">
        <f t="shared" ref="A89:B89" si="13">A14</f>
        <v>1967</v>
      </c>
      <c r="B89" s="3" t="str">
        <f t="shared" si="13"/>
        <v>Obligations</v>
      </c>
      <c r="C89" s="3" t="s">
        <v>90</v>
      </c>
      <c r="D89" s="3">
        <f t="shared" si="2"/>
        <v>95213.133640552987</v>
      </c>
      <c r="E89" s="3">
        <f t="shared" si="0"/>
        <v>49343.317972350233</v>
      </c>
      <c r="F89" s="3">
        <f t="shared" si="0"/>
        <v>103.68663594470046</v>
      </c>
      <c r="G89" s="3">
        <f t="shared" si="0"/>
        <v>2355.9907834101382</v>
      </c>
      <c r="H89" s="3">
        <f t="shared" si="0"/>
        <v>27523.041474654376</v>
      </c>
      <c r="I89" s="3">
        <f t="shared" si="0"/>
        <v>3456.221198156682</v>
      </c>
      <c r="J89" s="3">
        <f t="shared" si="0"/>
        <v>1843.3179723502303</v>
      </c>
      <c r="K89" s="3">
        <f t="shared" si="0"/>
        <v>1255.7603686635944</v>
      </c>
      <c r="L89" s="3">
        <f t="shared" si="0"/>
        <v>247.69585253456219</v>
      </c>
      <c r="M89" s="3">
        <f t="shared" si="0"/>
        <v>2188.9400921658985</v>
      </c>
      <c r="N89" s="3">
        <f t="shared" si="0"/>
        <v>213.13364055299539</v>
      </c>
      <c r="O89" s="3">
        <f t="shared" si="0"/>
        <v>887.09677419354841</v>
      </c>
      <c r="P89" s="3">
        <f t="shared" si="0"/>
        <v>5270.7373271889401</v>
      </c>
      <c r="Q89" s="3">
        <f t="shared" si="0"/>
        <v>0</v>
      </c>
      <c r="R89" s="3">
        <f t="shared" si="0"/>
        <v>276.49769585253455</v>
      </c>
      <c r="S89" s="3">
        <f t="shared" si="0"/>
        <v>236.17511520737327</v>
      </c>
      <c r="T89" s="3">
        <f t="shared" si="0"/>
        <v>0</v>
      </c>
      <c r="U89" s="3">
        <f t="shared" si="0"/>
        <v>17.281105990783409</v>
      </c>
      <c r="V89" s="3">
        <f t="shared" si="0"/>
        <v>0</v>
      </c>
    </row>
    <row r="90" spans="1:22" x14ac:dyDescent="0.25">
      <c r="A90" s="3">
        <f t="shared" ref="A90:B90" si="14">A15</f>
        <v>1968</v>
      </c>
      <c r="B90" s="3" t="str">
        <f t="shared" si="14"/>
        <v>Obligations</v>
      </c>
      <c r="C90" s="3" t="s">
        <v>90</v>
      </c>
      <c r="D90" s="3">
        <f t="shared" si="2"/>
        <v>88597.662771285482</v>
      </c>
      <c r="E90" s="3">
        <f t="shared" si="0"/>
        <v>46048.970506399557</v>
      </c>
      <c r="F90" s="3">
        <f t="shared" si="0"/>
        <v>94.602114635503611</v>
      </c>
      <c r="G90" s="3">
        <f t="shared" si="0"/>
        <v>2431.8308291597104</v>
      </c>
      <c r="H90" s="3">
        <f t="shared" si="0"/>
        <v>23951.029493600447</v>
      </c>
      <c r="I90" s="3">
        <f t="shared" si="0"/>
        <v>3656.0934891485808</v>
      </c>
      <c r="J90" s="3">
        <f t="shared" si="0"/>
        <v>1841.9588202559821</v>
      </c>
      <c r="K90" s="3">
        <f t="shared" si="0"/>
        <v>1207.5681691708403</v>
      </c>
      <c r="L90" s="3">
        <f t="shared" si="0"/>
        <v>267.11185308848081</v>
      </c>
      <c r="M90" s="3">
        <f t="shared" si="0"/>
        <v>1691.7084028937118</v>
      </c>
      <c r="N90" s="3">
        <f t="shared" si="0"/>
        <v>244.85253199777407</v>
      </c>
      <c r="O90" s="3">
        <f t="shared" si="0"/>
        <v>923.76182526432945</v>
      </c>
      <c r="P90" s="3">
        <f t="shared" si="0"/>
        <v>5681.6917084028937</v>
      </c>
      <c r="Q90" s="3">
        <f t="shared" si="0"/>
        <v>0</v>
      </c>
      <c r="R90" s="3">
        <f t="shared" si="0"/>
        <v>278.24151363383419</v>
      </c>
      <c r="S90" s="3">
        <f t="shared" si="0"/>
        <v>250.41736227045075</v>
      </c>
      <c r="T90" s="3">
        <f t="shared" si="0"/>
        <v>5.5648302726766836</v>
      </c>
      <c r="U90" s="3">
        <f t="shared" si="0"/>
        <v>27.824151363383418</v>
      </c>
      <c r="V90" s="3">
        <f t="shared" si="0"/>
        <v>0</v>
      </c>
    </row>
    <row r="91" spans="1:22" x14ac:dyDescent="0.25">
      <c r="A91" s="3">
        <f t="shared" ref="A91:B91" si="15">A16</f>
        <v>1969</v>
      </c>
      <c r="B91" s="3" t="str">
        <f t="shared" si="15"/>
        <v>Obligations</v>
      </c>
      <c r="C91" s="3" t="s">
        <v>90</v>
      </c>
      <c r="D91" s="3">
        <f t="shared" si="2"/>
        <v>83241.085683874393</v>
      </c>
      <c r="E91" s="3">
        <f t="shared" si="0"/>
        <v>44470.463012240551</v>
      </c>
      <c r="F91" s="3">
        <f t="shared" si="0"/>
        <v>138.37147418839808</v>
      </c>
      <c r="G91" s="3">
        <f t="shared" si="0"/>
        <v>2304.4172432144755</v>
      </c>
      <c r="H91" s="3">
        <f t="shared" si="0"/>
        <v>20218.201170835549</v>
      </c>
      <c r="I91" s="3">
        <f t="shared" si="0"/>
        <v>3177.2219265566787</v>
      </c>
      <c r="J91" s="3">
        <f t="shared" si="0"/>
        <v>1718.9994678020223</v>
      </c>
      <c r="K91" s="3">
        <f t="shared" si="0"/>
        <v>1176.1575306013835</v>
      </c>
      <c r="L91" s="3">
        <f t="shared" si="0"/>
        <v>287.38690792974984</v>
      </c>
      <c r="M91" s="3">
        <f t="shared" si="0"/>
        <v>2150.0798296966468</v>
      </c>
      <c r="N91" s="3">
        <f t="shared" si="0"/>
        <v>170.30335284725916</v>
      </c>
      <c r="O91" s="3">
        <f t="shared" si="0"/>
        <v>899.41458222458755</v>
      </c>
      <c r="P91" s="3">
        <f t="shared" si="0"/>
        <v>5790.3139968068117</v>
      </c>
      <c r="Q91" s="3">
        <f t="shared" si="0"/>
        <v>0</v>
      </c>
      <c r="R91" s="3">
        <f t="shared" si="0"/>
        <v>415.11442256519422</v>
      </c>
      <c r="S91" s="3">
        <f t="shared" si="0"/>
        <v>266.09898882384243</v>
      </c>
      <c r="T91" s="3">
        <f t="shared" si="0"/>
        <v>26.609898882384247</v>
      </c>
      <c r="U91" s="3">
        <f t="shared" si="0"/>
        <v>26.609898882384247</v>
      </c>
      <c r="V91" s="3">
        <f t="shared" si="0"/>
        <v>0</v>
      </c>
    </row>
    <row r="92" spans="1:22" x14ac:dyDescent="0.25">
      <c r="A92" s="3">
        <f t="shared" ref="A92:B92" si="16">A17</f>
        <v>1970</v>
      </c>
      <c r="B92" s="3" t="str">
        <f t="shared" si="16"/>
        <v>Obligations</v>
      </c>
      <c r="C92" s="3" t="s">
        <v>90</v>
      </c>
      <c r="D92" s="3">
        <f t="shared" si="2"/>
        <v>77508.8428499242</v>
      </c>
      <c r="E92" s="3">
        <f t="shared" ref="E92:V106" si="17">E17/$X17</f>
        <v>40328.448711470439</v>
      </c>
      <c r="F92" s="3">
        <f t="shared" si="17"/>
        <v>161.69782718544721</v>
      </c>
      <c r="G92" s="3">
        <f t="shared" si="17"/>
        <v>2283.9818089944415</v>
      </c>
      <c r="H92" s="3">
        <f t="shared" si="17"/>
        <v>18221.32390096008</v>
      </c>
      <c r="I92" s="3">
        <f t="shared" si="17"/>
        <v>2900.4547751389591</v>
      </c>
      <c r="J92" s="3">
        <f t="shared" si="17"/>
        <v>1718.0394138453764</v>
      </c>
      <c r="K92" s="3">
        <f t="shared" si="17"/>
        <v>1202.6275896917637</v>
      </c>
      <c r="L92" s="3">
        <f t="shared" si="17"/>
        <v>399.19151086407277</v>
      </c>
      <c r="M92" s="3">
        <f t="shared" si="17"/>
        <v>2703.3855482566955</v>
      </c>
      <c r="N92" s="3">
        <f t="shared" si="17"/>
        <v>237.49368367862559</v>
      </c>
      <c r="O92" s="3">
        <f t="shared" si="17"/>
        <v>828.70136432541688</v>
      </c>
      <c r="P92" s="3">
        <f t="shared" si="17"/>
        <v>5477.5138959070237</v>
      </c>
      <c r="Q92" s="3">
        <f t="shared" si="17"/>
        <v>0</v>
      </c>
      <c r="R92" s="3">
        <f t="shared" si="17"/>
        <v>687.21576553815066</v>
      </c>
      <c r="S92" s="3">
        <f t="shared" si="17"/>
        <v>298.13036887316827</v>
      </c>
      <c r="T92" s="3">
        <f t="shared" si="17"/>
        <v>45.477513895907023</v>
      </c>
      <c r="U92" s="3">
        <f t="shared" si="17"/>
        <v>30.31834259727135</v>
      </c>
      <c r="V92" s="3">
        <f t="shared" si="17"/>
        <v>0</v>
      </c>
    </row>
    <row r="93" spans="1:22" x14ac:dyDescent="0.25">
      <c r="A93" s="3">
        <f t="shared" ref="A93:B93" si="18">A18</f>
        <v>1971</v>
      </c>
      <c r="B93" s="3" t="str">
        <f t="shared" si="18"/>
        <v>Obligations</v>
      </c>
      <c r="C93" s="3" t="s">
        <v>90</v>
      </c>
      <c r="D93" s="3">
        <f t="shared" si="2"/>
        <v>74725.961538461546</v>
      </c>
      <c r="E93" s="3">
        <f t="shared" si="17"/>
        <v>38990.384615384617</v>
      </c>
      <c r="F93" s="3">
        <f t="shared" si="17"/>
        <v>153.84615384615384</v>
      </c>
      <c r="G93" s="3">
        <f t="shared" si="17"/>
        <v>2466.3461538461538</v>
      </c>
      <c r="H93" s="3">
        <f t="shared" si="17"/>
        <v>14653.846153846154</v>
      </c>
      <c r="I93" s="3">
        <f t="shared" si="17"/>
        <v>2673.0769230769233</v>
      </c>
      <c r="J93" s="3">
        <f t="shared" si="17"/>
        <v>2000</v>
      </c>
      <c r="K93" s="3">
        <f t="shared" si="17"/>
        <v>1245.1923076923078</v>
      </c>
      <c r="L93" s="3">
        <f t="shared" si="17"/>
        <v>432.69230769230774</v>
      </c>
      <c r="M93" s="3">
        <f t="shared" si="17"/>
        <v>3500</v>
      </c>
      <c r="N93" s="3">
        <f t="shared" si="17"/>
        <v>312.5</v>
      </c>
      <c r="O93" s="3">
        <f t="shared" si="17"/>
        <v>1033.6538461538462</v>
      </c>
      <c r="P93" s="3">
        <f t="shared" si="17"/>
        <v>6192.3076923076924</v>
      </c>
      <c r="Q93" s="3">
        <f t="shared" si="17"/>
        <v>0</v>
      </c>
      <c r="R93" s="3">
        <f t="shared" si="17"/>
        <v>697.11538461538464</v>
      </c>
      <c r="S93" s="3">
        <f t="shared" si="17"/>
        <v>302.88461538461542</v>
      </c>
      <c r="T93" s="3">
        <f t="shared" si="17"/>
        <v>48.07692307692308</v>
      </c>
      <c r="U93" s="3">
        <f t="shared" si="17"/>
        <v>33.653846153846153</v>
      </c>
      <c r="V93" s="3">
        <f t="shared" si="17"/>
        <v>0</v>
      </c>
    </row>
    <row r="94" spans="1:22" x14ac:dyDescent="0.25">
      <c r="A94" s="3">
        <f t="shared" ref="A94:B94" si="19">A19</f>
        <v>1972</v>
      </c>
      <c r="B94" s="3" t="str">
        <f t="shared" si="19"/>
        <v>Obligations</v>
      </c>
      <c r="C94" s="3" t="s">
        <v>90</v>
      </c>
      <c r="D94" s="3">
        <f t="shared" si="2"/>
        <v>75704.451583295086</v>
      </c>
      <c r="E94" s="3">
        <f t="shared" si="17"/>
        <v>40853.602569986229</v>
      </c>
      <c r="F94" s="3">
        <f t="shared" si="17"/>
        <v>133.0885727397889</v>
      </c>
      <c r="G94" s="3">
        <f t="shared" si="17"/>
        <v>2868.2882055988985</v>
      </c>
      <c r="H94" s="3">
        <f t="shared" si="17"/>
        <v>13455.713630105553</v>
      </c>
      <c r="I94" s="3">
        <f t="shared" si="17"/>
        <v>2634.2358880220281</v>
      </c>
      <c r="J94" s="3">
        <f t="shared" si="17"/>
        <v>2198.2560807709956</v>
      </c>
      <c r="K94" s="3">
        <f t="shared" si="17"/>
        <v>1349.2427719137218</v>
      </c>
      <c r="L94" s="3">
        <f t="shared" si="17"/>
        <v>229.46305644791187</v>
      </c>
      <c r="M94" s="3">
        <f t="shared" si="17"/>
        <v>2560.8077099586967</v>
      </c>
      <c r="N94" s="3">
        <f t="shared" si="17"/>
        <v>302.89123451124368</v>
      </c>
      <c r="O94" s="3">
        <f t="shared" si="17"/>
        <v>1078.4763653051857</v>
      </c>
      <c r="P94" s="3">
        <f t="shared" si="17"/>
        <v>7099.5869664983938</v>
      </c>
      <c r="Q94" s="3">
        <f t="shared" si="17"/>
        <v>0</v>
      </c>
      <c r="R94" s="3">
        <f t="shared" si="17"/>
        <v>486.46167966957319</v>
      </c>
      <c r="S94" s="3">
        <f t="shared" si="17"/>
        <v>316.65901789811841</v>
      </c>
      <c r="T94" s="3">
        <f t="shared" si="17"/>
        <v>105.55300596603946</v>
      </c>
      <c r="U94" s="3">
        <f t="shared" si="17"/>
        <v>36.7140890316659</v>
      </c>
      <c r="V94" s="3">
        <f t="shared" si="17"/>
        <v>0</v>
      </c>
    </row>
    <row r="95" spans="1:22" x14ac:dyDescent="0.25">
      <c r="A95" s="3">
        <f t="shared" ref="A95:B95" si="20">A20</f>
        <v>1973</v>
      </c>
      <c r="B95" s="3" t="str">
        <f t="shared" si="20"/>
        <v>Obligations</v>
      </c>
      <c r="C95" s="3" t="s">
        <v>90</v>
      </c>
      <c r="D95" s="3">
        <f t="shared" si="2"/>
        <v>73911.130664320284</v>
      </c>
      <c r="E95" s="3">
        <f t="shared" si="17"/>
        <v>39604.047514298283</v>
      </c>
      <c r="F95" s="3">
        <f t="shared" si="17"/>
        <v>123.18521777386714</v>
      </c>
      <c r="G95" s="3">
        <f t="shared" si="17"/>
        <v>2894.8526176858777</v>
      </c>
      <c r="H95" s="3">
        <f t="shared" si="17"/>
        <v>12424.109106907172</v>
      </c>
      <c r="I95" s="3">
        <f t="shared" si="17"/>
        <v>2771.6673999120108</v>
      </c>
      <c r="J95" s="3">
        <f t="shared" si="17"/>
        <v>2437.3075230972281</v>
      </c>
      <c r="K95" s="3">
        <f t="shared" si="17"/>
        <v>1355.0373955125385</v>
      </c>
      <c r="L95" s="3">
        <f t="shared" si="17"/>
        <v>219.97360316761987</v>
      </c>
      <c r="M95" s="3">
        <f t="shared" si="17"/>
        <v>2516.4980202375714</v>
      </c>
      <c r="N95" s="3">
        <f t="shared" si="17"/>
        <v>343.15882094148702</v>
      </c>
      <c r="O95" s="3">
        <f t="shared" si="17"/>
        <v>1275.8468983721953</v>
      </c>
      <c r="P95" s="3">
        <f t="shared" si="17"/>
        <v>6973.1632204135503</v>
      </c>
      <c r="Q95" s="3">
        <f t="shared" si="17"/>
        <v>0</v>
      </c>
      <c r="R95" s="3">
        <f t="shared" si="17"/>
        <v>466.34403871535415</v>
      </c>
      <c r="S95" s="3">
        <f t="shared" si="17"/>
        <v>325.5609326880774</v>
      </c>
      <c r="T95" s="3">
        <f t="shared" si="17"/>
        <v>145.18257809062914</v>
      </c>
      <c r="U95" s="3">
        <f t="shared" si="17"/>
        <v>30.796304443466784</v>
      </c>
      <c r="V95" s="3">
        <f t="shared" si="17"/>
        <v>0</v>
      </c>
    </row>
    <row r="96" spans="1:22" x14ac:dyDescent="0.25">
      <c r="A96" s="3">
        <f t="shared" ref="A96:B96" si="21">A21</f>
        <v>1974</v>
      </c>
      <c r="B96" s="3" t="str">
        <f t="shared" si="21"/>
        <v>Obligations</v>
      </c>
      <c r="C96" s="3" t="s">
        <v>90</v>
      </c>
      <c r="D96" s="3">
        <f t="shared" si="2"/>
        <v>71498.973305954831</v>
      </c>
      <c r="E96" s="3">
        <f t="shared" si="17"/>
        <v>37026.694045174539</v>
      </c>
      <c r="F96" s="3">
        <f t="shared" si="17"/>
        <v>98.562628336755651</v>
      </c>
      <c r="G96" s="3">
        <f t="shared" si="17"/>
        <v>3075.9753593429159</v>
      </c>
      <c r="H96" s="3">
        <f t="shared" si="17"/>
        <v>11096.509240246407</v>
      </c>
      <c r="I96" s="3">
        <f t="shared" si="17"/>
        <v>3117.0431211498976</v>
      </c>
      <c r="J96" s="3">
        <f t="shared" si="17"/>
        <v>2119.0965092402466</v>
      </c>
      <c r="K96" s="3">
        <f t="shared" si="17"/>
        <v>1285.4209445585216</v>
      </c>
      <c r="L96" s="3">
        <f t="shared" si="17"/>
        <v>209.44558521560575</v>
      </c>
      <c r="M96" s="3">
        <f t="shared" si="17"/>
        <v>2845.9958932238192</v>
      </c>
      <c r="N96" s="3">
        <f t="shared" si="17"/>
        <v>336.75564681724848</v>
      </c>
      <c r="O96" s="3">
        <f t="shared" si="17"/>
        <v>969.19917864476383</v>
      </c>
      <c r="P96" s="3">
        <f t="shared" si="17"/>
        <v>8496.9199178644758</v>
      </c>
      <c r="Q96" s="3">
        <f t="shared" si="17"/>
        <v>0</v>
      </c>
      <c r="R96" s="3">
        <f t="shared" si="17"/>
        <v>291.58110882956879</v>
      </c>
      <c r="S96" s="3">
        <f t="shared" si="17"/>
        <v>349.07597535934292</v>
      </c>
      <c r="T96" s="3">
        <f t="shared" si="17"/>
        <v>143.73716632443532</v>
      </c>
      <c r="U96" s="3">
        <f t="shared" si="17"/>
        <v>36.960985626283367</v>
      </c>
      <c r="V96" s="3">
        <f t="shared" si="17"/>
        <v>0</v>
      </c>
    </row>
    <row r="97" spans="1:22" x14ac:dyDescent="0.25">
      <c r="A97" s="3">
        <f t="shared" ref="A97:B97" si="22">A22</f>
        <v>1975</v>
      </c>
      <c r="B97" s="3" t="str">
        <f t="shared" si="22"/>
        <v>Obligations</v>
      </c>
      <c r="C97" s="3" t="s">
        <v>90</v>
      </c>
      <c r="D97" s="3">
        <f t="shared" si="2"/>
        <v>70855.973204317081</v>
      </c>
      <c r="E97" s="3">
        <f t="shared" si="17"/>
        <v>36021.585411239299</v>
      </c>
      <c r="F97" s="3">
        <f t="shared" si="17"/>
        <v>107.92705619650168</v>
      </c>
      <c r="G97" s="3">
        <f t="shared" si="17"/>
        <v>3025.6791961295125</v>
      </c>
      <c r="H97" s="3">
        <f t="shared" si="17"/>
        <v>10286.56494231485</v>
      </c>
      <c r="I97" s="3">
        <f t="shared" si="17"/>
        <v>5072.5716412355787</v>
      </c>
      <c r="J97" s="3">
        <f t="shared" si="17"/>
        <v>2322.2925195385187</v>
      </c>
      <c r="K97" s="3">
        <f t="shared" si="17"/>
        <v>1272.7949385932266</v>
      </c>
      <c r="L97" s="3">
        <f t="shared" si="17"/>
        <v>241.90547078526237</v>
      </c>
      <c r="M97" s="3">
        <f t="shared" si="17"/>
        <v>2363.2303684406402</v>
      </c>
      <c r="N97" s="3">
        <f t="shared" si="17"/>
        <v>346.1109043542985</v>
      </c>
      <c r="O97" s="3">
        <f t="shared" si="17"/>
        <v>889.46780796427242</v>
      </c>
      <c r="P97" s="3">
        <f t="shared" si="17"/>
        <v>8075.9211016002982</v>
      </c>
      <c r="Q97" s="3">
        <f t="shared" si="17"/>
        <v>0</v>
      </c>
      <c r="R97" s="3">
        <f t="shared" si="17"/>
        <v>267.9568291775214</v>
      </c>
      <c r="S97" s="3">
        <f t="shared" si="17"/>
        <v>353.55414960922963</v>
      </c>
      <c r="T97" s="3">
        <f t="shared" si="17"/>
        <v>163.7513956084853</v>
      </c>
      <c r="U97" s="3">
        <f t="shared" si="17"/>
        <v>44.659471529586902</v>
      </c>
      <c r="V97" s="3">
        <f t="shared" si="17"/>
        <v>0</v>
      </c>
    </row>
    <row r="98" spans="1:22" x14ac:dyDescent="0.25">
      <c r="A98" s="3">
        <f t="shared" ref="A98:B98" si="23">A23</f>
        <v>1976</v>
      </c>
      <c r="B98" s="3" t="str">
        <f t="shared" si="23"/>
        <v>Obligations</v>
      </c>
      <c r="C98" s="3" t="s">
        <v>90</v>
      </c>
      <c r="D98" s="3">
        <f t="shared" si="2"/>
        <v>72303.409881697982</v>
      </c>
      <c r="E98" s="3">
        <f t="shared" si="17"/>
        <v>36290.883785664577</v>
      </c>
      <c r="F98" s="3">
        <f t="shared" si="17"/>
        <v>146.13778705636744</v>
      </c>
      <c r="G98" s="3">
        <f t="shared" si="17"/>
        <v>2985.3862212943632</v>
      </c>
      <c r="H98" s="3">
        <f t="shared" si="17"/>
        <v>10890.744606819764</v>
      </c>
      <c r="I98" s="3">
        <f t="shared" si="17"/>
        <v>5737.6478775226169</v>
      </c>
      <c r="J98" s="3">
        <f t="shared" si="17"/>
        <v>2376.4787752261659</v>
      </c>
      <c r="K98" s="3">
        <f t="shared" si="17"/>
        <v>1332.6374391092554</v>
      </c>
      <c r="L98" s="3">
        <f t="shared" si="17"/>
        <v>240.08350730688937</v>
      </c>
      <c r="M98" s="3">
        <f t="shared" si="17"/>
        <v>2195.5462769659011</v>
      </c>
      <c r="N98" s="3">
        <f t="shared" si="17"/>
        <v>379.26235212247741</v>
      </c>
      <c r="O98" s="3">
        <f t="shared" si="17"/>
        <v>887.26513569937379</v>
      </c>
      <c r="P98" s="3">
        <f t="shared" si="17"/>
        <v>8180.2366040361867</v>
      </c>
      <c r="Q98" s="3">
        <f t="shared" si="17"/>
        <v>0</v>
      </c>
      <c r="R98" s="3">
        <f t="shared" si="17"/>
        <v>167.01461377870564</v>
      </c>
      <c r="S98" s="3">
        <f t="shared" si="17"/>
        <v>340.98816979819071</v>
      </c>
      <c r="T98" s="3">
        <f t="shared" si="17"/>
        <v>121.78148921363953</v>
      </c>
      <c r="U98" s="3">
        <f t="shared" si="17"/>
        <v>41.753653444676409</v>
      </c>
      <c r="V98" s="3">
        <f t="shared" si="17"/>
        <v>0</v>
      </c>
    </row>
    <row r="99" spans="1:22" x14ac:dyDescent="0.25">
      <c r="A99" s="3">
        <f t="shared" ref="A99:B99" si="24">A24</f>
        <v>1977</v>
      </c>
      <c r="B99" s="3" t="str">
        <f t="shared" si="24"/>
        <v>Obligations</v>
      </c>
      <c r="C99" s="3" t="s">
        <v>90</v>
      </c>
      <c r="D99" s="3">
        <f t="shared" si="2"/>
        <v>76086.956521739135</v>
      </c>
      <c r="E99" s="3">
        <f t="shared" si="17"/>
        <v>38494.484101232971</v>
      </c>
      <c r="F99" s="3">
        <f t="shared" si="17"/>
        <v>214.14665801427645</v>
      </c>
      <c r="G99" s="3">
        <f t="shared" si="17"/>
        <v>3160.2855288773526</v>
      </c>
      <c r="H99" s="3">
        <f t="shared" si="17"/>
        <v>9188.8384166125907</v>
      </c>
      <c r="I99" s="3">
        <f t="shared" si="17"/>
        <v>8312.7839065541866</v>
      </c>
      <c r="J99" s="3">
        <f t="shared" si="17"/>
        <v>2443.2186891628817</v>
      </c>
      <c r="K99" s="3">
        <f t="shared" si="17"/>
        <v>1482.803374432187</v>
      </c>
      <c r="L99" s="3">
        <f t="shared" si="17"/>
        <v>230.36988968202468</v>
      </c>
      <c r="M99" s="3">
        <f t="shared" si="17"/>
        <v>2297.2096041531477</v>
      </c>
      <c r="N99" s="3">
        <f t="shared" si="17"/>
        <v>327.70927968851396</v>
      </c>
      <c r="O99" s="3">
        <f t="shared" si="17"/>
        <v>746.26865671641792</v>
      </c>
      <c r="P99" s="3">
        <f t="shared" si="17"/>
        <v>8530.1752109020126</v>
      </c>
      <c r="Q99" s="3">
        <f t="shared" si="17"/>
        <v>0</v>
      </c>
      <c r="R99" s="3">
        <f t="shared" si="17"/>
        <v>178.4555483452304</v>
      </c>
      <c r="S99" s="3">
        <f t="shared" si="17"/>
        <v>347.17715768981185</v>
      </c>
      <c r="T99" s="3">
        <f t="shared" si="17"/>
        <v>97.339390006489296</v>
      </c>
      <c r="U99" s="3">
        <f t="shared" si="17"/>
        <v>42.180402336145363</v>
      </c>
      <c r="V99" s="3">
        <f t="shared" si="17"/>
        <v>0</v>
      </c>
    </row>
    <row r="100" spans="1:22" x14ac:dyDescent="0.25">
      <c r="A100" s="3">
        <f t="shared" ref="A100:B100" si="25">A25</f>
        <v>1978</v>
      </c>
      <c r="B100" s="3" t="str">
        <f t="shared" si="25"/>
        <v>Budget Authority</v>
      </c>
      <c r="C100" s="3" t="s">
        <v>90</v>
      </c>
      <c r="D100" s="3">
        <f t="shared" si="2"/>
        <v>78978.412891456363</v>
      </c>
      <c r="E100" s="3">
        <f t="shared" si="17"/>
        <v>39218.607479477039</v>
      </c>
      <c r="F100" s="3">
        <f t="shared" si="17"/>
        <v>173.30495591365155</v>
      </c>
      <c r="G100" s="3">
        <f t="shared" si="17"/>
        <v>3192.4597141988443</v>
      </c>
      <c r="H100" s="3">
        <f t="shared" si="17"/>
        <v>8935.8467619337171</v>
      </c>
      <c r="I100" s="3">
        <f t="shared" si="17"/>
        <v>9528.732137427789</v>
      </c>
      <c r="J100" s="3">
        <f t="shared" si="17"/>
        <v>2748.5557920340525</v>
      </c>
      <c r="K100" s="3">
        <f t="shared" si="17"/>
        <v>1523.2593493463057</v>
      </c>
      <c r="L100" s="3">
        <f t="shared" si="17"/>
        <v>234.11371237458192</v>
      </c>
      <c r="M100" s="3">
        <f t="shared" si="17"/>
        <v>2335.056248099726</v>
      </c>
      <c r="N100" s="3">
        <f t="shared" si="17"/>
        <v>279.72027972027968</v>
      </c>
      <c r="O100" s="3">
        <f t="shared" si="17"/>
        <v>1048.951048951049</v>
      </c>
      <c r="P100" s="3">
        <f t="shared" si="17"/>
        <v>9024.0194588020677</v>
      </c>
      <c r="Q100" s="3">
        <f t="shared" si="17"/>
        <v>0</v>
      </c>
      <c r="R100" s="3">
        <f t="shared" si="17"/>
        <v>203.70933414411672</v>
      </c>
      <c r="S100" s="3">
        <f t="shared" si="17"/>
        <v>337.48859835816353</v>
      </c>
      <c r="T100" s="3">
        <f t="shared" si="17"/>
        <v>133.7792642140468</v>
      </c>
      <c r="U100" s="3">
        <f t="shared" si="17"/>
        <v>60.808756460930368</v>
      </c>
      <c r="V100" s="3">
        <f t="shared" si="17"/>
        <v>0</v>
      </c>
    </row>
    <row r="101" spans="1:22" x14ac:dyDescent="0.25">
      <c r="A101" s="3">
        <f t="shared" ref="A101:B101" si="26">A26</f>
        <v>1979</v>
      </c>
      <c r="B101" s="3" t="str">
        <f t="shared" si="26"/>
        <v>Budget Authority</v>
      </c>
      <c r="C101" s="3" t="s">
        <v>90</v>
      </c>
      <c r="D101" s="3">
        <f t="shared" si="2"/>
        <v>79347.398030942335</v>
      </c>
      <c r="E101" s="3">
        <f t="shared" si="17"/>
        <v>38793.248945147679</v>
      </c>
      <c r="F101" s="3">
        <f t="shared" si="17"/>
        <v>329.11392405063293</v>
      </c>
      <c r="G101" s="3">
        <f t="shared" si="17"/>
        <v>3147.679324894515</v>
      </c>
      <c r="H101" s="3">
        <f t="shared" si="17"/>
        <v>8821.3783403656835</v>
      </c>
      <c r="I101" s="3">
        <f t="shared" si="17"/>
        <v>9735.5836849507741</v>
      </c>
      <c r="J101" s="3">
        <f t="shared" si="17"/>
        <v>2841.0689170182841</v>
      </c>
      <c r="K101" s="3">
        <f t="shared" si="17"/>
        <v>1552.7426160337554</v>
      </c>
      <c r="L101" s="3">
        <f t="shared" si="17"/>
        <v>261.60337552742618</v>
      </c>
      <c r="M101" s="3">
        <f t="shared" si="17"/>
        <v>2244.7257383966244</v>
      </c>
      <c r="N101" s="3">
        <f t="shared" si="17"/>
        <v>357.24331926863573</v>
      </c>
      <c r="O101" s="3">
        <f t="shared" si="17"/>
        <v>995.78059071729967</v>
      </c>
      <c r="P101" s="3">
        <f t="shared" si="17"/>
        <v>9566.8073136427574</v>
      </c>
      <c r="Q101" s="3">
        <f t="shared" si="17"/>
        <v>0</v>
      </c>
      <c r="R101" s="3">
        <f t="shared" si="17"/>
        <v>160.33755274261605</v>
      </c>
      <c r="S101" s="3">
        <f t="shared" si="17"/>
        <v>345.99156118143463</v>
      </c>
      <c r="T101" s="3">
        <f t="shared" si="17"/>
        <v>132.20815752461323</v>
      </c>
      <c r="U101" s="3">
        <f t="shared" si="17"/>
        <v>64.697609001406477</v>
      </c>
      <c r="V101" s="3">
        <f t="shared" si="17"/>
        <v>0</v>
      </c>
    </row>
    <row r="102" spans="1:22" x14ac:dyDescent="0.25">
      <c r="A102" s="3">
        <f t="shared" ref="A102:B102" si="27">A27</f>
        <v>1980</v>
      </c>
      <c r="B102" s="3" t="str">
        <f t="shared" si="27"/>
        <v>Budget Authority</v>
      </c>
      <c r="C102" s="3" t="s">
        <v>90</v>
      </c>
      <c r="D102" s="3">
        <f t="shared" si="2"/>
        <v>76944.372574385503</v>
      </c>
      <c r="E102" s="3">
        <f t="shared" si="17"/>
        <v>38670.116429495472</v>
      </c>
      <c r="F102" s="3">
        <f t="shared" si="17"/>
        <v>323.41526520051747</v>
      </c>
      <c r="G102" s="3">
        <f t="shared" si="17"/>
        <v>3190.1681759379044</v>
      </c>
      <c r="H102" s="3">
        <f t="shared" si="17"/>
        <v>7084.0879689521344</v>
      </c>
      <c r="I102" s="3">
        <f t="shared" si="17"/>
        <v>9322.1216041397147</v>
      </c>
      <c r="J102" s="3">
        <f t="shared" si="17"/>
        <v>2584.7347994825354</v>
      </c>
      <c r="K102" s="3">
        <f t="shared" si="17"/>
        <v>1513.5834411384217</v>
      </c>
      <c r="L102" s="3">
        <f t="shared" si="17"/>
        <v>261.31953428201808</v>
      </c>
      <c r="M102" s="3">
        <f t="shared" si="17"/>
        <v>2294.9547218628718</v>
      </c>
      <c r="N102" s="3">
        <f t="shared" si="17"/>
        <v>307.89133247089262</v>
      </c>
      <c r="O102" s="3">
        <f t="shared" si="17"/>
        <v>1210.8667529107374</v>
      </c>
      <c r="P102" s="3">
        <f t="shared" si="17"/>
        <v>9557.5679172056916</v>
      </c>
      <c r="Q102" s="3">
        <f t="shared" si="17"/>
        <v>0</v>
      </c>
      <c r="R102" s="3">
        <f t="shared" si="17"/>
        <v>121.60413971539457</v>
      </c>
      <c r="S102" s="3">
        <f t="shared" si="17"/>
        <v>326.0025873221216</v>
      </c>
      <c r="T102" s="3">
        <f t="shared" si="17"/>
        <v>116.42949547218629</v>
      </c>
      <c r="U102" s="3">
        <f t="shared" si="17"/>
        <v>56.921086675291072</v>
      </c>
      <c r="V102" s="3">
        <f t="shared" si="17"/>
        <v>0</v>
      </c>
    </row>
    <row r="103" spans="1:22" x14ac:dyDescent="0.25">
      <c r="A103" s="3">
        <f t="shared" ref="A103:B103" si="28">A28</f>
        <v>1981</v>
      </c>
      <c r="B103" s="3" t="str">
        <f t="shared" si="28"/>
        <v>Budget Authority</v>
      </c>
      <c r="C103" s="3" t="s">
        <v>90</v>
      </c>
      <c r="D103" s="3">
        <f t="shared" si="2"/>
        <v>79488.689915174371</v>
      </c>
      <c r="E103" s="3">
        <f t="shared" si="17"/>
        <v>43385.956644674836</v>
      </c>
      <c r="F103" s="3">
        <f t="shared" si="17"/>
        <v>377.00282752120643</v>
      </c>
      <c r="G103" s="3">
        <f t="shared" si="17"/>
        <v>3157.3986804901037</v>
      </c>
      <c r="H103" s="3">
        <f t="shared" si="17"/>
        <v>7330.3487276154574</v>
      </c>
      <c r="I103" s="3">
        <f t="shared" si="17"/>
        <v>8249.2931196983973</v>
      </c>
      <c r="J103" s="3">
        <f t="shared" si="17"/>
        <v>2500</v>
      </c>
      <c r="K103" s="3">
        <f t="shared" si="17"/>
        <v>1552.7803958529689</v>
      </c>
      <c r="L103" s="3">
        <f t="shared" si="17"/>
        <v>249.76437323279924</v>
      </c>
      <c r="M103" s="3">
        <f t="shared" si="17"/>
        <v>2047.5966069745523</v>
      </c>
      <c r="N103" s="3">
        <f t="shared" si="17"/>
        <v>245.05183788878418</v>
      </c>
      <c r="O103" s="3">
        <f t="shared" si="17"/>
        <v>702.16776625824696</v>
      </c>
      <c r="P103" s="3">
        <f t="shared" si="17"/>
        <v>9121.1121583411878</v>
      </c>
      <c r="Q103" s="3">
        <f t="shared" si="17"/>
        <v>0</v>
      </c>
      <c r="R103" s="3">
        <f t="shared" si="17"/>
        <v>101.31950989632422</v>
      </c>
      <c r="S103" s="3">
        <f t="shared" si="17"/>
        <v>336.94627709707822</v>
      </c>
      <c r="T103" s="3">
        <f t="shared" si="17"/>
        <v>80.113100848256366</v>
      </c>
      <c r="U103" s="3">
        <f t="shared" si="17"/>
        <v>51.837888784165884</v>
      </c>
      <c r="V103" s="3">
        <f t="shared" si="17"/>
        <v>0</v>
      </c>
    </row>
    <row r="104" spans="1:22" x14ac:dyDescent="0.25">
      <c r="A104" s="3">
        <f t="shared" ref="A104:B104" si="29">A29</f>
        <v>1982</v>
      </c>
      <c r="B104" s="3" t="str">
        <f t="shared" si="29"/>
        <v>Budget Authority</v>
      </c>
      <c r="C104" s="3" t="s">
        <v>90</v>
      </c>
      <c r="D104" s="3">
        <f t="shared" si="2"/>
        <v>79565.983696849522</v>
      </c>
      <c r="E104" s="3">
        <f t="shared" si="17"/>
        <v>48623.044723507381</v>
      </c>
      <c r="F104" s="3">
        <f t="shared" si="17"/>
        <v>363.51619299405155</v>
      </c>
      <c r="G104" s="3">
        <f t="shared" si="17"/>
        <v>2994.0515532055515</v>
      </c>
      <c r="H104" s="3">
        <f t="shared" si="17"/>
        <v>5692.8838951310854</v>
      </c>
      <c r="I104" s="3">
        <f t="shared" si="17"/>
        <v>6635.8228684732312</v>
      </c>
      <c r="J104" s="3">
        <f t="shared" si="17"/>
        <v>2126.0189469046045</v>
      </c>
      <c r="K104" s="3">
        <f t="shared" si="17"/>
        <v>1526.7680105750164</v>
      </c>
      <c r="L104" s="3">
        <f t="shared" si="17"/>
        <v>229.12535800837188</v>
      </c>
      <c r="M104" s="3">
        <f t="shared" si="17"/>
        <v>1742.6745979290592</v>
      </c>
      <c r="N104" s="3">
        <f t="shared" si="17"/>
        <v>138.79709187045603</v>
      </c>
      <c r="O104" s="3">
        <f t="shared" si="17"/>
        <v>502.31328486450758</v>
      </c>
      <c r="P104" s="3">
        <f t="shared" si="17"/>
        <v>8523.9039435999111</v>
      </c>
      <c r="Q104" s="3">
        <f t="shared" si="17"/>
        <v>0</v>
      </c>
      <c r="R104" s="3">
        <f t="shared" si="17"/>
        <v>70.50011015642211</v>
      </c>
      <c r="S104" s="3">
        <f t="shared" si="17"/>
        <v>306.23485349195857</v>
      </c>
      <c r="T104" s="3">
        <f t="shared" si="17"/>
        <v>68.296981714033919</v>
      </c>
      <c r="U104" s="3">
        <f t="shared" si="17"/>
        <v>22.03128442388191</v>
      </c>
      <c r="V104" s="3">
        <f t="shared" si="17"/>
        <v>0</v>
      </c>
    </row>
    <row r="105" spans="1:22" x14ac:dyDescent="0.25">
      <c r="A105" s="3">
        <f t="shared" ref="A105:B105" si="30">A30</f>
        <v>1983</v>
      </c>
      <c r="B105" s="3" t="str">
        <f t="shared" si="30"/>
        <v>Budget Authority</v>
      </c>
      <c r="C105" s="3" t="s">
        <v>90</v>
      </c>
      <c r="D105" s="3">
        <f t="shared" si="2"/>
        <v>81840.827527971283</v>
      </c>
      <c r="E105" s="3">
        <f t="shared" si="17"/>
        <v>52640.911969601009</v>
      </c>
      <c r="F105" s="3">
        <f t="shared" si="17"/>
        <v>373.65421152628244</v>
      </c>
      <c r="G105" s="3">
        <f t="shared" si="17"/>
        <v>3170.7831961156849</v>
      </c>
      <c r="H105" s="3">
        <f t="shared" si="17"/>
        <v>4504.9609457462529</v>
      </c>
      <c r="I105" s="3">
        <f t="shared" si="17"/>
        <v>5442.2630356765885</v>
      </c>
      <c r="J105" s="3">
        <f t="shared" si="17"/>
        <v>2009.7107874181972</v>
      </c>
      <c r="K105" s="3">
        <f t="shared" si="17"/>
        <v>1572.7253535993245</v>
      </c>
      <c r="L105" s="3">
        <f t="shared" si="17"/>
        <v>225.88135951023855</v>
      </c>
      <c r="M105" s="3">
        <f t="shared" si="17"/>
        <v>1849.2716909436351</v>
      </c>
      <c r="N105" s="3">
        <f t="shared" si="17"/>
        <v>92.885792695799026</v>
      </c>
      <c r="O105" s="3">
        <f t="shared" si="17"/>
        <v>398.98670044331857</v>
      </c>
      <c r="P105" s="3">
        <f t="shared" si="17"/>
        <v>9073.2531137850965</v>
      </c>
      <c r="Q105" s="3">
        <f t="shared" si="17"/>
        <v>0</v>
      </c>
      <c r="R105" s="3">
        <f t="shared" si="17"/>
        <v>67.553303778762924</v>
      </c>
      <c r="S105" s="3">
        <f t="shared" si="17"/>
        <v>331.43339666455563</v>
      </c>
      <c r="T105" s="3">
        <f t="shared" si="17"/>
        <v>78.10850749419464</v>
      </c>
      <c r="U105" s="3">
        <f t="shared" si="17"/>
        <v>12.666244458518049</v>
      </c>
      <c r="V105" s="3">
        <f t="shared" si="17"/>
        <v>0</v>
      </c>
    </row>
    <row r="106" spans="1:22" x14ac:dyDescent="0.25">
      <c r="A106" s="3">
        <f t="shared" ref="A106:B106" si="31">A31</f>
        <v>1984</v>
      </c>
      <c r="B106" s="3" t="str">
        <f t="shared" si="31"/>
        <v>Budget Authority</v>
      </c>
      <c r="C106" s="3" t="s">
        <v>90</v>
      </c>
      <c r="D106" s="3">
        <f t="shared" si="2"/>
        <v>90103.933156714891</v>
      </c>
      <c r="E106" s="3">
        <f t="shared" si="17"/>
        <v>59684.124719788058</v>
      </c>
      <c r="F106" s="3">
        <f t="shared" si="17"/>
        <v>391.2777664560831</v>
      </c>
      <c r="G106" s="3">
        <f t="shared" si="17"/>
        <v>3415.5288363562258</v>
      </c>
      <c r="H106" s="3">
        <f t="shared" ref="E106:V120" si="32">H31/$X31</f>
        <v>4687.181577338496</v>
      </c>
      <c r="I106" s="3">
        <f t="shared" si="32"/>
        <v>5259.8328917872423</v>
      </c>
      <c r="J106" s="3">
        <f t="shared" si="32"/>
        <v>1962.5025473812918</v>
      </c>
      <c r="K106" s="3">
        <f t="shared" si="32"/>
        <v>1552.88363562258</v>
      </c>
      <c r="L106" s="3">
        <f t="shared" si="32"/>
        <v>224.16955369879761</v>
      </c>
      <c r="M106" s="3">
        <f t="shared" si="32"/>
        <v>2119.4212349704503</v>
      </c>
      <c r="N106" s="3">
        <f t="shared" si="32"/>
        <v>93.743631546769919</v>
      </c>
      <c r="O106" s="3">
        <f t="shared" si="32"/>
        <v>407.58100672508658</v>
      </c>
      <c r="P106" s="3">
        <f t="shared" si="32"/>
        <v>9739.1481556959443</v>
      </c>
      <c r="Q106" s="3">
        <f t="shared" si="32"/>
        <v>0</v>
      </c>
      <c r="R106" s="3">
        <f t="shared" si="32"/>
        <v>52.985530874261258</v>
      </c>
      <c r="S106" s="3">
        <f t="shared" si="32"/>
        <v>444.26329733034436</v>
      </c>
      <c r="T106" s="3">
        <f t="shared" si="32"/>
        <v>48.909720807010387</v>
      </c>
      <c r="U106" s="3">
        <f t="shared" si="32"/>
        <v>16.303240269003464</v>
      </c>
      <c r="V106" s="3">
        <f t="shared" si="32"/>
        <v>0</v>
      </c>
    </row>
    <row r="107" spans="1:22" x14ac:dyDescent="0.25">
      <c r="A107" s="3">
        <f t="shared" ref="A107:B107" si="33">A32</f>
        <v>1985</v>
      </c>
      <c r="B107" s="3" t="str">
        <f t="shared" si="33"/>
        <v>Budget Authority</v>
      </c>
      <c r="C107" s="3" t="s">
        <v>90</v>
      </c>
      <c r="D107" s="3">
        <f t="shared" si="2"/>
        <v>98377.045947544859</v>
      </c>
      <c r="E107" s="3">
        <f t="shared" si="32"/>
        <v>66452.376257148499</v>
      </c>
      <c r="F107" s="3">
        <f t="shared" si="32"/>
        <v>414.11950305659633</v>
      </c>
      <c r="G107" s="3">
        <f t="shared" si="32"/>
        <v>3671.8595937684877</v>
      </c>
      <c r="H107" s="3">
        <f t="shared" si="32"/>
        <v>5373.6935515677378</v>
      </c>
      <c r="I107" s="3">
        <f t="shared" si="32"/>
        <v>4711.102346677184</v>
      </c>
      <c r="J107" s="3">
        <f t="shared" si="32"/>
        <v>2088.3454939854073</v>
      </c>
      <c r="K107" s="3">
        <f t="shared" si="32"/>
        <v>1648.590021691974</v>
      </c>
      <c r="L107" s="3">
        <f t="shared" si="32"/>
        <v>224.80773023072373</v>
      </c>
      <c r="M107" s="3">
        <f t="shared" si="32"/>
        <v>2031.157562610925</v>
      </c>
      <c r="N107" s="3">
        <f t="shared" si="32"/>
        <v>98.599881680141991</v>
      </c>
      <c r="O107" s="3">
        <f t="shared" si="32"/>
        <v>433.83947939262475</v>
      </c>
      <c r="P107" s="3">
        <f t="shared" si="32"/>
        <v>10684.283178860185</v>
      </c>
      <c r="Q107" s="3">
        <f t="shared" si="32"/>
        <v>0</v>
      </c>
      <c r="R107" s="3">
        <f t="shared" si="32"/>
        <v>41.41195030565963</v>
      </c>
      <c r="S107" s="3">
        <f t="shared" si="32"/>
        <v>380.59554328534807</v>
      </c>
      <c r="T107" s="3">
        <f t="shared" si="32"/>
        <v>92.683888779333472</v>
      </c>
      <c r="U107" s="3">
        <f t="shared" si="32"/>
        <v>33.523959771248272</v>
      </c>
      <c r="V107" s="3">
        <f t="shared" si="32"/>
        <v>0</v>
      </c>
    </row>
    <row r="108" spans="1:22" x14ac:dyDescent="0.25">
      <c r="A108" s="3">
        <f t="shared" ref="A108:B108" si="34">A33</f>
        <v>1986</v>
      </c>
      <c r="B108" s="3" t="str">
        <f t="shared" si="34"/>
        <v>Budget Authority</v>
      </c>
      <c r="C108" s="3" t="s">
        <v>90</v>
      </c>
      <c r="D108" s="3">
        <f t="shared" si="2"/>
        <v>102698.16779170686</v>
      </c>
      <c r="E108" s="3">
        <f t="shared" si="32"/>
        <v>71216.972034715538</v>
      </c>
      <c r="F108" s="3">
        <f t="shared" si="32"/>
        <v>406.94310511089685</v>
      </c>
      <c r="G108" s="3">
        <f t="shared" si="32"/>
        <v>3612.3432979749277</v>
      </c>
      <c r="H108" s="3">
        <f t="shared" si="32"/>
        <v>5581.4850530376088</v>
      </c>
      <c r="I108" s="3">
        <f t="shared" si="32"/>
        <v>4408.8717454194793</v>
      </c>
      <c r="J108" s="3">
        <f t="shared" si="32"/>
        <v>2048.2160077145613</v>
      </c>
      <c r="K108" s="3">
        <f t="shared" si="32"/>
        <v>1571.8418514946964</v>
      </c>
      <c r="L108" s="3">
        <f t="shared" si="32"/>
        <v>214.07907425265191</v>
      </c>
      <c r="M108" s="3">
        <f t="shared" si="32"/>
        <v>1768.5631629701063</v>
      </c>
      <c r="N108" s="3">
        <f t="shared" si="32"/>
        <v>169.72034715525555</v>
      </c>
      <c r="O108" s="3">
        <f t="shared" si="32"/>
        <v>478.30279652844746</v>
      </c>
      <c r="P108" s="3">
        <f t="shared" si="32"/>
        <v>10732.883317261332</v>
      </c>
      <c r="Q108" s="3">
        <f t="shared" si="32"/>
        <v>0</v>
      </c>
      <c r="R108" s="3">
        <f t="shared" si="32"/>
        <v>27.000964320154292</v>
      </c>
      <c r="S108" s="3">
        <f t="shared" si="32"/>
        <v>352.94117647058829</v>
      </c>
      <c r="T108" s="3">
        <f t="shared" si="32"/>
        <v>79.074252651880428</v>
      </c>
      <c r="U108" s="3">
        <f t="shared" si="32"/>
        <v>27.000964320154292</v>
      </c>
      <c r="V108" s="3">
        <f t="shared" si="32"/>
        <v>0</v>
      </c>
    </row>
    <row r="109" spans="1:22" x14ac:dyDescent="0.25">
      <c r="A109" s="3">
        <f t="shared" ref="A109:B109" si="35">A34</f>
        <v>1987</v>
      </c>
      <c r="B109" s="3" t="str">
        <f t="shared" si="35"/>
        <v>Budget Authority</v>
      </c>
      <c r="C109" s="3" t="s">
        <v>90</v>
      </c>
      <c r="D109" s="3">
        <f t="shared" si="2"/>
        <v>107657.04584040747</v>
      </c>
      <c r="E109" s="3">
        <f t="shared" si="32"/>
        <v>73857.762686285598</v>
      </c>
      <c r="F109" s="3">
        <f t="shared" si="32"/>
        <v>420.67534427466512</v>
      </c>
      <c r="G109" s="3">
        <f t="shared" si="32"/>
        <v>3852.103376721373</v>
      </c>
      <c r="H109" s="3">
        <f t="shared" si="32"/>
        <v>6410.1112997547634</v>
      </c>
      <c r="I109" s="3">
        <f t="shared" si="32"/>
        <v>3872.8541784568947</v>
      </c>
      <c r="J109" s="3">
        <f t="shared" si="32"/>
        <v>2137.3325787587246</v>
      </c>
      <c r="K109" s="3">
        <f t="shared" si="32"/>
        <v>1550.6508205998869</v>
      </c>
      <c r="L109" s="3">
        <f t="shared" si="32"/>
        <v>207.508017355216</v>
      </c>
      <c r="M109" s="3">
        <f t="shared" si="32"/>
        <v>1712.8843614412374</v>
      </c>
      <c r="N109" s="3">
        <f t="shared" si="32"/>
        <v>186.75721561969439</v>
      </c>
      <c r="O109" s="3">
        <f t="shared" si="32"/>
        <v>503.67855121675154</v>
      </c>
      <c r="P109" s="3">
        <f t="shared" si="32"/>
        <v>12367.477834370873</v>
      </c>
      <c r="Q109" s="3">
        <f t="shared" si="32"/>
        <v>0</v>
      </c>
      <c r="R109" s="3">
        <f t="shared" si="32"/>
        <v>47.160913035276359</v>
      </c>
      <c r="S109" s="3">
        <f t="shared" si="32"/>
        <v>405.58385210337673</v>
      </c>
      <c r="T109" s="3">
        <f t="shared" si="32"/>
        <v>92.435389549141675</v>
      </c>
      <c r="U109" s="3">
        <f t="shared" si="32"/>
        <v>32.069420863987929</v>
      </c>
      <c r="V109" s="3">
        <f t="shared" si="32"/>
        <v>0</v>
      </c>
    </row>
    <row r="110" spans="1:22" x14ac:dyDescent="0.25">
      <c r="A110" s="3">
        <f t="shared" ref="A110:B110" si="36">A35</f>
        <v>1988</v>
      </c>
      <c r="B110" s="3" t="str">
        <f t="shared" si="36"/>
        <v>Budget Authority</v>
      </c>
      <c r="C110" s="3" t="s">
        <v>90</v>
      </c>
      <c r="D110" s="3">
        <f t="shared" si="2"/>
        <v>107995.61483646995</v>
      </c>
      <c r="E110" s="3">
        <f t="shared" si="32"/>
        <v>73266.9468298922</v>
      </c>
      <c r="F110" s="3">
        <f t="shared" si="32"/>
        <v>409.28192947195322</v>
      </c>
      <c r="G110" s="3">
        <f t="shared" si="32"/>
        <v>3946.6471770509775</v>
      </c>
      <c r="H110" s="3">
        <f t="shared" si="32"/>
        <v>6729.3988671660882</v>
      </c>
      <c r="I110" s="3">
        <f t="shared" si="32"/>
        <v>3884.5240270418417</v>
      </c>
      <c r="J110" s="3">
        <f t="shared" si="32"/>
        <v>2119.4957061940436</v>
      </c>
      <c r="K110" s="3">
        <f t="shared" si="32"/>
        <v>1611.5475972958159</v>
      </c>
      <c r="L110" s="3">
        <f t="shared" si="32"/>
        <v>222.91247944454594</v>
      </c>
      <c r="M110" s="3">
        <f t="shared" si="32"/>
        <v>1637.1277178878129</v>
      </c>
      <c r="N110" s="3">
        <f t="shared" si="32"/>
        <v>197.33235885254888</v>
      </c>
      <c r="O110" s="3">
        <f t="shared" si="32"/>
        <v>520.7381691942262</v>
      </c>
      <c r="P110" s="3">
        <f t="shared" si="32"/>
        <v>12928.923807783665</v>
      </c>
      <c r="Q110" s="3">
        <f t="shared" si="32"/>
        <v>0</v>
      </c>
      <c r="R110" s="3">
        <f t="shared" si="32"/>
        <v>42.024483829709482</v>
      </c>
      <c r="S110" s="3">
        <f t="shared" si="32"/>
        <v>356.29453681710214</v>
      </c>
      <c r="T110" s="3">
        <f t="shared" si="32"/>
        <v>93.184725013703641</v>
      </c>
      <c r="U110" s="3">
        <f t="shared" si="32"/>
        <v>31.061575004567878</v>
      </c>
      <c r="V110" s="3">
        <f t="shared" si="32"/>
        <v>0</v>
      </c>
    </row>
    <row r="111" spans="1:22" x14ac:dyDescent="0.25">
      <c r="A111" s="3">
        <f t="shared" ref="A111:B111" si="37">A36</f>
        <v>1989</v>
      </c>
      <c r="B111" s="3" t="str">
        <f t="shared" si="37"/>
        <v>Budget Authority</v>
      </c>
      <c r="C111" s="3" t="s">
        <v>90</v>
      </c>
      <c r="D111" s="3">
        <f t="shared" si="2"/>
        <v>109088.51422550052</v>
      </c>
      <c r="E111" s="3">
        <f t="shared" si="32"/>
        <v>71376.88795223042</v>
      </c>
      <c r="F111" s="3">
        <f t="shared" si="32"/>
        <v>489.9894625922023</v>
      </c>
      <c r="G111" s="3">
        <f t="shared" si="32"/>
        <v>4167.5447839831404</v>
      </c>
      <c r="H111" s="3">
        <f t="shared" si="32"/>
        <v>7999.6487530734103</v>
      </c>
      <c r="I111" s="3">
        <f t="shared" si="32"/>
        <v>4248.3315770987001</v>
      </c>
      <c r="J111" s="3">
        <f t="shared" si="32"/>
        <v>2204.0744643484368</v>
      </c>
      <c r="K111" s="3">
        <f t="shared" si="32"/>
        <v>1592.9048120828943</v>
      </c>
      <c r="L111" s="3">
        <f t="shared" si="32"/>
        <v>224.79803301721108</v>
      </c>
      <c r="M111" s="3">
        <f t="shared" si="32"/>
        <v>1868.6336494555671</v>
      </c>
      <c r="N111" s="3">
        <f t="shared" si="32"/>
        <v>129.96136283807516</v>
      </c>
      <c r="O111" s="3">
        <f t="shared" si="32"/>
        <v>609.41341763259572</v>
      </c>
      <c r="P111" s="3">
        <f t="shared" si="32"/>
        <v>13651.211801896732</v>
      </c>
      <c r="Q111" s="3">
        <f t="shared" si="32"/>
        <v>0</v>
      </c>
      <c r="R111" s="3">
        <f t="shared" si="32"/>
        <v>47.418335089567968</v>
      </c>
      <c r="S111" s="3">
        <f t="shared" si="32"/>
        <v>372.32174218475586</v>
      </c>
      <c r="T111" s="3">
        <f t="shared" si="32"/>
        <v>79.030558482613273</v>
      </c>
      <c r="U111" s="3">
        <f t="shared" si="32"/>
        <v>26.343519494204426</v>
      </c>
      <c r="V111" s="3">
        <f t="shared" si="32"/>
        <v>0</v>
      </c>
    </row>
    <row r="112" spans="1:22" x14ac:dyDescent="0.25">
      <c r="A112" s="3">
        <f t="shared" ref="A112:B112" si="38">A37</f>
        <v>1990</v>
      </c>
      <c r="B112" s="3" t="str">
        <f t="shared" si="38"/>
        <v>Budget Authority</v>
      </c>
      <c r="C112" s="3" t="s">
        <v>90</v>
      </c>
      <c r="D112" s="3">
        <f t="shared" si="2"/>
        <v>108066.75703151475</v>
      </c>
      <c r="E112" s="3">
        <f t="shared" si="32"/>
        <v>67646.560487970186</v>
      </c>
      <c r="F112" s="3">
        <f t="shared" si="32"/>
        <v>635.37783802100989</v>
      </c>
      <c r="G112" s="3">
        <f t="shared" si="32"/>
        <v>4083.3615723483567</v>
      </c>
      <c r="H112" s="3">
        <f t="shared" si="32"/>
        <v>9767.8752965096592</v>
      </c>
      <c r="I112" s="3">
        <f t="shared" si="32"/>
        <v>4618.7732971873947</v>
      </c>
      <c r="J112" s="3">
        <f t="shared" si="32"/>
        <v>2348.3564893256525</v>
      </c>
      <c r="K112" s="3">
        <f t="shared" si="32"/>
        <v>1609.6238563198917</v>
      </c>
      <c r="L112" s="3">
        <f t="shared" si="32"/>
        <v>237.20772619451034</v>
      </c>
      <c r="M112" s="3">
        <f t="shared" si="32"/>
        <v>1770.5862419518808</v>
      </c>
      <c r="N112" s="3">
        <f t="shared" si="32"/>
        <v>113.5208403930871</v>
      </c>
      <c r="O112" s="3">
        <f t="shared" si="32"/>
        <v>633.68349711962048</v>
      </c>
      <c r="P112" s="3">
        <f t="shared" si="32"/>
        <v>14076.584208742801</v>
      </c>
      <c r="Q112" s="3">
        <f t="shared" si="32"/>
        <v>0</v>
      </c>
      <c r="R112" s="3">
        <f t="shared" si="32"/>
        <v>55.913249745848873</v>
      </c>
      <c r="S112" s="3">
        <f t="shared" si="32"/>
        <v>365.9776347001017</v>
      </c>
      <c r="T112" s="3">
        <f t="shared" si="32"/>
        <v>74.550999661131826</v>
      </c>
      <c r="U112" s="3">
        <f t="shared" si="32"/>
        <v>28.803795323619116</v>
      </c>
      <c r="V112" s="3">
        <f t="shared" si="32"/>
        <v>0</v>
      </c>
    </row>
    <row r="113" spans="1:22" x14ac:dyDescent="0.25">
      <c r="A113" s="3">
        <f t="shared" ref="A113:B113" si="39">A38</f>
        <v>1991</v>
      </c>
      <c r="B113" s="3" t="str">
        <f t="shared" si="39"/>
        <v>Budget Authority</v>
      </c>
      <c r="C113" s="3" t="s">
        <v>90</v>
      </c>
      <c r="D113" s="3">
        <f t="shared" si="2"/>
        <v>107799.77097987896</v>
      </c>
      <c r="E113" s="3">
        <f t="shared" si="32"/>
        <v>64335.023719941113</v>
      </c>
      <c r="F113" s="3">
        <f t="shared" si="32"/>
        <v>618.35432684442992</v>
      </c>
      <c r="G113" s="3">
        <f t="shared" si="32"/>
        <v>4310.4858498282356</v>
      </c>
      <c r="H113" s="3">
        <f t="shared" si="32"/>
        <v>10651.07148699493</v>
      </c>
      <c r="I113" s="3">
        <f t="shared" si="32"/>
        <v>4830.6886962211684</v>
      </c>
      <c r="J113" s="3">
        <f t="shared" si="32"/>
        <v>2587.9273679044659</v>
      </c>
      <c r="K113" s="3">
        <f t="shared" si="32"/>
        <v>1720.9226239162442</v>
      </c>
      <c r="L113" s="3">
        <f t="shared" si="32"/>
        <v>291.18272533944054</v>
      </c>
      <c r="M113" s="3">
        <f t="shared" si="32"/>
        <v>2013.7412072632096</v>
      </c>
      <c r="N113" s="3">
        <f t="shared" si="32"/>
        <v>143.95550466219532</v>
      </c>
      <c r="O113" s="3">
        <f t="shared" si="32"/>
        <v>708.32651725830203</v>
      </c>
      <c r="P113" s="3">
        <f t="shared" si="32"/>
        <v>15092.42597742516</v>
      </c>
      <c r="Q113" s="3">
        <f t="shared" si="32"/>
        <v>0</v>
      </c>
      <c r="R113" s="3">
        <f t="shared" si="32"/>
        <v>49.075740225748412</v>
      </c>
      <c r="S113" s="3">
        <f t="shared" si="32"/>
        <v>358.25290364796336</v>
      </c>
      <c r="T113" s="3">
        <f t="shared" si="32"/>
        <v>83.428758383772291</v>
      </c>
      <c r="U113" s="3">
        <f t="shared" si="32"/>
        <v>6.5434320300997877</v>
      </c>
      <c r="V113" s="3">
        <f t="shared" si="32"/>
        <v>0</v>
      </c>
    </row>
    <row r="114" spans="1:22" x14ac:dyDescent="0.25">
      <c r="A114" s="3">
        <f t="shared" ref="A114:B114" si="40">A39</f>
        <v>1992</v>
      </c>
      <c r="B114" s="3" t="str">
        <f t="shared" si="40"/>
        <v>Budget Authority</v>
      </c>
      <c r="C114" s="3" t="s">
        <v>90</v>
      </c>
      <c r="D114" s="3">
        <f t="shared" si="2"/>
        <v>109157.35716565591</v>
      </c>
      <c r="E114" s="3">
        <f t="shared" si="32"/>
        <v>63969.039259495687</v>
      </c>
      <c r="F114" s="3">
        <f t="shared" si="32"/>
        <v>592.08426428343432</v>
      </c>
      <c r="G114" s="3">
        <f t="shared" si="32"/>
        <v>4243.5365464411107</v>
      </c>
      <c r="H114" s="3">
        <f t="shared" si="32"/>
        <v>10762.847111394829</v>
      </c>
      <c r="I114" s="3">
        <f t="shared" si="32"/>
        <v>4945.73890839451</v>
      </c>
      <c r="J114" s="3">
        <f t="shared" si="32"/>
        <v>2693.9036067666771</v>
      </c>
      <c r="K114" s="3">
        <f t="shared" si="32"/>
        <v>1843.2812001276729</v>
      </c>
      <c r="L114" s="3">
        <f t="shared" si="32"/>
        <v>306.41557612511969</v>
      </c>
      <c r="M114" s="3">
        <f t="shared" si="32"/>
        <v>2430.5777210341525</v>
      </c>
      <c r="N114" s="3">
        <f t="shared" si="32"/>
        <v>202.68113629109479</v>
      </c>
      <c r="O114" s="3">
        <f t="shared" si="32"/>
        <v>582.50877752952442</v>
      </c>
      <c r="P114" s="3">
        <f t="shared" si="32"/>
        <v>16046.919885094158</v>
      </c>
      <c r="Q114" s="3">
        <f t="shared" si="32"/>
        <v>0</v>
      </c>
      <c r="R114" s="3">
        <f t="shared" si="32"/>
        <v>59.048834982444937</v>
      </c>
      <c r="S114" s="3">
        <f t="shared" si="32"/>
        <v>390.99904245132456</v>
      </c>
      <c r="T114" s="3">
        <f t="shared" si="32"/>
        <v>81.391637408234914</v>
      </c>
      <c r="U114" s="3">
        <f t="shared" si="32"/>
        <v>6.3836578359399931</v>
      </c>
      <c r="V114" s="3">
        <f t="shared" si="32"/>
        <v>0</v>
      </c>
    </row>
    <row r="115" spans="1:22" x14ac:dyDescent="0.25">
      <c r="A115" s="3">
        <f t="shared" ref="A115:B115" si="41">A40</f>
        <v>1993</v>
      </c>
      <c r="B115" s="3" t="str">
        <f t="shared" si="41"/>
        <v>Budget Authority</v>
      </c>
      <c r="C115" s="3" t="s">
        <v>90</v>
      </c>
      <c r="D115" s="3">
        <f t="shared" si="2"/>
        <v>108972.39981288009</v>
      </c>
      <c r="E115" s="3">
        <f t="shared" si="32"/>
        <v>64320.910650241698</v>
      </c>
      <c r="F115" s="3">
        <f t="shared" si="32"/>
        <v>595.66505535630756</v>
      </c>
      <c r="G115" s="3">
        <f t="shared" si="32"/>
        <v>4196.1640417901135</v>
      </c>
      <c r="H115" s="3">
        <f t="shared" si="32"/>
        <v>10896.616248245751</v>
      </c>
      <c r="I115" s="3">
        <f t="shared" si="32"/>
        <v>4174.3333853110871</v>
      </c>
      <c r="J115" s="3">
        <f t="shared" si="32"/>
        <v>2809.9173553719011</v>
      </c>
      <c r="K115" s="3">
        <f t="shared" si="32"/>
        <v>1796.3511617027912</v>
      </c>
      <c r="L115" s="3">
        <f t="shared" si="32"/>
        <v>343.05317324185251</v>
      </c>
      <c r="M115" s="3">
        <f t="shared" si="32"/>
        <v>2655.5434274130671</v>
      </c>
      <c r="N115" s="3">
        <f t="shared" si="32"/>
        <v>88.881958521752694</v>
      </c>
      <c r="O115" s="3">
        <f t="shared" si="32"/>
        <v>542.64774676438481</v>
      </c>
      <c r="P115" s="3">
        <f t="shared" si="32"/>
        <v>16029.939186028379</v>
      </c>
      <c r="Q115" s="3">
        <f t="shared" si="32"/>
        <v>0</v>
      </c>
      <c r="R115" s="3">
        <f t="shared" si="32"/>
        <v>56.135973803212224</v>
      </c>
      <c r="S115" s="3">
        <f t="shared" si="32"/>
        <v>389.83315141119601</v>
      </c>
      <c r="T115" s="3">
        <f t="shared" si="32"/>
        <v>76.407297676594425</v>
      </c>
      <c r="U115" s="3">
        <f t="shared" si="32"/>
        <v>0</v>
      </c>
      <c r="V115" s="3">
        <f t="shared" si="32"/>
        <v>0</v>
      </c>
    </row>
    <row r="116" spans="1:22" x14ac:dyDescent="0.25">
      <c r="A116" s="3">
        <f t="shared" ref="A116:B116" si="42">A41</f>
        <v>1994</v>
      </c>
      <c r="B116" s="3" t="str">
        <f t="shared" si="42"/>
        <v>Budget Authority</v>
      </c>
      <c r="C116" s="3" t="s">
        <v>90</v>
      </c>
      <c r="D116" s="3">
        <f t="shared" si="2"/>
        <v>104274.3781474134</v>
      </c>
      <c r="E116" s="3">
        <f t="shared" si="32"/>
        <v>57628.567068518234</v>
      </c>
      <c r="F116" s="3">
        <f t="shared" si="32"/>
        <v>387.6087288264917</v>
      </c>
      <c r="G116" s="3">
        <f t="shared" si="32"/>
        <v>4138.5624904623837</v>
      </c>
      <c r="H116" s="3">
        <f t="shared" si="32"/>
        <v>11313.902029604762</v>
      </c>
      <c r="I116" s="3">
        <f t="shared" si="32"/>
        <v>4384.2514878681523</v>
      </c>
      <c r="J116" s="3">
        <f t="shared" si="32"/>
        <v>3146.6503891347475</v>
      </c>
      <c r="K116" s="3">
        <f t="shared" si="32"/>
        <v>1820.5402105905691</v>
      </c>
      <c r="L116" s="3">
        <f t="shared" si="32"/>
        <v>579.88707462231037</v>
      </c>
      <c r="M116" s="3">
        <f t="shared" si="32"/>
        <v>2881.1231497024264</v>
      </c>
      <c r="N116" s="3">
        <f t="shared" si="32"/>
        <v>103.76926598504502</v>
      </c>
      <c r="O116" s="3">
        <f t="shared" si="32"/>
        <v>569.20494430032045</v>
      </c>
      <c r="P116" s="3">
        <f t="shared" si="32"/>
        <v>16775.522661376468</v>
      </c>
      <c r="Q116" s="3">
        <f t="shared" si="32"/>
        <v>0</v>
      </c>
      <c r="R116" s="3">
        <f t="shared" si="32"/>
        <v>68.670837784220964</v>
      </c>
      <c r="S116" s="3">
        <f t="shared" si="32"/>
        <v>404.39493361819012</v>
      </c>
      <c r="T116" s="3">
        <f t="shared" si="32"/>
        <v>70.196856401648105</v>
      </c>
      <c r="U116" s="3">
        <f t="shared" si="32"/>
        <v>0</v>
      </c>
      <c r="V116" s="3">
        <f t="shared" si="32"/>
        <v>0</v>
      </c>
    </row>
    <row r="117" spans="1:22" x14ac:dyDescent="0.25">
      <c r="A117" s="3">
        <f t="shared" ref="A117:B117" si="43">A42</f>
        <v>1995</v>
      </c>
      <c r="B117" s="3" t="str">
        <f t="shared" si="43"/>
        <v>Budget Authority</v>
      </c>
      <c r="C117" s="3" t="s">
        <v>90</v>
      </c>
      <c r="D117" s="3">
        <f t="shared" si="2"/>
        <v>102795.8756724447</v>
      </c>
      <c r="E117" s="3">
        <f t="shared" si="32"/>
        <v>55594.739988045425</v>
      </c>
      <c r="F117" s="3">
        <f t="shared" si="32"/>
        <v>428.87029288702928</v>
      </c>
      <c r="G117" s="3">
        <f t="shared" si="32"/>
        <v>4175.1344889420207</v>
      </c>
      <c r="H117" s="3">
        <f t="shared" si="32"/>
        <v>11829.04961147639</v>
      </c>
      <c r="I117" s="3">
        <f t="shared" si="32"/>
        <v>4249.8505678421998</v>
      </c>
      <c r="J117" s="3">
        <f t="shared" si="32"/>
        <v>2970.7112970711296</v>
      </c>
      <c r="K117" s="3">
        <f t="shared" si="32"/>
        <v>1784.219964136282</v>
      </c>
      <c r="L117" s="3">
        <f t="shared" si="32"/>
        <v>784.51882845188277</v>
      </c>
      <c r="M117" s="3">
        <f t="shared" si="32"/>
        <v>2739.0914524805739</v>
      </c>
      <c r="N117" s="3">
        <f t="shared" si="32"/>
        <v>104.60251046025104</v>
      </c>
      <c r="O117" s="3">
        <f t="shared" si="32"/>
        <v>551.40466228332332</v>
      </c>
      <c r="P117" s="3">
        <f t="shared" si="32"/>
        <v>17045.726240286909</v>
      </c>
      <c r="Q117" s="3">
        <f t="shared" si="32"/>
        <v>0</v>
      </c>
      <c r="R117" s="3">
        <f t="shared" si="32"/>
        <v>64.255827854154219</v>
      </c>
      <c r="S117" s="3">
        <f t="shared" si="32"/>
        <v>384.04064554692167</v>
      </c>
      <c r="T117" s="3">
        <f t="shared" si="32"/>
        <v>88.16497310221159</v>
      </c>
      <c r="U117" s="3">
        <f t="shared" si="32"/>
        <v>1.4943215780035863</v>
      </c>
      <c r="V117" s="3">
        <f t="shared" si="32"/>
        <v>0</v>
      </c>
    </row>
    <row r="118" spans="1:22" x14ac:dyDescent="0.25">
      <c r="A118" s="3">
        <f t="shared" ref="A118:B118" si="44">A43</f>
        <v>1996</v>
      </c>
      <c r="B118" s="3" t="str">
        <f t="shared" si="44"/>
        <v>Budget Authority</v>
      </c>
      <c r="C118" s="3" t="s">
        <v>90</v>
      </c>
      <c r="D118" s="3">
        <f t="shared" si="2"/>
        <v>101274.56732179526</v>
      </c>
      <c r="E118" s="3">
        <f t="shared" si="32"/>
        <v>55442.945145203877</v>
      </c>
      <c r="F118" s="3">
        <f t="shared" si="32"/>
        <v>369.60985626283372</v>
      </c>
      <c r="G118" s="3">
        <f t="shared" si="32"/>
        <v>4174.2446465239072</v>
      </c>
      <c r="H118" s="3">
        <f t="shared" si="32"/>
        <v>11504.840129070109</v>
      </c>
      <c r="I118" s="3">
        <f t="shared" si="32"/>
        <v>3697.5652684071579</v>
      </c>
      <c r="J118" s="3">
        <f t="shared" si="32"/>
        <v>2643.0038134350252</v>
      </c>
      <c r="K118" s="3">
        <f t="shared" si="32"/>
        <v>1724.845995893224</v>
      </c>
      <c r="L118" s="3">
        <f t="shared" si="32"/>
        <v>633.61689645057209</v>
      </c>
      <c r="M118" s="3">
        <f t="shared" si="32"/>
        <v>2632.7368729832797</v>
      </c>
      <c r="N118" s="3">
        <f t="shared" si="32"/>
        <v>73.335288941038428</v>
      </c>
      <c r="O118" s="3">
        <f t="shared" si="32"/>
        <v>485.47961278967443</v>
      </c>
      <c r="P118" s="3">
        <f t="shared" si="32"/>
        <v>17405.397477266062</v>
      </c>
      <c r="Q118" s="3">
        <f t="shared" si="32"/>
        <v>0</v>
      </c>
      <c r="R118" s="3">
        <f t="shared" si="32"/>
        <v>23.467292461132299</v>
      </c>
      <c r="S118" s="3">
        <f t="shared" si="32"/>
        <v>379.87679671457909</v>
      </c>
      <c r="T118" s="3">
        <f t="shared" si="32"/>
        <v>82.135523613963045</v>
      </c>
      <c r="U118" s="3">
        <f t="shared" si="32"/>
        <v>2.9334115576415374</v>
      </c>
      <c r="V118" s="3">
        <f t="shared" si="32"/>
        <v>0</v>
      </c>
    </row>
    <row r="119" spans="1:22" x14ac:dyDescent="0.25">
      <c r="A119" s="3">
        <f t="shared" ref="A119:B119" si="45">A44</f>
        <v>1997</v>
      </c>
      <c r="B119" s="3" t="str">
        <f t="shared" si="45"/>
        <v>Budget Authority</v>
      </c>
      <c r="C119" s="3" t="s">
        <v>90</v>
      </c>
      <c r="D119" s="3">
        <f t="shared" si="2"/>
        <v>103261.27684104338</v>
      </c>
      <c r="E119" s="3">
        <f t="shared" si="32"/>
        <v>57055.771725032428</v>
      </c>
      <c r="F119" s="3">
        <f t="shared" si="32"/>
        <v>273.81467070183027</v>
      </c>
      <c r="G119" s="3">
        <f t="shared" si="32"/>
        <v>4242.6862660325696</v>
      </c>
      <c r="H119" s="3">
        <f t="shared" si="32"/>
        <v>11304.222510448191</v>
      </c>
      <c r="I119" s="3">
        <f t="shared" si="32"/>
        <v>3418.3599942354808</v>
      </c>
      <c r="J119" s="3">
        <f t="shared" si="32"/>
        <v>2717.9708891771152</v>
      </c>
      <c r="K119" s="3">
        <f t="shared" si="32"/>
        <v>1733.6792044963252</v>
      </c>
      <c r="L119" s="3">
        <f t="shared" si="32"/>
        <v>589.42210693183461</v>
      </c>
      <c r="M119" s="3">
        <f t="shared" si="32"/>
        <v>2572.4167747514052</v>
      </c>
      <c r="N119" s="3">
        <f t="shared" si="32"/>
        <v>69.174232598357122</v>
      </c>
      <c r="O119" s="3">
        <f t="shared" si="32"/>
        <v>537.54143248306673</v>
      </c>
      <c r="P119" s="3">
        <f t="shared" si="32"/>
        <v>18259.115146274682</v>
      </c>
      <c r="Q119" s="3">
        <f t="shared" si="32"/>
        <v>0</v>
      </c>
      <c r="R119" s="3">
        <f t="shared" si="32"/>
        <v>12.970168612191959</v>
      </c>
      <c r="S119" s="3">
        <f t="shared" si="32"/>
        <v>384.78166882836143</v>
      </c>
      <c r="T119" s="3">
        <f t="shared" si="32"/>
        <v>85.026660902147285</v>
      </c>
      <c r="U119" s="3">
        <f t="shared" si="32"/>
        <v>2.8822596915982133</v>
      </c>
      <c r="V119" s="3">
        <f t="shared" si="32"/>
        <v>0</v>
      </c>
    </row>
    <row r="120" spans="1:22" x14ac:dyDescent="0.25">
      <c r="A120" s="3">
        <f t="shared" ref="A120:B120" si="46">A45</f>
        <v>1998</v>
      </c>
      <c r="B120" s="3" t="str">
        <f t="shared" si="46"/>
        <v>Budget Authority</v>
      </c>
      <c r="C120" s="3" t="s">
        <v>90</v>
      </c>
      <c r="D120" s="3">
        <f t="shared" si="2"/>
        <v>104709.64987190436</v>
      </c>
      <c r="E120" s="3">
        <f t="shared" si="32"/>
        <v>56679.476231141474</v>
      </c>
      <c r="F120" s="3">
        <f t="shared" si="32"/>
        <v>231.99544548818673</v>
      </c>
      <c r="G120" s="3">
        <f t="shared" si="32"/>
        <v>6205.5223455735841</v>
      </c>
      <c r="H120" s="3">
        <f t="shared" si="32"/>
        <v>11668.089951608312</v>
      </c>
      <c r="I120" s="3">
        <f t="shared" si="32"/>
        <v>1349.2741246797609</v>
      </c>
      <c r="J120" s="3">
        <f t="shared" si="32"/>
        <v>2640.1935667520638</v>
      </c>
      <c r="K120" s="3">
        <f t="shared" ref="E120:V134" si="47">K45/$X45</f>
        <v>1777.6828921150013</v>
      </c>
      <c r="L120" s="3">
        <f t="shared" si="47"/>
        <v>566.46740677483638</v>
      </c>
      <c r="M120" s="3">
        <f t="shared" si="47"/>
        <v>2608.8812980358666</v>
      </c>
      <c r="N120" s="3">
        <f t="shared" si="47"/>
        <v>59.77796754910333</v>
      </c>
      <c r="O120" s="3">
        <f t="shared" si="47"/>
        <v>631.93851409052093</v>
      </c>
      <c r="P120" s="3">
        <f t="shared" si="47"/>
        <v>19322.516367776829</v>
      </c>
      <c r="Q120" s="3">
        <f t="shared" si="47"/>
        <v>0</v>
      </c>
      <c r="R120" s="3">
        <f t="shared" si="47"/>
        <v>25.619128949615714</v>
      </c>
      <c r="S120" s="3">
        <f t="shared" si="47"/>
        <v>835.46826074580133</v>
      </c>
      <c r="T120" s="3">
        <f t="shared" si="47"/>
        <v>102.47651579846286</v>
      </c>
      <c r="U120" s="3">
        <f t="shared" si="47"/>
        <v>2.846569883290635</v>
      </c>
      <c r="V120" s="3">
        <f t="shared" si="47"/>
        <v>0</v>
      </c>
    </row>
    <row r="121" spans="1:22" x14ac:dyDescent="0.25">
      <c r="A121" s="3">
        <f t="shared" ref="A121:B121" si="48">A46</f>
        <v>1999</v>
      </c>
      <c r="B121" s="3" t="str">
        <f t="shared" si="48"/>
        <v>Budget Authority</v>
      </c>
      <c r="C121" s="3" t="s">
        <v>90</v>
      </c>
      <c r="D121" s="3">
        <f t="shared" si="2"/>
        <v>109148.03880219316</v>
      </c>
      <c r="E121" s="3">
        <f t="shared" si="47"/>
        <v>58071.137354140301</v>
      </c>
      <c r="F121" s="3">
        <f t="shared" si="47"/>
        <v>267.11654716715873</v>
      </c>
      <c r="G121" s="3">
        <f t="shared" si="47"/>
        <v>6593.561085336707</v>
      </c>
      <c r="H121" s="3">
        <f t="shared" si="47"/>
        <v>11591.45227049065</v>
      </c>
      <c r="I121" s="3">
        <f t="shared" si="47"/>
        <v>1590.0463939266131</v>
      </c>
      <c r="J121" s="3">
        <f t="shared" si="47"/>
        <v>2589.6246309574017</v>
      </c>
      <c r="K121" s="3">
        <f t="shared" si="47"/>
        <v>1810.7690144805285</v>
      </c>
      <c r="L121" s="3">
        <f t="shared" si="47"/>
        <v>607.33867566427659</v>
      </c>
      <c r="M121" s="3">
        <f t="shared" si="47"/>
        <v>2425.1370729649934</v>
      </c>
      <c r="N121" s="3">
        <f t="shared" si="47"/>
        <v>82.946717278222962</v>
      </c>
      <c r="O121" s="3">
        <f t="shared" si="47"/>
        <v>566.56825530718402</v>
      </c>
      <c r="P121" s="3">
        <f t="shared" si="47"/>
        <v>21865.598200477998</v>
      </c>
      <c r="Q121" s="3">
        <f t="shared" si="47"/>
        <v>0</v>
      </c>
      <c r="R121" s="3">
        <f t="shared" si="47"/>
        <v>53.42330943343174</v>
      </c>
      <c r="S121" s="3">
        <f t="shared" si="47"/>
        <v>905.38450724026427</v>
      </c>
      <c r="T121" s="3">
        <f t="shared" si="47"/>
        <v>123.71713763531561</v>
      </c>
      <c r="U121" s="3">
        <f t="shared" si="47"/>
        <v>4.2176296921130323</v>
      </c>
      <c r="V121" s="3">
        <f t="shared" si="47"/>
        <v>0</v>
      </c>
    </row>
    <row r="122" spans="1:22" x14ac:dyDescent="0.25">
      <c r="A122" s="3">
        <f t="shared" ref="A122:B122" si="49">A47</f>
        <v>2000</v>
      </c>
      <c r="B122" s="3" t="str">
        <f t="shared" si="49"/>
        <v>Budget Authority</v>
      </c>
      <c r="C122" s="3" t="s">
        <v>90</v>
      </c>
      <c r="D122" s="3">
        <f t="shared" si="2"/>
        <v>108337.69453243355</v>
      </c>
      <c r="E122" s="3">
        <f t="shared" si="47"/>
        <v>58642.060322269659</v>
      </c>
      <c r="F122" s="3">
        <f t="shared" si="47"/>
        <v>275.44415369783775</v>
      </c>
      <c r="G122" s="3">
        <f t="shared" si="47"/>
        <v>6854.4277647706931</v>
      </c>
      <c r="H122" s="3">
        <f t="shared" si="47"/>
        <v>7386.0349814075198</v>
      </c>
      <c r="I122" s="3">
        <f t="shared" si="47"/>
        <v>1371.711885415232</v>
      </c>
      <c r="J122" s="3">
        <f t="shared" si="47"/>
        <v>2753.0643162098886</v>
      </c>
      <c r="K122" s="3">
        <f t="shared" si="47"/>
        <v>1963.9168158655834</v>
      </c>
      <c r="L122" s="3">
        <f t="shared" si="47"/>
        <v>559.15163200661073</v>
      </c>
      <c r="M122" s="3">
        <f t="shared" si="47"/>
        <v>2253.1331772483131</v>
      </c>
      <c r="N122" s="3">
        <f t="shared" si="47"/>
        <v>63.352155350502692</v>
      </c>
      <c r="O122" s="3">
        <f t="shared" si="47"/>
        <v>575.67828122848096</v>
      </c>
      <c r="P122" s="3">
        <f t="shared" si="47"/>
        <v>24609.557912133318</v>
      </c>
      <c r="Q122" s="3">
        <f t="shared" si="47"/>
        <v>0</v>
      </c>
      <c r="R122" s="3">
        <f t="shared" si="47"/>
        <v>34.430519212229719</v>
      </c>
      <c r="S122" s="3">
        <f t="shared" si="47"/>
        <v>888.30739567552678</v>
      </c>
      <c r="T122" s="3">
        <f t="shared" si="47"/>
        <v>100.53711609971079</v>
      </c>
      <c r="U122" s="3">
        <f t="shared" si="47"/>
        <v>8.2633246109351326</v>
      </c>
      <c r="V122" s="3">
        <f t="shared" si="47"/>
        <v>0</v>
      </c>
    </row>
    <row r="123" spans="1:22" x14ac:dyDescent="0.25">
      <c r="A123" s="3">
        <f t="shared" ref="A123:B123" si="50">A48</f>
        <v>2001</v>
      </c>
      <c r="B123" s="3" t="str">
        <f t="shared" si="50"/>
        <v>Budget Authority</v>
      </c>
      <c r="C123" s="3" t="s">
        <v>90</v>
      </c>
      <c r="D123" s="3">
        <f t="shared" si="2"/>
        <v>116654.56501277396</v>
      </c>
      <c r="E123" s="3">
        <f t="shared" si="47"/>
        <v>61466.989377437138</v>
      </c>
      <c r="F123" s="3">
        <f t="shared" si="47"/>
        <v>338.84630899556271</v>
      </c>
      <c r="G123" s="3">
        <f t="shared" si="47"/>
        <v>7352.4270539195913</v>
      </c>
      <c r="H123" s="3">
        <f t="shared" si="47"/>
        <v>8237.1924162968935</v>
      </c>
      <c r="I123" s="3">
        <f t="shared" si="47"/>
        <v>1766.8414683340056</v>
      </c>
      <c r="J123" s="3">
        <f t="shared" si="47"/>
        <v>2818.3407287884897</v>
      </c>
      <c r="K123" s="3">
        <f t="shared" si="47"/>
        <v>2228.0489444668547</v>
      </c>
      <c r="L123" s="3">
        <f t="shared" si="47"/>
        <v>576.84550221863651</v>
      </c>
      <c r="M123" s="3">
        <f t="shared" si="47"/>
        <v>2205.1902648917571</v>
      </c>
      <c r="N123" s="3">
        <f t="shared" si="47"/>
        <v>72.609923356192013</v>
      </c>
      <c r="O123" s="3">
        <f t="shared" si="47"/>
        <v>552.64219443323918</v>
      </c>
      <c r="P123" s="3">
        <f t="shared" si="47"/>
        <v>27911.792389404327</v>
      </c>
      <c r="Q123" s="3">
        <f t="shared" si="47"/>
        <v>0</v>
      </c>
      <c r="R123" s="3">
        <f t="shared" si="47"/>
        <v>40.338846308995564</v>
      </c>
      <c r="S123" s="3">
        <f t="shared" si="47"/>
        <v>966.78768320559357</v>
      </c>
      <c r="T123" s="3">
        <f t="shared" si="47"/>
        <v>118.32728250638698</v>
      </c>
      <c r="U123" s="3">
        <f t="shared" si="47"/>
        <v>4.0338846308995562</v>
      </c>
      <c r="V123" s="3">
        <f t="shared" si="47"/>
        <v>0</v>
      </c>
    </row>
    <row r="124" spans="1:22" x14ac:dyDescent="0.25">
      <c r="A124" s="3">
        <f t="shared" ref="A124:B124" si="51">A49</f>
        <v>2002</v>
      </c>
      <c r="B124" s="3" t="str">
        <f t="shared" si="51"/>
        <v>Budget Authority</v>
      </c>
      <c r="C124" s="3" t="s">
        <v>90</v>
      </c>
      <c r="D124" s="3">
        <f t="shared" si="2"/>
        <v>129234.84246756686</v>
      </c>
      <c r="E124" s="3">
        <f t="shared" si="47"/>
        <v>70182.684670373317</v>
      </c>
      <c r="F124" s="3">
        <f t="shared" si="47"/>
        <v>369.34074662430504</v>
      </c>
      <c r="G124" s="3">
        <f t="shared" si="47"/>
        <v>7615.8326714323539</v>
      </c>
      <c r="H124" s="3">
        <f t="shared" si="47"/>
        <v>8300.2382843526611</v>
      </c>
      <c r="I124" s="3">
        <f t="shared" si="47"/>
        <v>1756.6851998940958</v>
      </c>
      <c r="J124" s="3">
        <f t="shared" si="47"/>
        <v>2859.4122319301032</v>
      </c>
      <c r="K124" s="3">
        <f t="shared" si="47"/>
        <v>2126.0259465184008</v>
      </c>
      <c r="L124" s="3">
        <f t="shared" si="47"/>
        <v>618.21551495896222</v>
      </c>
      <c r="M124" s="3">
        <f t="shared" si="47"/>
        <v>2433.1480010590417</v>
      </c>
      <c r="N124" s="3">
        <f t="shared" si="47"/>
        <v>66.190097961344989</v>
      </c>
      <c r="O124" s="3">
        <f t="shared" si="47"/>
        <v>544.0826052422558</v>
      </c>
      <c r="P124" s="3">
        <f t="shared" si="47"/>
        <v>31188.774159385757</v>
      </c>
      <c r="Q124" s="3">
        <f t="shared" si="47"/>
        <v>0</v>
      </c>
      <c r="R124" s="3">
        <f t="shared" si="47"/>
        <v>48.980672491395289</v>
      </c>
      <c r="S124" s="3">
        <f t="shared" si="47"/>
        <v>1000.7942811755362</v>
      </c>
      <c r="T124" s="3">
        <f t="shared" si="47"/>
        <v>120.46597828964788</v>
      </c>
      <c r="U124" s="3">
        <f t="shared" si="47"/>
        <v>3.9714058776806991</v>
      </c>
      <c r="V124" s="3">
        <f t="shared" si="47"/>
        <v>0</v>
      </c>
    </row>
    <row r="125" spans="1:22" x14ac:dyDescent="0.25">
      <c r="A125" s="3">
        <f t="shared" ref="A125:B125" si="52">A50</f>
        <v>2003</v>
      </c>
      <c r="B125" s="3" t="str">
        <f t="shared" si="52"/>
        <v>Budget Authority</v>
      </c>
      <c r="C125" s="3" t="s">
        <v>90</v>
      </c>
      <c r="D125" s="3">
        <f t="shared" si="2"/>
        <v>146180.02337965969</v>
      </c>
      <c r="E125" s="3">
        <f t="shared" si="47"/>
        <v>81891.154695414982</v>
      </c>
      <c r="F125" s="3">
        <f t="shared" si="47"/>
        <v>349.39602545785164</v>
      </c>
      <c r="G125" s="3">
        <f t="shared" si="47"/>
        <v>7960.7741265099357</v>
      </c>
      <c r="H125" s="3">
        <f t="shared" si="47"/>
        <v>9553.1887258085462</v>
      </c>
      <c r="I125" s="3">
        <f t="shared" si="47"/>
        <v>1822.3145863099103</v>
      </c>
      <c r="J125" s="3">
        <f t="shared" si="47"/>
        <v>2793.8693336796987</v>
      </c>
      <c r="K125" s="3">
        <f t="shared" si="47"/>
        <v>2218.4699311598906</v>
      </c>
      <c r="L125" s="3">
        <f t="shared" si="47"/>
        <v>601.37680218210153</v>
      </c>
      <c r="M125" s="3">
        <f t="shared" si="47"/>
        <v>2427.5879984413559</v>
      </c>
      <c r="N125" s="3">
        <f t="shared" si="47"/>
        <v>62.345759189505131</v>
      </c>
      <c r="O125" s="3">
        <f t="shared" si="47"/>
        <v>558.51409273931677</v>
      </c>
      <c r="P125" s="3">
        <f t="shared" si="47"/>
        <v>34442.135342252237</v>
      </c>
      <c r="Q125" s="3">
        <f t="shared" si="47"/>
        <v>0</v>
      </c>
      <c r="R125" s="3">
        <f t="shared" si="47"/>
        <v>49.357059358358228</v>
      </c>
      <c r="S125" s="3">
        <f t="shared" si="47"/>
        <v>1061.1767762047018</v>
      </c>
      <c r="T125" s="3">
        <f t="shared" si="47"/>
        <v>388.36212495129234</v>
      </c>
      <c r="U125" s="3">
        <f t="shared" si="47"/>
        <v>0</v>
      </c>
      <c r="V125" s="3">
        <f t="shared" si="47"/>
        <v>0</v>
      </c>
    </row>
    <row r="126" spans="1:22" x14ac:dyDescent="0.25">
      <c r="A126" s="3">
        <f t="shared" ref="A126:B126" si="53">A51</f>
        <v>2004</v>
      </c>
      <c r="B126" s="3" t="str">
        <f t="shared" si="53"/>
        <v>Budget Authority</v>
      </c>
      <c r="C126" s="3" t="s">
        <v>90</v>
      </c>
      <c r="D126" s="3">
        <f t="shared" si="2"/>
        <v>154516.29263344745</v>
      </c>
      <c r="E126" s="3">
        <f t="shared" si="47"/>
        <v>88237.606187396988</v>
      </c>
      <c r="F126" s="3">
        <f t="shared" si="47"/>
        <v>334.72803347280336</v>
      </c>
      <c r="G126" s="3">
        <f t="shared" si="47"/>
        <v>8198.3010016482822</v>
      </c>
      <c r="H126" s="3">
        <f t="shared" si="47"/>
        <v>9651.3249651324968</v>
      </c>
      <c r="I126" s="3">
        <f t="shared" si="47"/>
        <v>1702.8020793711171</v>
      </c>
      <c r="J126" s="3">
        <f t="shared" si="47"/>
        <v>2748.8271839736276</v>
      </c>
      <c r="K126" s="3">
        <f t="shared" si="47"/>
        <v>2218.8411309750222</v>
      </c>
      <c r="L126" s="3">
        <f t="shared" si="47"/>
        <v>575.6307848358058</v>
      </c>
      <c r="M126" s="3">
        <f t="shared" si="47"/>
        <v>2362.1148725751236</v>
      </c>
      <c r="N126" s="3">
        <f t="shared" si="47"/>
        <v>59.591733231900598</v>
      </c>
      <c r="O126" s="3">
        <f t="shared" si="47"/>
        <v>581.97033092430581</v>
      </c>
      <c r="P126" s="3">
        <f t="shared" si="47"/>
        <v>35819.703309243057</v>
      </c>
      <c r="Q126" s="3">
        <f t="shared" si="47"/>
        <v>0</v>
      </c>
      <c r="R126" s="3">
        <f t="shared" si="47"/>
        <v>59.591733231900598</v>
      </c>
      <c r="S126" s="3">
        <f t="shared" si="47"/>
        <v>1098.0093825282111</v>
      </c>
      <c r="T126" s="3">
        <f t="shared" si="47"/>
        <v>867.24990490680875</v>
      </c>
      <c r="U126" s="3">
        <f t="shared" si="47"/>
        <v>0</v>
      </c>
      <c r="V126" s="3">
        <f t="shared" si="47"/>
        <v>0</v>
      </c>
    </row>
    <row r="127" spans="1:22" x14ac:dyDescent="0.25">
      <c r="A127" s="3">
        <f t="shared" ref="A127:B127" si="54">A52</f>
        <v>2005</v>
      </c>
      <c r="B127" s="3" t="str">
        <f t="shared" si="54"/>
        <v>Budget Authority</v>
      </c>
      <c r="C127" s="3" t="s">
        <v>90</v>
      </c>
      <c r="D127" s="3">
        <f t="shared" si="2"/>
        <v>155778.26996431648</v>
      </c>
      <c r="E127" s="3">
        <f t="shared" si="47"/>
        <v>91112.341577457861</v>
      </c>
      <c r="F127" s="3">
        <f t="shared" si="47"/>
        <v>313.76891842008121</v>
      </c>
      <c r="G127" s="3">
        <f t="shared" si="47"/>
        <v>8084.1638981173865</v>
      </c>
      <c r="H127" s="3">
        <f t="shared" si="47"/>
        <v>8982.4043312415415</v>
      </c>
      <c r="I127" s="3">
        <f t="shared" si="47"/>
        <v>1594.6843853820599</v>
      </c>
      <c r="J127" s="3">
        <f t="shared" si="47"/>
        <v>2667.6510397440629</v>
      </c>
      <c r="K127" s="3">
        <f t="shared" si="47"/>
        <v>2239.448751076658</v>
      </c>
      <c r="L127" s="3">
        <f t="shared" si="47"/>
        <v>520.48726467331119</v>
      </c>
      <c r="M127" s="3">
        <f t="shared" si="47"/>
        <v>2272.6713424387844</v>
      </c>
      <c r="N127" s="3">
        <f t="shared" si="47"/>
        <v>55.370985603543744</v>
      </c>
      <c r="O127" s="3">
        <f t="shared" si="47"/>
        <v>578.31918297034576</v>
      </c>
      <c r="P127" s="3">
        <f t="shared" si="47"/>
        <v>35466.961978589883</v>
      </c>
      <c r="Q127" s="3">
        <f t="shared" si="47"/>
        <v>0</v>
      </c>
      <c r="R127" s="3">
        <f t="shared" si="47"/>
        <v>43.066322136089582</v>
      </c>
      <c r="S127" s="3">
        <f t="shared" si="47"/>
        <v>913.00602928509909</v>
      </c>
      <c r="T127" s="3">
        <f t="shared" si="47"/>
        <v>932.69349083302575</v>
      </c>
      <c r="U127" s="3">
        <f t="shared" si="47"/>
        <v>0</v>
      </c>
      <c r="V127" s="3">
        <f t="shared" si="47"/>
        <v>0</v>
      </c>
    </row>
    <row r="128" spans="1:22" x14ac:dyDescent="0.25">
      <c r="A128" s="3">
        <f t="shared" ref="A128:B128" si="55">A53</f>
        <v>2006</v>
      </c>
      <c r="B128" s="3" t="str">
        <f t="shared" si="55"/>
        <v>Budget Authority</v>
      </c>
      <c r="C128" s="3" t="s">
        <v>90</v>
      </c>
      <c r="D128" s="3">
        <f t="shared" si="2"/>
        <v>156863.30592301275</v>
      </c>
      <c r="E128" s="3">
        <f t="shared" si="47"/>
        <v>93000.834227148138</v>
      </c>
      <c r="F128" s="3">
        <f t="shared" si="47"/>
        <v>303.89703253485879</v>
      </c>
      <c r="G128" s="3">
        <f t="shared" si="47"/>
        <v>7974.0197831009418</v>
      </c>
      <c r="H128" s="3">
        <f t="shared" si="47"/>
        <v>9777.1421761411038</v>
      </c>
      <c r="I128" s="3">
        <f t="shared" si="47"/>
        <v>1424.1449171731617</v>
      </c>
      <c r="J128" s="3">
        <f t="shared" si="47"/>
        <v>2526.5165057800027</v>
      </c>
      <c r="K128" s="3">
        <f t="shared" si="47"/>
        <v>2227.3864855202005</v>
      </c>
      <c r="L128" s="3">
        <f t="shared" si="47"/>
        <v>464.78369681801934</v>
      </c>
      <c r="M128" s="3">
        <f t="shared" si="47"/>
        <v>2039.0895006554642</v>
      </c>
      <c r="N128" s="3">
        <f t="shared" si="47"/>
        <v>65.546418782028368</v>
      </c>
      <c r="O128" s="3">
        <f t="shared" si="47"/>
        <v>589.9177690382553</v>
      </c>
      <c r="P128" s="3">
        <f t="shared" si="47"/>
        <v>34318.913121201287</v>
      </c>
      <c r="Q128" s="3">
        <f t="shared" si="47"/>
        <v>0</v>
      </c>
      <c r="R128" s="3">
        <f t="shared" si="47"/>
        <v>32.177332856632106</v>
      </c>
      <c r="S128" s="3">
        <f t="shared" si="47"/>
        <v>916.45810987963296</v>
      </c>
      <c r="T128" s="3">
        <f t="shared" si="47"/>
        <v>1201.2870933142653</v>
      </c>
      <c r="U128" s="3">
        <f t="shared" si="47"/>
        <v>0</v>
      </c>
      <c r="V128" s="3">
        <f t="shared" si="47"/>
        <v>0</v>
      </c>
    </row>
    <row r="129" spans="1:22" x14ac:dyDescent="0.25">
      <c r="A129" s="3">
        <f t="shared" ref="A129:B129" si="56">A54</f>
        <v>2007</v>
      </c>
      <c r="B129" s="3" t="str">
        <f t="shared" si="56"/>
        <v>Budget Authority</v>
      </c>
      <c r="C129" s="3" t="s">
        <v>90</v>
      </c>
      <c r="D129" s="3">
        <f t="shared" si="2"/>
        <v>160156.57620041753</v>
      </c>
      <c r="E129" s="3">
        <f t="shared" si="47"/>
        <v>95421.016005567159</v>
      </c>
      <c r="F129" s="3">
        <f t="shared" si="47"/>
        <v>285.31663187195545</v>
      </c>
      <c r="G129" s="3">
        <f t="shared" si="47"/>
        <v>9057.0633263743912</v>
      </c>
      <c r="H129" s="3">
        <f t="shared" si="47"/>
        <v>10466.249130132221</v>
      </c>
      <c r="I129" s="3">
        <f t="shared" si="47"/>
        <v>2195.5462769659011</v>
      </c>
      <c r="J129" s="3">
        <f t="shared" si="47"/>
        <v>2245.4186963581537</v>
      </c>
      <c r="K129" s="3">
        <f t="shared" si="47"/>
        <v>2153.7926235212249</v>
      </c>
      <c r="L129" s="3">
        <f t="shared" si="47"/>
        <v>496.40454650893065</v>
      </c>
      <c r="M129" s="3">
        <f t="shared" si="47"/>
        <v>1578.5200649501276</v>
      </c>
      <c r="N129" s="3">
        <f t="shared" si="47"/>
        <v>56.831361633031783</v>
      </c>
      <c r="O129" s="3">
        <f t="shared" si="47"/>
        <v>621.66550684295987</v>
      </c>
      <c r="P129" s="3">
        <f t="shared" si="47"/>
        <v>34169.56622593366</v>
      </c>
      <c r="Q129" s="3">
        <f t="shared" si="47"/>
        <v>0</v>
      </c>
      <c r="R129" s="3">
        <f t="shared" si="47"/>
        <v>31.315240083507309</v>
      </c>
      <c r="S129" s="3">
        <f t="shared" si="47"/>
        <v>949.89561586638831</v>
      </c>
      <c r="T129" s="3">
        <f t="shared" si="47"/>
        <v>427.97494780793323</v>
      </c>
      <c r="U129" s="3">
        <f t="shared" si="47"/>
        <v>0</v>
      </c>
      <c r="V129" s="3">
        <f t="shared" si="47"/>
        <v>0</v>
      </c>
    </row>
    <row r="130" spans="1:22" x14ac:dyDescent="0.25">
      <c r="A130" s="3">
        <f t="shared" ref="A130:B130" si="57">A55</f>
        <v>2008</v>
      </c>
      <c r="B130" s="3" t="str">
        <f t="shared" si="57"/>
        <v>Budget Authority</v>
      </c>
      <c r="C130" s="3" t="s">
        <v>90</v>
      </c>
      <c r="D130" s="3">
        <f t="shared" si="2"/>
        <v>159201.22713328031</v>
      </c>
      <c r="E130" s="3">
        <f t="shared" si="47"/>
        <v>96253.834791500965</v>
      </c>
      <c r="F130" s="3">
        <f t="shared" si="47"/>
        <v>289.73980229519373</v>
      </c>
      <c r="G130" s="3">
        <f t="shared" si="47"/>
        <v>9355.7550278377457</v>
      </c>
      <c r="H130" s="3">
        <f t="shared" si="47"/>
        <v>9456.8799000113631</v>
      </c>
      <c r="I130" s="3">
        <f t="shared" si="47"/>
        <v>2154.3006476536757</v>
      </c>
      <c r="J130" s="3">
        <f t="shared" si="47"/>
        <v>2392.9098966026586</v>
      </c>
      <c r="K130" s="3">
        <f t="shared" si="47"/>
        <v>2117.9411430519258</v>
      </c>
      <c r="L130" s="3">
        <f t="shared" si="47"/>
        <v>511.30553346210661</v>
      </c>
      <c r="M130" s="3">
        <f t="shared" si="47"/>
        <v>1583.9109192137257</v>
      </c>
      <c r="N130" s="3">
        <f t="shared" si="47"/>
        <v>56.811725940234062</v>
      </c>
      <c r="O130" s="3">
        <f t="shared" si="47"/>
        <v>564.70855584592664</v>
      </c>
      <c r="P130" s="3">
        <f t="shared" si="47"/>
        <v>33022.383820020455</v>
      </c>
      <c r="Q130" s="3">
        <f t="shared" si="47"/>
        <v>0</v>
      </c>
      <c r="R130" s="3">
        <f t="shared" si="47"/>
        <v>30.678332007726397</v>
      </c>
      <c r="S130" s="3">
        <f t="shared" si="47"/>
        <v>1006.7037836609476</v>
      </c>
      <c r="T130" s="3">
        <f t="shared" si="47"/>
        <v>403.36325417566184</v>
      </c>
      <c r="U130" s="3">
        <f t="shared" si="47"/>
        <v>0</v>
      </c>
      <c r="V130" s="3">
        <f t="shared" si="47"/>
        <v>0</v>
      </c>
    </row>
    <row r="131" spans="1:22" x14ac:dyDescent="0.25">
      <c r="A131" s="3">
        <f>A56</f>
        <v>2009</v>
      </c>
      <c r="B131" s="3" t="str">
        <f>B56</f>
        <v>Budget Authority</v>
      </c>
      <c r="C131" s="3" t="s">
        <v>90</v>
      </c>
      <c r="D131" s="3">
        <f t="shared" si="2"/>
        <v>175468.45124282982</v>
      </c>
      <c r="E131" s="3">
        <f t="shared" si="47"/>
        <v>95789.000112473281</v>
      </c>
      <c r="F131" s="3">
        <f t="shared" si="47"/>
        <v>286.80688336520075</v>
      </c>
      <c r="G131" s="3">
        <f t="shared" si="47"/>
        <v>13316.837251152851</v>
      </c>
      <c r="H131" s="3">
        <f t="shared" si="47"/>
        <v>7750.5342481160724</v>
      </c>
      <c r="I131" s="3">
        <f t="shared" si="47"/>
        <v>3731.8636823754359</v>
      </c>
      <c r="J131" s="3">
        <f t="shared" si="47"/>
        <v>2525.0253064897088</v>
      </c>
      <c r="K131" s="3">
        <f t="shared" si="47"/>
        <v>2176.3581149477</v>
      </c>
      <c r="L131" s="3">
        <f t="shared" si="47"/>
        <v>695.08491733213361</v>
      </c>
      <c r="M131" s="3">
        <f t="shared" si="47"/>
        <v>1619.6153413564277</v>
      </c>
      <c r="N131" s="3">
        <f t="shared" si="47"/>
        <v>69.733438308401759</v>
      </c>
      <c r="O131" s="3">
        <f t="shared" si="47"/>
        <v>538.74704757620066</v>
      </c>
      <c r="P131" s="3">
        <f t="shared" si="47"/>
        <v>45426.836126419978</v>
      </c>
      <c r="Q131" s="3">
        <f t="shared" si="47"/>
        <v>33.741986278258914</v>
      </c>
      <c r="R131" s="3">
        <f t="shared" si="47"/>
        <v>70.858171184343718</v>
      </c>
      <c r="S131" s="3">
        <f t="shared" si="47"/>
        <v>1060.6231020132718</v>
      </c>
      <c r="T131" s="3">
        <f t="shared" si="47"/>
        <v>376.78551344055785</v>
      </c>
      <c r="U131" s="3">
        <f t="shared" si="47"/>
        <v>0</v>
      </c>
      <c r="V131" s="3">
        <f t="shared" si="47"/>
        <v>0</v>
      </c>
    </row>
    <row r="132" spans="1:22" x14ac:dyDescent="0.25">
      <c r="A132" s="3">
        <f t="shared" ref="A132:B132" si="58">A57</f>
        <v>2010</v>
      </c>
      <c r="B132" s="3" t="str">
        <f t="shared" si="58"/>
        <v>Budget Authority</v>
      </c>
      <c r="C132" s="3" t="s">
        <v>90</v>
      </c>
      <c r="D132" s="3">
        <f t="shared" si="2"/>
        <v>163465.65566458518</v>
      </c>
      <c r="E132" s="3">
        <f t="shared" si="47"/>
        <v>96473.015165031218</v>
      </c>
      <c r="F132" s="3">
        <f t="shared" si="47"/>
        <v>216.32471008028546</v>
      </c>
      <c r="G132" s="3">
        <f t="shared" si="47"/>
        <v>10347.903657448705</v>
      </c>
      <c r="H132" s="3">
        <f t="shared" si="47"/>
        <v>9179.304192685102</v>
      </c>
      <c r="I132" s="3">
        <f t="shared" si="47"/>
        <v>2737.5111507582515</v>
      </c>
      <c r="J132" s="3">
        <f t="shared" si="47"/>
        <v>2494.4246208742193</v>
      </c>
      <c r="K132" s="3">
        <f t="shared" si="47"/>
        <v>2278.0999107939338</v>
      </c>
      <c r="L132" s="3">
        <f t="shared" si="47"/>
        <v>613.29170383586086</v>
      </c>
      <c r="M132" s="3">
        <f t="shared" si="47"/>
        <v>1668.1534344335414</v>
      </c>
      <c r="N132" s="3">
        <f t="shared" si="47"/>
        <v>121.54326494201605</v>
      </c>
      <c r="O132" s="3">
        <f t="shared" si="47"/>
        <v>596.56556645851913</v>
      </c>
      <c r="P132" s="3">
        <f t="shared" si="47"/>
        <v>35111.507582515609</v>
      </c>
      <c r="Q132" s="3">
        <f t="shared" si="47"/>
        <v>40.142729705619978</v>
      </c>
      <c r="R132" s="3">
        <f t="shared" si="47"/>
        <v>85.860838537020513</v>
      </c>
      <c r="S132" s="3">
        <f t="shared" si="47"/>
        <v>1152.9884032114182</v>
      </c>
      <c r="T132" s="3">
        <f t="shared" si="47"/>
        <v>349.01873327386261</v>
      </c>
      <c r="U132" s="3">
        <f t="shared" si="47"/>
        <v>0</v>
      </c>
      <c r="V132" s="3">
        <f t="shared" si="47"/>
        <v>0</v>
      </c>
    </row>
    <row r="133" spans="1:22" x14ac:dyDescent="0.25">
      <c r="A133" s="3">
        <f t="shared" ref="A133:B133" si="59">A58</f>
        <v>2011</v>
      </c>
      <c r="B133" s="3" t="str">
        <f t="shared" si="59"/>
        <v>Budget Authority</v>
      </c>
      <c r="C133" s="3" t="s">
        <v>90</v>
      </c>
      <c r="D133" s="3">
        <f t="shared" si="2"/>
        <v>155724.74857892437</v>
      </c>
      <c r="E133" s="3">
        <f t="shared" si="47"/>
        <v>90699.606471359861</v>
      </c>
      <c r="F133" s="3">
        <f t="shared" si="47"/>
        <v>214.25448185395717</v>
      </c>
      <c r="G133" s="3">
        <f t="shared" si="47"/>
        <v>10366.200262352428</v>
      </c>
      <c r="H133" s="3">
        <f t="shared" si="47"/>
        <v>9180.1486663751639</v>
      </c>
      <c r="I133" s="3">
        <f t="shared" si="47"/>
        <v>2440.9707039790119</v>
      </c>
      <c r="J133" s="3">
        <f t="shared" si="47"/>
        <v>2373.1963270660253</v>
      </c>
      <c r="K133" s="3">
        <f t="shared" si="47"/>
        <v>2094.4468736335812</v>
      </c>
      <c r="L133" s="3">
        <f t="shared" si="47"/>
        <v>599.03804110188025</v>
      </c>
      <c r="M133" s="3">
        <f t="shared" si="47"/>
        <v>1552.2518583296896</v>
      </c>
      <c r="N133" s="3">
        <f t="shared" si="47"/>
        <v>90.730214254481865</v>
      </c>
      <c r="O133" s="3">
        <f t="shared" si="47"/>
        <v>631.83209444687373</v>
      </c>
      <c r="P133" s="3">
        <f t="shared" si="47"/>
        <v>33781.154350677745</v>
      </c>
      <c r="Q133" s="3">
        <f t="shared" si="47"/>
        <v>196.76432006996066</v>
      </c>
      <c r="R133" s="3">
        <f t="shared" si="47"/>
        <v>74.333187581985143</v>
      </c>
      <c r="S133" s="3">
        <f t="shared" si="47"/>
        <v>1268.0367293397464</v>
      </c>
      <c r="T133" s="3">
        <f t="shared" si="47"/>
        <v>188.01923917796242</v>
      </c>
      <c r="U133" s="3">
        <f t="shared" si="47"/>
        <v>0</v>
      </c>
      <c r="V133" s="3">
        <f t="shared" si="47"/>
        <v>0</v>
      </c>
    </row>
    <row r="134" spans="1:22" x14ac:dyDescent="0.25">
      <c r="A134" s="3">
        <f t="shared" ref="A134:B134" si="60">A59</f>
        <v>2012</v>
      </c>
      <c r="B134" s="3" t="str">
        <f t="shared" si="60"/>
        <v>Budget Authority</v>
      </c>
      <c r="C134" s="3" t="s">
        <v>90</v>
      </c>
      <c r="D134" s="3">
        <f t="shared" si="2"/>
        <v>151868.15546489155</v>
      </c>
      <c r="E134" s="3">
        <f t="shared" si="47"/>
        <v>85418.724500751559</v>
      </c>
      <c r="F134" s="3">
        <f t="shared" si="47"/>
        <v>288.81254026197121</v>
      </c>
      <c r="G134" s="3">
        <f t="shared" si="47"/>
        <v>9989.263474339703</v>
      </c>
      <c r="H134" s="3">
        <f t="shared" si="47"/>
        <v>11446.210006441916</v>
      </c>
      <c r="I134" s="3">
        <f t="shared" si="47"/>
        <v>2358.8146875671032</v>
      </c>
      <c r="J134" s="3">
        <f t="shared" si="47"/>
        <v>2305.1320592656216</v>
      </c>
      <c r="K134" s="3">
        <f t="shared" si="47"/>
        <v>2061.4129267768949</v>
      </c>
      <c r="L134" s="3">
        <f t="shared" si="47"/>
        <v>651.70710757998711</v>
      </c>
      <c r="M134" s="3">
        <f t="shared" si="47"/>
        <v>1595.4477131200345</v>
      </c>
      <c r="N134" s="3">
        <f t="shared" ref="E134:V148" si="61">N59/$X59</f>
        <v>62.271848829718699</v>
      </c>
      <c r="O134" s="3">
        <f t="shared" si="61"/>
        <v>640.97058191969074</v>
      </c>
      <c r="P134" s="3">
        <f t="shared" si="61"/>
        <v>33544.127120463818</v>
      </c>
      <c r="Q134" s="3">
        <f t="shared" si="61"/>
        <v>85.892205282370625</v>
      </c>
      <c r="R134" s="3">
        <f t="shared" si="61"/>
        <v>19.32574618853339</v>
      </c>
      <c r="S134" s="3">
        <f t="shared" si="61"/>
        <v>1245.4369765943741</v>
      </c>
      <c r="T134" s="3">
        <f t="shared" si="61"/>
        <v>153.53231694223749</v>
      </c>
      <c r="U134" s="3">
        <f t="shared" si="61"/>
        <v>1.0736525660296328</v>
      </c>
      <c r="V134" s="3">
        <f t="shared" si="61"/>
        <v>0</v>
      </c>
    </row>
    <row r="135" spans="1:22" x14ac:dyDescent="0.25">
      <c r="A135" s="3">
        <f t="shared" ref="A135:B135" si="62">A60</f>
        <v>2013</v>
      </c>
      <c r="B135" s="3" t="str">
        <f t="shared" si="62"/>
        <v>Budget Authority</v>
      </c>
      <c r="C135" s="3" t="s">
        <v>90</v>
      </c>
      <c r="D135" s="3">
        <f t="shared" si="2"/>
        <v>137995.36011810607</v>
      </c>
      <c r="E135" s="3">
        <f t="shared" si="61"/>
        <v>74470.104397342613</v>
      </c>
      <c r="F135" s="3">
        <f t="shared" si="61"/>
        <v>369.08151428872719</v>
      </c>
      <c r="G135" s="3">
        <f t="shared" si="61"/>
        <v>9281.8728250553613</v>
      </c>
      <c r="H135" s="3">
        <f t="shared" si="61"/>
        <v>11047.136981967731</v>
      </c>
      <c r="I135" s="3">
        <f t="shared" si="61"/>
        <v>2392.7027312032055</v>
      </c>
      <c r="J135" s="3">
        <f t="shared" si="61"/>
        <v>2130.1275967520828</v>
      </c>
      <c r="K135" s="3">
        <f t="shared" si="61"/>
        <v>1848.5711272803965</v>
      </c>
      <c r="L135" s="3">
        <f t="shared" si="61"/>
        <v>758.19888221027099</v>
      </c>
      <c r="M135" s="3">
        <f t="shared" si="61"/>
        <v>1409.8913845829379</v>
      </c>
      <c r="N135" s="3">
        <f t="shared" si="61"/>
        <v>56.944005061689339</v>
      </c>
      <c r="O135" s="3">
        <f t="shared" si="61"/>
        <v>565.22197616787935</v>
      </c>
      <c r="P135" s="3">
        <f t="shared" si="61"/>
        <v>31681.957186544343</v>
      </c>
      <c r="Q135" s="3">
        <f t="shared" si="61"/>
        <v>75.925340082252447</v>
      </c>
      <c r="R135" s="3">
        <f t="shared" si="61"/>
        <v>27.417483918591163</v>
      </c>
      <c r="S135" s="3">
        <f t="shared" si="61"/>
        <v>1227.4596646630812</v>
      </c>
      <c r="T135" s="3">
        <f t="shared" si="61"/>
        <v>651.69250237266681</v>
      </c>
      <c r="U135" s="3">
        <f t="shared" si="61"/>
        <v>0</v>
      </c>
      <c r="V135" s="3">
        <f t="shared" si="61"/>
        <v>0</v>
      </c>
    </row>
    <row r="136" spans="1:22" x14ac:dyDescent="0.25">
      <c r="A136" s="3">
        <f t="shared" ref="A136:B136" si="63">A61</f>
        <v>2014</v>
      </c>
      <c r="B136" s="3" t="str">
        <f t="shared" si="63"/>
        <v>Budget Authority</v>
      </c>
      <c r="C136" s="3" t="s">
        <v>90</v>
      </c>
      <c r="D136" s="3">
        <f t="shared" si="2"/>
        <v>138304.6810273405</v>
      </c>
      <c r="E136" s="3">
        <f t="shared" si="61"/>
        <v>73126.553438276722</v>
      </c>
      <c r="F136" s="3">
        <f t="shared" si="61"/>
        <v>424.60646230323113</v>
      </c>
      <c r="G136" s="3">
        <f t="shared" si="61"/>
        <v>9819.8011599005804</v>
      </c>
      <c r="H136" s="3">
        <f t="shared" si="61"/>
        <v>11448.840099420049</v>
      </c>
      <c r="I136" s="3">
        <f t="shared" si="61"/>
        <v>2472.0381110190556</v>
      </c>
      <c r="J136" s="3">
        <f t="shared" si="61"/>
        <v>2249.3786246893123</v>
      </c>
      <c r="K136" s="3">
        <f t="shared" si="61"/>
        <v>2037.0753935376968</v>
      </c>
      <c r="L136" s="3">
        <f t="shared" si="61"/>
        <v>908.24357912178959</v>
      </c>
      <c r="M136" s="3">
        <f t="shared" si="61"/>
        <v>1305.9237779618891</v>
      </c>
      <c r="N136" s="3">
        <f t="shared" si="61"/>
        <v>68.351284175642093</v>
      </c>
      <c r="O136" s="3">
        <f t="shared" si="61"/>
        <v>533.34714167357083</v>
      </c>
      <c r="P136" s="3">
        <f t="shared" si="61"/>
        <v>32028.790389395195</v>
      </c>
      <c r="Q136" s="3">
        <f t="shared" si="61"/>
        <v>25.890637945318971</v>
      </c>
      <c r="R136" s="3">
        <f t="shared" si="61"/>
        <v>60.066280033140018</v>
      </c>
      <c r="S136" s="3">
        <f t="shared" si="61"/>
        <v>1140.2236951118475</v>
      </c>
      <c r="T136" s="3">
        <f t="shared" si="61"/>
        <v>656.58657829328911</v>
      </c>
      <c r="U136" s="3">
        <f t="shared" si="61"/>
        <v>0</v>
      </c>
      <c r="V136" s="3">
        <f t="shared" si="61"/>
        <v>0</v>
      </c>
    </row>
    <row r="137" spans="1:22" x14ac:dyDescent="0.25">
      <c r="A137" s="3">
        <f t="shared" ref="A137:B137" si="64">A62</f>
        <v>2015</v>
      </c>
      <c r="B137" s="3" t="str">
        <f t="shared" si="64"/>
        <v>Budget Authority</v>
      </c>
      <c r="C137" s="3" t="s">
        <v>90</v>
      </c>
      <c r="D137" s="3">
        <f t="shared" si="2"/>
        <v>139493.64493644936</v>
      </c>
      <c r="E137" s="3">
        <f t="shared" si="61"/>
        <v>74374.743747437475</v>
      </c>
      <c r="F137" s="3">
        <f t="shared" si="61"/>
        <v>297.2529725297253</v>
      </c>
      <c r="G137" s="3">
        <f t="shared" si="61"/>
        <v>10319.803198031979</v>
      </c>
      <c r="H137" s="3">
        <f t="shared" si="61"/>
        <v>11146.986469864698</v>
      </c>
      <c r="I137" s="3">
        <f t="shared" si="61"/>
        <v>3231.8573185731857</v>
      </c>
      <c r="J137" s="3">
        <f t="shared" si="61"/>
        <v>2215.0471504715047</v>
      </c>
      <c r="K137" s="3">
        <f t="shared" si="61"/>
        <v>2038.7453874538744</v>
      </c>
      <c r="L137" s="3">
        <f t="shared" si="61"/>
        <v>829.23329233292327</v>
      </c>
      <c r="M137" s="3">
        <f t="shared" si="61"/>
        <v>1397.0889708897089</v>
      </c>
      <c r="N137" s="3">
        <f t="shared" si="61"/>
        <v>56.375563755637558</v>
      </c>
      <c r="O137" s="3">
        <f t="shared" si="61"/>
        <v>503.280032800328</v>
      </c>
      <c r="P137" s="3">
        <f t="shared" si="61"/>
        <v>31089.585895858956</v>
      </c>
      <c r="Q137" s="3">
        <f t="shared" si="61"/>
        <v>72.775727757277565</v>
      </c>
      <c r="R137" s="3">
        <f t="shared" si="61"/>
        <v>56.375563755637558</v>
      </c>
      <c r="S137" s="3">
        <f t="shared" si="61"/>
        <v>1207.4620746207461</v>
      </c>
      <c r="T137" s="3">
        <f t="shared" si="61"/>
        <v>654.98154981549817</v>
      </c>
      <c r="U137" s="3">
        <f t="shared" si="61"/>
        <v>0</v>
      </c>
      <c r="V137" s="3">
        <f t="shared" si="61"/>
        <v>0</v>
      </c>
    </row>
    <row r="138" spans="1:22" x14ac:dyDescent="0.25">
      <c r="A138" s="3">
        <f t="shared" ref="A138:B138" si="65">A63</f>
        <v>2016</v>
      </c>
      <c r="B138" s="3" t="str">
        <f t="shared" si="65"/>
        <v>Budget Authority</v>
      </c>
      <c r="C138" s="3" t="s">
        <v>90</v>
      </c>
      <c r="D138" s="3">
        <f t="shared" si="2"/>
        <v>150308.11470408784</v>
      </c>
      <c r="E138" s="3">
        <f t="shared" si="61"/>
        <v>81175.513524506809</v>
      </c>
      <c r="F138" s="3">
        <f t="shared" si="61"/>
        <v>292.86150091519215</v>
      </c>
      <c r="G138" s="3">
        <f t="shared" si="61"/>
        <v>10211.511083994304</v>
      </c>
      <c r="H138" s="3">
        <f t="shared" si="61"/>
        <v>13004.881025015253</v>
      </c>
      <c r="I138" s="3">
        <f t="shared" si="61"/>
        <v>3531.6249745779946</v>
      </c>
      <c r="J138" s="3">
        <f t="shared" si="61"/>
        <v>2332.7232052064264</v>
      </c>
      <c r="K138" s="3">
        <f t="shared" si="61"/>
        <v>2064.2668293675006</v>
      </c>
      <c r="L138" s="3">
        <f t="shared" si="61"/>
        <v>901.97274761033145</v>
      </c>
      <c r="M138" s="3">
        <f t="shared" si="61"/>
        <v>1348.3831604636973</v>
      </c>
      <c r="N138" s="3">
        <f t="shared" si="61"/>
        <v>66.097213748220454</v>
      </c>
      <c r="O138" s="3">
        <f t="shared" si="61"/>
        <v>482.00122025625376</v>
      </c>
      <c r="P138" s="3">
        <f t="shared" si="61"/>
        <v>32911.328045556234</v>
      </c>
      <c r="Q138" s="3">
        <f t="shared" si="61"/>
        <v>21.354484441732762</v>
      </c>
      <c r="R138" s="3">
        <f t="shared" si="61"/>
        <v>106.77242220866381</v>
      </c>
      <c r="S138" s="3">
        <f t="shared" si="61"/>
        <v>1242.6276184665446</v>
      </c>
      <c r="T138" s="3">
        <f t="shared" si="61"/>
        <v>615.21252796420583</v>
      </c>
      <c r="U138" s="3">
        <f t="shared" si="61"/>
        <v>0</v>
      </c>
      <c r="V138" s="3">
        <f t="shared" si="61"/>
        <v>0</v>
      </c>
    </row>
    <row r="139" spans="1:22" x14ac:dyDescent="0.25">
      <c r="A139" s="3">
        <f t="shared" ref="A139:B139" si="66">A64</f>
        <v>2017</v>
      </c>
      <c r="B139" s="3" t="str">
        <f t="shared" si="66"/>
        <v>Budget Authority</v>
      </c>
      <c r="C139" s="3" t="s">
        <v>90</v>
      </c>
      <c r="D139" s="3">
        <f t="shared" si="2"/>
        <v>124710</v>
      </c>
      <c r="E139" s="3">
        <f t="shared" si="61"/>
        <v>57055</v>
      </c>
      <c r="F139" s="3">
        <f t="shared" si="61"/>
        <v>289</v>
      </c>
      <c r="G139" s="3">
        <f t="shared" si="61"/>
        <v>9947</v>
      </c>
      <c r="H139" s="3">
        <f t="shared" si="61"/>
        <v>10134</v>
      </c>
      <c r="I139" s="3">
        <f t="shared" si="61"/>
        <v>3519</v>
      </c>
      <c r="J139" s="3">
        <f t="shared" si="61"/>
        <v>2378</v>
      </c>
      <c r="K139" s="3">
        <f t="shared" si="61"/>
        <v>2090</v>
      </c>
      <c r="L139" s="3">
        <f t="shared" si="61"/>
        <v>901</v>
      </c>
      <c r="M139" s="3">
        <f t="shared" si="61"/>
        <v>1444</v>
      </c>
      <c r="N139" s="3">
        <f t="shared" si="61"/>
        <v>71</v>
      </c>
      <c r="O139" s="3">
        <f t="shared" si="61"/>
        <v>478</v>
      </c>
      <c r="P139" s="3">
        <f t="shared" si="61"/>
        <v>34255</v>
      </c>
      <c r="Q139" s="3">
        <f t="shared" si="61"/>
        <v>21</v>
      </c>
      <c r="R139" s="3">
        <f t="shared" si="61"/>
        <v>74</v>
      </c>
      <c r="S139" s="3">
        <f t="shared" si="61"/>
        <v>1346</v>
      </c>
      <c r="T139" s="3">
        <f t="shared" si="61"/>
        <v>707</v>
      </c>
      <c r="U139" s="3">
        <f t="shared" si="61"/>
        <v>0</v>
      </c>
      <c r="V139" s="3">
        <f t="shared" si="61"/>
        <v>0</v>
      </c>
    </row>
    <row r="140" spans="1:22" x14ac:dyDescent="0.25">
      <c r="A140" s="3">
        <f t="shared" ref="A140:B140" si="67">A65</f>
        <v>2018</v>
      </c>
      <c r="B140" s="3" t="str">
        <f t="shared" si="67"/>
        <v>Budget Authority</v>
      </c>
      <c r="C140" s="3" t="s">
        <v>90</v>
      </c>
      <c r="D140" s="3">
        <f t="shared" si="2"/>
        <v>137645.27489728038</v>
      </c>
      <c r="E140" s="3">
        <f t="shared" si="61"/>
        <v>66841.126981021327</v>
      </c>
      <c r="F140" s="3">
        <f t="shared" si="61"/>
        <v>232.83114850322832</v>
      </c>
      <c r="G140" s="3">
        <f t="shared" si="61"/>
        <v>10459.792604187047</v>
      </c>
      <c r="H140" s="3">
        <f t="shared" si="61"/>
        <v>10227.939737820387</v>
      </c>
      <c r="I140" s="3">
        <f t="shared" si="61"/>
        <v>4120.5243592252009</v>
      </c>
      <c r="J140" s="3">
        <f t="shared" si="61"/>
        <v>2331.2463314419879</v>
      </c>
      <c r="K140" s="3">
        <f t="shared" si="61"/>
        <v>2028.9571512424184</v>
      </c>
      <c r="L140" s="3">
        <f t="shared" si="61"/>
        <v>821.75699471727648</v>
      </c>
      <c r="M140" s="3">
        <f t="shared" si="61"/>
        <v>1517.315593817257</v>
      </c>
      <c r="N140" s="3">
        <f t="shared" si="61"/>
        <v>140.87262766581881</v>
      </c>
      <c r="O140" s="3">
        <f t="shared" si="61"/>
        <v>522.40266092741149</v>
      </c>
      <c r="P140" s="3">
        <f t="shared" si="61"/>
        <v>36344.159655644689</v>
      </c>
      <c r="Q140" s="3">
        <f t="shared" si="61"/>
        <v>19.565642731363724</v>
      </c>
      <c r="R140" s="3">
        <f t="shared" si="61"/>
        <v>103.69790647622774</v>
      </c>
      <c r="S140" s="3">
        <f t="shared" si="61"/>
        <v>1258.0708276266876</v>
      </c>
      <c r="T140" s="3">
        <f t="shared" si="61"/>
        <v>675.01467423204849</v>
      </c>
      <c r="U140" s="3">
        <f t="shared" si="61"/>
        <v>0</v>
      </c>
      <c r="V140" s="3">
        <f t="shared" si="61"/>
        <v>0</v>
      </c>
    </row>
    <row r="141" spans="1:22" x14ac:dyDescent="0.25">
      <c r="A141" s="3">
        <f t="shared" ref="A141:B141" si="68">A66</f>
        <v>2019</v>
      </c>
      <c r="B141" s="3" t="str">
        <f t="shared" si="68"/>
        <v>Budget Authority</v>
      </c>
      <c r="C141" s="3" t="s">
        <v>90</v>
      </c>
      <c r="D141" s="3">
        <f t="shared" si="2"/>
        <v>139866.48736912882</v>
      </c>
      <c r="E141" s="3">
        <f t="shared" si="61"/>
        <v>68577.466141581026</v>
      </c>
      <c r="F141" s="3">
        <f t="shared" si="61"/>
        <v>225.72279319950056</v>
      </c>
      <c r="G141" s="3">
        <f t="shared" si="61"/>
        <v>10528.287388339257</v>
      </c>
      <c r="H141" s="3">
        <f t="shared" si="61"/>
        <v>9620.5936029199893</v>
      </c>
      <c r="I141" s="3">
        <f t="shared" si="61"/>
        <v>4257.9963500144086</v>
      </c>
      <c r="J141" s="3">
        <f t="shared" si="61"/>
        <v>2387.8589952934399</v>
      </c>
      <c r="K141" s="3">
        <f t="shared" si="61"/>
        <v>2117.9521659782922</v>
      </c>
      <c r="L141" s="3">
        <f t="shared" si="61"/>
        <v>752.08913649025078</v>
      </c>
      <c r="M141" s="3">
        <f t="shared" si="61"/>
        <v>1519.5466333685526</v>
      </c>
      <c r="N141" s="3">
        <f t="shared" si="61"/>
        <v>158.48621650177697</v>
      </c>
      <c r="O141" s="3">
        <f t="shared" si="61"/>
        <v>496.5901450389012</v>
      </c>
      <c r="P141" s="3">
        <f t="shared" si="61"/>
        <v>37225.050427432529</v>
      </c>
      <c r="Q141" s="3">
        <f t="shared" si="61"/>
        <v>19.210450485063877</v>
      </c>
      <c r="R141" s="3">
        <f t="shared" si="61"/>
        <v>97.973297473825767</v>
      </c>
      <c r="S141" s="3">
        <f t="shared" si="61"/>
        <v>1315.9158582268756</v>
      </c>
      <c r="T141" s="3">
        <f t="shared" si="61"/>
        <v>566.70828930938433</v>
      </c>
      <c r="U141" s="3">
        <f t="shared" si="61"/>
        <v>0</v>
      </c>
      <c r="V141" s="3">
        <f t="shared" si="61"/>
        <v>0</v>
      </c>
    </row>
    <row r="142" spans="1:22" x14ac:dyDescent="0.25">
      <c r="A142" s="3">
        <f t="shared" ref="A142:B142" si="69">A67</f>
        <v>2020</v>
      </c>
      <c r="B142" s="3" t="str">
        <f t="shared" si="69"/>
        <v>Budget Authority</v>
      </c>
      <c r="C142" s="3" t="s">
        <v>90</v>
      </c>
      <c r="D142" s="3">
        <f t="shared" ref="D142:S148" si="70">D67/$X67</f>
        <v>155375.9362851996</v>
      </c>
      <c r="E142" s="3">
        <f t="shared" si="70"/>
        <v>75271.641224992898</v>
      </c>
      <c r="F142" s="3">
        <f t="shared" si="70"/>
        <v>214.27894187920737</v>
      </c>
      <c r="G142" s="3">
        <f t="shared" si="70"/>
        <v>11017.35090547075</v>
      </c>
      <c r="H142" s="3">
        <f t="shared" si="70"/>
        <v>13423.722385512468</v>
      </c>
      <c r="I142" s="3">
        <f t="shared" si="70"/>
        <v>4163.2691760690241</v>
      </c>
      <c r="J142" s="3">
        <f t="shared" si="70"/>
        <v>2515.4072248032617</v>
      </c>
      <c r="K142" s="3">
        <f t="shared" si="70"/>
        <v>2211.0552763819096</v>
      </c>
      <c r="L142" s="3">
        <f t="shared" si="70"/>
        <v>813.50146961221208</v>
      </c>
      <c r="M142" s="3">
        <f t="shared" si="70"/>
        <v>1587.1811889636865</v>
      </c>
      <c r="N142" s="3">
        <f t="shared" si="70"/>
        <v>91.969280364084582</v>
      </c>
      <c r="O142" s="3">
        <f t="shared" si="70"/>
        <v>499.66815208116054</v>
      </c>
      <c r="P142" s="3">
        <f t="shared" si="70"/>
        <v>41657.343320375461</v>
      </c>
      <c r="Q142" s="3">
        <f t="shared" si="70"/>
        <v>18.962738219398883</v>
      </c>
      <c r="R142" s="3">
        <f t="shared" si="70"/>
        <v>100.50251256281408</v>
      </c>
      <c r="S142" s="3">
        <f t="shared" si="70"/>
        <v>1295.1550203849436</v>
      </c>
      <c r="T142" s="3">
        <f t="shared" si="61"/>
        <v>494.92746752631081</v>
      </c>
      <c r="U142" s="3">
        <f t="shared" si="61"/>
        <v>0</v>
      </c>
      <c r="V142" s="3">
        <f t="shared" si="61"/>
        <v>0</v>
      </c>
    </row>
    <row r="143" spans="1:22" x14ac:dyDescent="0.25">
      <c r="A143" s="3">
        <f t="shared" ref="A143:B143" si="71">A68</f>
        <v>2021</v>
      </c>
      <c r="B143" s="3" t="str">
        <f t="shared" si="71"/>
        <v>Budget Authority</v>
      </c>
      <c r="C143" s="3" t="s">
        <v>90</v>
      </c>
      <c r="D143" s="3">
        <f t="shared" si="70"/>
        <v>145325.38955087078</v>
      </c>
      <c r="E143" s="3">
        <f t="shared" si="61"/>
        <v>70778.185151237398</v>
      </c>
      <c r="F143" s="3">
        <f t="shared" si="61"/>
        <v>210.81576535288727</v>
      </c>
      <c r="G143" s="3">
        <f t="shared" si="61"/>
        <v>11107.24106324473</v>
      </c>
      <c r="H143" s="3">
        <f t="shared" si="61"/>
        <v>10551.787351054079</v>
      </c>
      <c r="I143" s="3">
        <f t="shared" si="61"/>
        <v>4015.582034830431</v>
      </c>
      <c r="J143" s="3">
        <f t="shared" si="61"/>
        <v>3111.8240146654448</v>
      </c>
      <c r="K143" s="3">
        <f t="shared" si="61"/>
        <v>2304.307974335472</v>
      </c>
      <c r="L143" s="3">
        <f t="shared" si="61"/>
        <v>867.09440879926672</v>
      </c>
      <c r="M143" s="3">
        <f t="shared" si="61"/>
        <v>1544.4546287809349</v>
      </c>
      <c r="N143" s="3">
        <f t="shared" si="61"/>
        <v>95.325389550870767</v>
      </c>
      <c r="O143" s="3">
        <f t="shared" si="61"/>
        <v>507.79101741521544</v>
      </c>
      <c r="P143" s="3">
        <f t="shared" si="61"/>
        <v>37467.461044912925</v>
      </c>
      <c r="Q143" s="3">
        <f t="shared" si="61"/>
        <v>18.331805682859763</v>
      </c>
      <c r="R143" s="3">
        <f t="shared" si="61"/>
        <v>83.409715857011918</v>
      </c>
      <c r="S143" s="3">
        <f t="shared" si="61"/>
        <v>1316.2236480293309</v>
      </c>
      <c r="T143" s="3">
        <f t="shared" si="61"/>
        <v>435.38038496791933</v>
      </c>
      <c r="U143" s="3">
        <f t="shared" si="61"/>
        <v>0</v>
      </c>
      <c r="V143" s="3">
        <f t="shared" si="61"/>
        <v>0</v>
      </c>
    </row>
    <row r="144" spans="1:22" x14ac:dyDescent="0.25">
      <c r="A144" s="3">
        <f t="shared" ref="A144:B144" si="72">A69</f>
        <v>2022</v>
      </c>
      <c r="B144" s="3" t="str">
        <f t="shared" si="72"/>
        <v>Budget Authority</v>
      </c>
      <c r="C144" s="3" t="s">
        <v>90</v>
      </c>
      <c r="D144" s="3">
        <f t="shared" si="70"/>
        <v>154369.91347554183</v>
      </c>
      <c r="E144" s="3">
        <f t="shared" si="61"/>
        <v>71838.430566264025</v>
      </c>
      <c r="F144" s="3">
        <f t="shared" si="61"/>
        <v>148.20526000171336</v>
      </c>
      <c r="G144" s="3">
        <f t="shared" si="61"/>
        <v>11347.554184871069</v>
      </c>
      <c r="H144" s="3">
        <f t="shared" si="61"/>
        <v>12381.564293669151</v>
      </c>
      <c r="I144" s="3">
        <f t="shared" si="61"/>
        <v>5431.3372740512295</v>
      </c>
      <c r="J144" s="3">
        <f t="shared" si="61"/>
        <v>2439.8183843056627</v>
      </c>
      <c r="K144" s="3">
        <f t="shared" si="61"/>
        <v>2570.0334104343356</v>
      </c>
      <c r="L144" s="3">
        <f t="shared" si="61"/>
        <v>5119.5065535851963</v>
      </c>
      <c r="M144" s="3">
        <f t="shared" si="61"/>
        <v>1948.0853251092265</v>
      </c>
      <c r="N144" s="3">
        <f t="shared" si="61"/>
        <v>6.8534224278248947</v>
      </c>
      <c r="O144" s="3">
        <f t="shared" si="61"/>
        <v>581.68422856163795</v>
      </c>
      <c r="P144" s="3">
        <f t="shared" si="61"/>
        <v>38501.670521716784</v>
      </c>
      <c r="Q144" s="3">
        <f t="shared" si="61"/>
        <v>17.133556069562239</v>
      </c>
      <c r="R144" s="3">
        <f t="shared" si="61"/>
        <v>77.101002313030065</v>
      </c>
      <c r="S144" s="3">
        <f t="shared" si="61"/>
        <v>1360.4043519232416</v>
      </c>
      <c r="T144" s="3">
        <f t="shared" si="61"/>
        <v>600.53114023815647</v>
      </c>
      <c r="U144" s="3">
        <f t="shared" si="61"/>
        <v>0</v>
      </c>
      <c r="V144" s="3">
        <f t="shared" si="61"/>
        <v>0</v>
      </c>
    </row>
    <row r="145" spans="1:22" x14ac:dyDescent="0.25">
      <c r="A145" s="3">
        <f t="shared" ref="A145:B145" si="73">A70</f>
        <v>2023</v>
      </c>
      <c r="B145" s="3" t="str">
        <f t="shared" si="73"/>
        <v>Budget Authority</v>
      </c>
      <c r="C145" s="3" t="s">
        <v>90</v>
      </c>
      <c r="D145" s="3">
        <f t="shared" si="70"/>
        <v>158169.90251495046</v>
      </c>
      <c r="E145" s="3">
        <f t="shared" si="61"/>
        <v>82788.563938723688</v>
      </c>
      <c r="F145" s="3">
        <f t="shared" si="61"/>
        <v>145.81797329401164</v>
      </c>
      <c r="G145" s="3">
        <f t="shared" si="61"/>
        <v>11235.356762513313</v>
      </c>
      <c r="H145" s="3">
        <f t="shared" si="61"/>
        <v>8880.9699352830357</v>
      </c>
      <c r="I145" s="3">
        <f t="shared" si="61"/>
        <v>5195.3797001720332</v>
      </c>
      <c r="J145" s="3">
        <f t="shared" si="61"/>
        <v>2600.966658474646</v>
      </c>
      <c r="K145" s="3">
        <f t="shared" si="61"/>
        <v>2174.1623658556568</v>
      </c>
      <c r="L145" s="3">
        <f t="shared" si="61"/>
        <v>2754.1574506430738</v>
      </c>
      <c r="M145" s="3">
        <f t="shared" si="61"/>
        <v>1352.5026624068159</v>
      </c>
      <c r="N145" s="3">
        <f t="shared" si="61"/>
        <v>4.0960104857868442</v>
      </c>
      <c r="O145" s="3">
        <f t="shared" si="61"/>
        <v>431.71950520193337</v>
      </c>
      <c r="P145" s="3">
        <f t="shared" si="61"/>
        <v>38974.358974358976</v>
      </c>
      <c r="Q145" s="3">
        <f t="shared" si="61"/>
        <v>16.384041943147377</v>
      </c>
      <c r="R145" s="3">
        <f t="shared" si="61"/>
        <v>86.835422298681095</v>
      </c>
      <c r="S145" s="3">
        <f t="shared" si="61"/>
        <v>1119.0300647169659</v>
      </c>
      <c r="T145" s="3">
        <f t="shared" si="61"/>
        <v>409.60104857868441</v>
      </c>
      <c r="U145" s="3">
        <f t="shared" si="61"/>
        <v>0</v>
      </c>
      <c r="V145" s="3">
        <f t="shared" si="61"/>
        <v>0</v>
      </c>
    </row>
    <row r="146" spans="1:22" x14ac:dyDescent="0.25">
      <c r="A146" s="3">
        <f t="shared" ref="A146:B146" si="74">A71</f>
        <v>2024</v>
      </c>
      <c r="B146" s="3" t="str">
        <f t="shared" si="74"/>
        <v>Budget Authority</v>
      </c>
      <c r="C146" s="3" t="s">
        <v>90</v>
      </c>
      <c r="D146" s="3">
        <f t="shared" si="70"/>
        <v>159053.88287241681</v>
      </c>
      <c r="E146" s="3">
        <f t="shared" si="61"/>
        <v>84326.230750817835</v>
      </c>
      <c r="F146" s="3">
        <f t="shared" si="61"/>
        <v>201.06917737173859</v>
      </c>
      <c r="G146" s="3">
        <f t="shared" si="61"/>
        <v>12494.215271682757</v>
      </c>
      <c r="H146" s="3">
        <f t="shared" si="61"/>
        <v>8150.4827256044036</v>
      </c>
      <c r="I146" s="3">
        <f t="shared" si="61"/>
        <v>4899.066464533631</v>
      </c>
      <c r="J146" s="3">
        <f t="shared" si="61"/>
        <v>2590.3694247187427</v>
      </c>
      <c r="K146" s="3">
        <f t="shared" si="61"/>
        <v>2321.8702625069814</v>
      </c>
      <c r="L146" s="3">
        <f t="shared" si="61"/>
        <v>2105.6411074762627</v>
      </c>
      <c r="M146" s="3">
        <f t="shared" si="61"/>
        <v>1753.77004707572</v>
      </c>
      <c r="N146" s="3">
        <f t="shared" si="61"/>
        <v>3.9894678049948133</v>
      </c>
      <c r="O146" s="3">
        <f t="shared" si="61"/>
        <v>653.47482645815046</v>
      </c>
      <c r="P146" s="3">
        <f t="shared" si="61"/>
        <v>37665.089287481045</v>
      </c>
      <c r="Q146" s="3">
        <f t="shared" si="61"/>
        <v>0</v>
      </c>
      <c r="R146" s="3">
        <f t="shared" si="61"/>
        <v>75.79988829490145</v>
      </c>
      <c r="S146" s="3">
        <f t="shared" si="61"/>
        <v>1456.9536423841059</v>
      </c>
      <c r="T146" s="3">
        <f t="shared" si="61"/>
        <v>355.86052820553738</v>
      </c>
      <c r="U146" s="3">
        <f t="shared" si="61"/>
        <v>0</v>
      </c>
      <c r="V146" s="3" t="e">
        <f t="shared" si="61"/>
        <v>#VALUE!</v>
      </c>
    </row>
    <row r="147" spans="1:22" x14ac:dyDescent="0.25">
      <c r="A147" s="3">
        <f t="shared" ref="A147:B148" si="75">A72</f>
        <v>2025</v>
      </c>
      <c r="B147" s="3" t="str">
        <f t="shared" si="75"/>
        <v>Budget Authority</v>
      </c>
      <c r="C147" s="3" t="s">
        <v>90</v>
      </c>
      <c r="D147" s="3">
        <f t="shared" si="70"/>
        <v>147248.29638591985</v>
      </c>
      <c r="E147" s="3">
        <f t="shared" si="61"/>
        <v>75495.584009993763</v>
      </c>
      <c r="F147" s="3">
        <f t="shared" si="61"/>
        <v>171.76764522173642</v>
      </c>
      <c r="G147" s="3">
        <f t="shared" si="61"/>
        <v>11419.305583780477</v>
      </c>
      <c r="H147" s="3">
        <f t="shared" si="61"/>
        <v>8312.5994364510625</v>
      </c>
      <c r="I147" s="3">
        <f t="shared" si="61"/>
        <v>4687.4320410474575</v>
      </c>
      <c r="J147" s="3">
        <f t="shared" si="61"/>
        <v>2495.430199875078</v>
      </c>
      <c r="K147" s="3">
        <f t="shared" si="61"/>
        <v>2255.6214865708935</v>
      </c>
      <c r="L147" s="3">
        <f t="shared" si="61"/>
        <v>1797.3141786383512</v>
      </c>
      <c r="M147" s="3">
        <f t="shared" si="61"/>
        <v>1744.2223610243598</v>
      </c>
      <c r="N147" s="3">
        <f t="shared" si="61"/>
        <v>3.9038101186758278</v>
      </c>
      <c r="O147" s="3">
        <f t="shared" si="61"/>
        <v>616.80199875078074</v>
      </c>
      <c r="P147" s="3">
        <f t="shared" si="61"/>
        <v>36394.003828076209</v>
      </c>
      <c r="Q147" s="3">
        <f t="shared" si="61"/>
        <v>0</v>
      </c>
      <c r="R147" s="3">
        <f t="shared" si="61"/>
        <v>73.391630231105566</v>
      </c>
      <c r="S147" s="3">
        <f t="shared" si="61"/>
        <v>1435.8213616489695</v>
      </c>
      <c r="T147" s="3">
        <f t="shared" si="61"/>
        <v>345.09681449094319</v>
      </c>
      <c r="U147" s="3">
        <f t="shared" si="61"/>
        <v>0</v>
      </c>
      <c r="V147" s="3" t="e">
        <f t="shared" si="61"/>
        <v>#VALUE!</v>
      </c>
    </row>
    <row r="148" spans="1:22" x14ac:dyDescent="0.25">
      <c r="A148" s="3">
        <f t="shared" si="75"/>
        <v>2026</v>
      </c>
      <c r="B148" s="3" t="str">
        <f t="shared" si="75"/>
        <v>Budget Authority</v>
      </c>
      <c r="C148" s="3" t="s">
        <v>90</v>
      </c>
      <c r="D148" s="3">
        <f t="shared" si="70"/>
        <v>117535.74839693282</v>
      </c>
      <c r="E148" s="3">
        <f t="shared" si="61"/>
        <v>71427.972976250559</v>
      </c>
      <c r="F148" s="3">
        <f t="shared" si="61"/>
        <v>192.74896741624599</v>
      </c>
      <c r="G148" s="3">
        <f t="shared" si="61"/>
        <v>7761.2054459232068</v>
      </c>
      <c r="H148" s="3">
        <f t="shared" si="61"/>
        <v>5217.9899036255165</v>
      </c>
      <c r="I148" s="3">
        <f t="shared" si="61"/>
        <v>1502.2181428789966</v>
      </c>
      <c r="J148" s="3">
        <f t="shared" si="61"/>
        <v>1038.603334863087</v>
      </c>
      <c r="K148" s="3">
        <f t="shared" si="61"/>
        <v>1874.7131711794402</v>
      </c>
      <c r="L148" s="3">
        <f t="shared" si="61"/>
        <v>1961.9091326296468</v>
      </c>
      <c r="M148" s="3">
        <f t="shared" si="61"/>
        <v>1465.5040538473306</v>
      </c>
      <c r="N148" s="3">
        <f t="shared" si="61"/>
        <v>3.824384274131865</v>
      </c>
      <c r="O148" s="3">
        <f t="shared" si="61"/>
        <v>304.42098822089645</v>
      </c>
      <c r="P148" s="3">
        <f t="shared" si="61"/>
        <v>22980.293395288361</v>
      </c>
      <c r="Q148" s="3">
        <f t="shared" si="61"/>
        <v>0</v>
      </c>
      <c r="R148" s="3">
        <f t="shared" si="61"/>
        <v>72.66330120850543</v>
      </c>
      <c r="S148" s="3">
        <f t="shared" si="61"/>
        <v>1425.7304573963593</v>
      </c>
      <c r="T148" s="3">
        <f t="shared" si="61"/>
        <v>305.95074193054921</v>
      </c>
      <c r="U148" s="3">
        <f t="shared" si="61"/>
        <v>0</v>
      </c>
      <c r="V148" s="3" t="e">
        <f t="shared" si="61"/>
        <v>#VALUE!</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79F98-A833-44D5-99C7-2604B3BCB728}">
  <dimension ref="A1:BE27"/>
  <sheetViews>
    <sheetView workbookViewId="0">
      <pane xSplit="2" ySplit="1" topLeftCell="AC2" activePane="bottomRight" state="frozen"/>
      <selection pane="topRight" activeCell="C1" sqref="C1"/>
      <selection pane="bottomLeft" activeCell="A2" sqref="A2"/>
      <selection pane="bottomRight" activeCell="AM41" sqref="AM41"/>
    </sheetView>
  </sheetViews>
  <sheetFormatPr defaultRowHeight="11.5" x14ac:dyDescent="0.25"/>
  <cols>
    <col min="1" max="16384" width="8.7265625" style="3"/>
  </cols>
  <sheetData>
    <row r="1" spans="1:57" s="98" customFormat="1" ht="12" customHeight="1" x14ac:dyDescent="0.25">
      <c r="A1" s="93" t="s">
        <v>469</v>
      </c>
      <c r="B1" s="94" t="s">
        <v>242</v>
      </c>
      <c r="C1" s="95">
        <v>1970</v>
      </c>
      <c r="D1" s="95">
        <v>1971</v>
      </c>
      <c r="E1" s="95">
        <v>1972</v>
      </c>
      <c r="F1" s="95">
        <v>1973</v>
      </c>
      <c r="G1" s="95">
        <v>1974</v>
      </c>
      <c r="H1" s="95">
        <v>1975</v>
      </c>
      <c r="I1" s="95">
        <v>1976</v>
      </c>
      <c r="J1" s="95">
        <v>1977</v>
      </c>
      <c r="K1" s="95">
        <v>1978</v>
      </c>
      <c r="L1" s="95">
        <v>1979</v>
      </c>
      <c r="M1" s="95">
        <v>1980</v>
      </c>
      <c r="N1" s="95">
        <v>1981</v>
      </c>
      <c r="O1" s="95">
        <v>1982</v>
      </c>
      <c r="P1" s="95">
        <v>1983</v>
      </c>
      <c r="Q1" s="95">
        <v>1984</v>
      </c>
      <c r="R1" s="95">
        <v>1985</v>
      </c>
      <c r="S1" s="95">
        <v>1986</v>
      </c>
      <c r="T1" s="95">
        <v>1987</v>
      </c>
      <c r="U1" s="95">
        <v>1988</v>
      </c>
      <c r="V1" s="95">
        <v>1989</v>
      </c>
      <c r="W1" s="95">
        <v>1990</v>
      </c>
      <c r="X1" s="95">
        <v>1991</v>
      </c>
      <c r="Y1" s="95">
        <v>1992</v>
      </c>
      <c r="Z1" s="95">
        <v>1993</v>
      </c>
      <c r="AA1" s="95">
        <v>1994</v>
      </c>
      <c r="AB1" s="95">
        <v>1995</v>
      </c>
      <c r="AC1" s="95">
        <v>1996</v>
      </c>
      <c r="AD1" s="95">
        <v>1997</v>
      </c>
      <c r="AE1" s="95">
        <v>1998</v>
      </c>
      <c r="AF1" s="95">
        <v>1999</v>
      </c>
      <c r="AG1" s="95">
        <v>2000</v>
      </c>
      <c r="AH1" s="95">
        <v>2001</v>
      </c>
      <c r="AI1" s="95">
        <v>2002</v>
      </c>
      <c r="AJ1" s="95">
        <v>2003</v>
      </c>
      <c r="AK1" s="95">
        <v>2004</v>
      </c>
      <c r="AL1" s="95">
        <v>2005</v>
      </c>
      <c r="AM1" s="95">
        <v>2006</v>
      </c>
      <c r="AN1" s="95">
        <v>2007</v>
      </c>
      <c r="AO1" s="95">
        <v>2008</v>
      </c>
      <c r="AP1" s="95">
        <v>2009</v>
      </c>
      <c r="AQ1" s="95">
        <v>2010</v>
      </c>
      <c r="AR1" s="95">
        <v>2011</v>
      </c>
      <c r="AS1" s="95">
        <v>2012</v>
      </c>
      <c r="AT1" s="95">
        <v>2013</v>
      </c>
      <c r="AU1" s="95">
        <v>2014</v>
      </c>
      <c r="AV1" s="95">
        <v>2015</v>
      </c>
      <c r="AW1" s="96">
        <v>2016</v>
      </c>
      <c r="AX1" s="97">
        <v>2017</v>
      </c>
      <c r="AY1" s="96">
        <v>2018</v>
      </c>
      <c r="AZ1" s="97">
        <v>2019</v>
      </c>
      <c r="BA1" s="96">
        <v>2020</v>
      </c>
      <c r="BB1" s="97">
        <v>2021</v>
      </c>
      <c r="BC1" s="96">
        <v>2022</v>
      </c>
      <c r="BD1" s="97">
        <v>2023</v>
      </c>
      <c r="BE1" s="96">
        <v>2024</v>
      </c>
    </row>
    <row r="2" spans="1:57" s="77" customFormat="1" x14ac:dyDescent="0.25">
      <c r="A2" s="77" t="s">
        <v>326</v>
      </c>
      <c r="B2" s="77" t="s">
        <v>91</v>
      </c>
      <c r="C2" s="78">
        <v>1510</v>
      </c>
      <c r="D2" s="78">
        <v>1660</v>
      </c>
      <c r="E2" s="78">
        <v>1940</v>
      </c>
      <c r="F2" s="78">
        <v>2020</v>
      </c>
      <c r="G2" s="78">
        <v>2380</v>
      </c>
      <c r="H2" s="78">
        <v>2450</v>
      </c>
      <c r="I2" s="78">
        <v>2650</v>
      </c>
      <c r="J2" s="78">
        <v>3010</v>
      </c>
      <c r="K2" s="78">
        <v>3430</v>
      </c>
      <c r="L2" s="78">
        <v>3850</v>
      </c>
      <c r="M2" s="78">
        <v>4190</v>
      </c>
      <c r="N2" s="78">
        <v>4440</v>
      </c>
      <c r="O2" s="78">
        <v>4750</v>
      </c>
      <c r="P2" s="78">
        <v>5180</v>
      </c>
      <c r="Q2" s="78">
        <v>5630</v>
      </c>
      <c r="R2" s="78">
        <v>6360</v>
      </c>
      <c r="S2" s="78">
        <v>6460</v>
      </c>
      <c r="T2" s="78">
        <v>7340</v>
      </c>
      <c r="U2" s="78">
        <v>7720</v>
      </c>
      <c r="V2" s="78">
        <v>8490</v>
      </c>
      <c r="W2" s="78">
        <v>8830</v>
      </c>
      <c r="X2" s="78">
        <v>9620</v>
      </c>
      <c r="Y2" s="78">
        <v>9910</v>
      </c>
      <c r="Z2" s="78">
        <v>10770</v>
      </c>
      <c r="AA2" s="78">
        <v>11280</v>
      </c>
      <c r="AB2" s="78">
        <v>11810</v>
      </c>
      <c r="AC2" s="78">
        <v>12060</v>
      </c>
      <c r="AD2" s="78">
        <v>12660</v>
      </c>
      <c r="AE2" s="78">
        <v>13560</v>
      </c>
      <c r="AF2" s="78">
        <v>15420</v>
      </c>
      <c r="AG2" s="78">
        <v>17960</v>
      </c>
      <c r="AH2" s="78">
        <v>23060</v>
      </c>
      <c r="AI2" s="78">
        <v>25470</v>
      </c>
      <c r="AJ2" s="78">
        <v>27770</v>
      </c>
      <c r="AK2" s="78">
        <v>27730</v>
      </c>
      <c r="AL2" s="78">
        <v>28120</v>
      </c>
      <c r="AM2" s="78">
        <v>27930</v>
      </c>
      <c r="AN2" s="78">
        <v>29470</v>
      </c>
      <c r="AO2" s="78">
        <v>28920</v>
      </c>
      <c r="AP2" s="78">
        <v>33260</v>
      </c>
      <c r="AQ2" s="78">
        <v>33910</v>
      </c>
      <c r="AR2" s="78">
        <v>29450</v>
      </c>
      <c r="AS2" s="78">
        <v>30970</v>
      </c>
      <c r="AT2" s="78">
        <v>29660</v>
      </c>
      <c r="AU2" s="78">
        <v>30950</v>
      </c>
      <c r="AV2" s="78">
        <v>30620</v>
      </c>
      <c r="AW2" s="79">
        <v>32049.999999999996</v>
      </c>
      <c r="AX2" s="80">
        <v>34080</v>
      </c>
      <c r="AY2" s="81">
        <v>36260</v>
      </c>
      <c r="AZ2" s="82">
        <v>38300</v>
      </c>
      <c r="BA2" s="77">
        <v>42530</v>
      </c>
      <c r="BB2" s="77">
        <v>38180</v>
      </c>
      <c r="BC2" s="77">
        <v>41610</v>
      </c>
      <c r="BD2" s="77">
        <v>43750</v>
      </c>
      <c r="BE2" s="77">
        <v>40240</v>
      </c>
    </row>
    <row r="3" spans="1:57" s="77" customFormat="1" x14ac:dyDescent="0.25">
      <c r="A3" s="77" t="s">
        <v>320</v>
      </c>
      <c r="B3" s="77" t="s">
        <v>91</v>
      </c>
      <c r="C3" s="78">
        <v>110</v>
      </c>
      <c r="D3" s="78">
        <v>110</v>
      </c>
      <c r="E3" s="78">
        <v>120</v>
      </c>
      <c r="F3" s="78">
        <v>120</v>
      </c>
      <c r="G3" s="78">
        <v>140</v>
      </c>
      <c r="H3" s="78">
        <v>140</v>
      </c>
      <c r="I3" s="78">
        <v>140</v>
      </c>
      <c r="J3" s="78">
        <v>160</v>
      </c>
      <c r="K3" s="78">
        <v>180</v>
      </c>
      <c r="L3" s="78">
        <v>200</v>
      </c>
      <c r="M3" s="78">
        <v>200</v>
      </c>
      <c r="N3" s="78">
        <v>210</v>
      </c>
      <c r="O3" s="78">
        <v>220</v>
      </c>
      <c r="P3" s="78">
        <v>240</v>
      </c>
      <c r="Q3" s="78">
        <v>270</v>
      </c>
      <c r="R3" s="78">
        <v>330</v>
      </c>
      <c r="S3" s="78">
        <v>330</v>
      </c>
      <c r="T3" s="78">
        <v>370</v>
      </c>
      <c r="U3" s="78">
        <v>390</v>
      </c>
      <c r="V3" s="78">
        <v>420</v>
      </c>
      <c r="W3" s="78">
        <v>450</v>
      </c>
      <c r="X3" s="78">
        <v>480</v>
      </c>
      <c r="Y3" s="78">
        <v>300</v>
      </c>
      <c r="Z3" s="78">
        <v>550</v>
      </c>
      <c r="AA3" s="78">
        <v>550</v>
      </c>
      <c r="AB3" s="78">
        <v>620</v>
      </c>
      <c r="AC3" s="78">
        <v>530</v>
      </c>
      <c r="AD3" s="78">
        <v>540</v>
      </c>
      <c r="AE3" s="78">
        <v>590</v>
      </c>
      <c r="AF3" s="78">
        <v>630</v>
      </c>
      <c r="AG3" s="78">
        <v>1630</v>
      </c>
      <c r="AH3" s="78">
        <v>740</v>
      </c>
      <c r="AI3" s="78">
        <v>910</v>
      </c>
      <c r="AJ3" s="78">
        <v>1100</v>
      </c>
      <c r="AK3" s="78">
        <v>1860</v>
      </c>
      <c r="AL3" s="78">
        <v>1890</v>
      </c>
      <c r="AM3" s="78">
        <v>1750</v>
      </c>
      <c r="AN3" s="78">
        <v>1840</v>
      </c>
      <c r="AO3" s="78">
        <v>1740</v>
      </c>
      <c r="AP3" s="78">
        <v>2090</v>
      </c>
      <c r="AQ3" s="78">
        <v>2150</v>
      </c>
      <c r="AR3" s="78">
        <v>1880</v>
      </c>
      <c r="AS3" s="78">
        <v>2090</v>
      </c>
      <c r="AT3" s="78">
        <v>1940</v>
      </c>
      <c r="AU3" s="78">
        <v>1960</v>
      </c>
      <c r="AV3" s="78">
        <v>2000</v>
      </c>
      <c r="AW3" s="79">
        <v>2029.9999999999998</v>
      </c>
      <c r="AX3" s="80">
        <v>2080</v>
      </c>
      <c r="AY3" s="81">
        <v>2280</v>
      </c>
      <c r="AZ3" s="82">
        <v>2750</v>
      </c>
      <c r="BA3" s="77">
        <v>3280</v>
      </c>
      <c r="BB3" s="77">
        <v>3770</v>
      </c>
      <c r="BC3" s="77">
        <v>4590</v>
      </c>
      <c r="BD3" s="77">
        <v>4950</v>
      </c>
      <c r="BE3" s="77">
        <v>4970</v>
      </c>
    </row>
    <row r="4" spans="1:57" s="77" customFormat="1" x14ac:dyDescent="0.25">
      <c r="A4" s="77" t="s">
        <v>321</v>
      </c>
      <c r="B4" s="77" t="s">
        <v>91</v>
      </c>
      <c r="C4" s="78">
        <v>990</v>
      </c>
      <c r="D4" s="78">
        <v>950</v>
      </c>
      <c r="E4" s="78">
        <v>1070</v>
      </c>
      <c r="F4" s="78">
        <v>1030</v>
      </c>
      <c r="G4" s="78">
        <v>1070</v>
      </c>
      <c r="H4" s="78">
        <v>1100</v>
      </c>
      <c r="I4" s="78">
        <v>1260</v>
      </c>
      <c r="J4" s="78">
        <v>1530</v>
      </c>
      <c r="K4" s="78">
        <v>1650</v>
      </c>
      <c r="L4" s="78">
        <v>1790</v>
      </c>
      <c r="M4" s="78">
        <v>2000</v>
      </c>
      <c r="N4" s="78">
        <v>2220</v>
      </c>
      <c r="O4" s="78">
        <v>2500</v>
      </c>
      <c r="P4" s="78">
        <v>2890</v>
      </c>
      <c r="Q4" s="78">
        <v>2970</v>
      </c>
      <c r="R4" s="78">
        <v>3040</v>
      </c>
      <c r="S4" s="78">
        <v>3070</v>
      </c>
      <c r="T4" s="78">
        <v>3250</v>
      </c>
      <c r="U4" s="78">
        <v>3320</v>
      </c>
      <c r="V4" s="78">
        <v>3710</v>
      </c>
      <c r="W4" s="78">
        <v>3810</v>
      </c>
      <c r="X4" s="78">
        <v>4240</v>
      </c>
      <c r="Y4" s="78">
        <v>4440</v>
      </c>
      <c r="Z4" s="78">
        <v>4430</v>
      </c>
      <c r="AA4" s="78">
        <v>4250</v>
      </c>
      <c r="AB4" s="78">
        <v>4280</v>
      </c>
      <c r="AC4" s="78">
        <v>3920</v>
      </c>
      <c r="AD4" s="78">
        <v>4150</v>
      </c>
      <c r="AE4" s="78">
        <v>4210</v>
      </c>
      <c r="AF4" s="78">
        <v>4070.0000000000005</v>
      </c>
      <c r="AG4" s="78">
        <v>4790</v>
      </c>
      <c r="AH4" s="78">
        <v>4600</v>
      </c>
      <c r="AI4" s="78">
        <v>4980</v>
      </c>
      <c r="AJ4" s="78">
        <v>5020</v>
      </c>
      <c r="AK4" s="78">
        <v>5210</v>
      </c>
      <c r="AL4" s="78">
        <v>5490</v>
      </c>
      <c r="AM4" s="78">
        <v>5350</v>
      </c>
      <c r="AN4" s="78">
        <v>5140</v>
      </c>
      <c r="AO4" s="78">
        <v>5070</v>
      </c>
      <c r="AP4" s="78">
        <v>5820</v>
      </c>
      <c r="AQ4" s="78">
        <v>5870</v>
      </c>
      <c r="AR4" s="78">
        <v>5420</v>
      </c>
      <c r="AS4" s="78">
        <v>6410</v>
      </c>
      <c r="AT4" s="78">
        <v>6280</v>
      </c>
      <c r="AU4" s="78">
        <v>6480</v>
      </c>
      <c r="AV4" s="78">
        <v>6510</v>
      </c>
      <c r="AW4" s="79">
        <v>6670</v>
      </c>
      <c r="AX4" s="80">
        <v>6580</v>
      </c>
      <c r="AY4" s="81">
        <v>7720</v>
      </c>
      <c r="AZ4" s="82">
        <v>9820</v>
      </c>
      <c r="BA4" s="77">
        <v>8420</v>
      </c>
      <c r="BB4" s="77">
        <v>8039.9999999999991</v>
      </c>
      <c r="BC4" s="77">
        <v>11110</v>
      </c>
      <c r="BD4" s="77">
        <v>12700</v>
      </c>
      <c r="BE4" s="77">
        <v>12940</v>
      </c>
    </row>
    <row r="5" spans="1:57" s="77" customFormat="1" x14ac:dyDescent="0.25">
      <c r="A5" s="77" t="s">
        <v>322</v>
      </c>
      <c r="B5" s="77" t="s">
        <v>91</v>
      </c>
      <c r="C5" s="78">
        <v>510</v>
      </c>
      <c r="D5" s="78">
        <v>560</v>
      </c>
      <c r="E5" s="78">
        <v>600</v>
      </c>
      <c r="F5" s="78">
        <v>610</v>
      </c>
      <c r="G5" s="78">
        <v>670</v>
      </c>
      <c r="H5" s="78">
        <v>730</v>
      </c>
      <c r="I5" s="78">
        <v>770</v>
      </c>
      <c r="J5" s="78">
        <v>910</v>
      </c>
      <c r="K5" s="78">
        <v>1020</v>
      </c>
      <c r="L5" s="78">
        <v>1100</v>
      </c>
      <c r="M5" s="78">
        <v>1260</v>
      </c>
      <c r="N5" s="78">
        <v>1120</v>
      </c>
      <c r="O5" s="78">
        <v>1150</v>
      </c>
      <c r="P5" s="78">
        <v>1250</v>
      </c>
      <c r="Q5" s="78">
        <v>1270</v>
      </c>
      <c r="R5" s="78">
        <v>1400</v>
      </c>
      <c r="S5" s="78">
        <v>1480</v>
      </c>
      <c r="T5" s="78">
        <v>1510</v>
      </c>
      <c r="U5" s="78">
        <v>1610</v>
      </c>
      <c r="V5" s="78">
        <v>1770</v>
      </c>
      <c r="W5" s="78">
        <v>2170</v>
      </c>
      <c r="X5" s="78">
        <v>2150</v>
      </c>
      <c r="Y5" s="78">
        <v>2210</v>
      </c>
      <c r="Z5" s="78">
        <v>2610</v>
      </c>
      <c r="AA5" s="78">
        <v>2840</v>
      </c>
      <c r="AB5" s="78">
        <v>2860</v>
      </c>
      <c r="AC5" s="78">
        <v>3020</v>
      </c>
      <c r="AD5" s="78">
        <v>3050</v>
      </c>
      <c r="AE5" s="78">
        <v>3060</v>
      </c>
      <c r="AF5" s="78">
        <v>3100</v>
      </c>
      <c r="AG5" s="78">
        <v>3330</v>
      </c>
      <c r="AH5" s="78">
        <v>3250</v>
      </c>
      <c r="AI5" s="78">
        <v>3420</v>
      </c>
      <c r="AJ5" s="78">
        <v>3740</v>
      </c>
      <c r="AK5" s="78">
        <v>3740</v>
      </c>
      <c r="AL5" s="78">
        <v>3500</v>
      </c>
      <c r="AM5" s="78">
        <v>3430</v>
      </c>
      <c r="AN5" s="78">
        <v>3170</v>
      </c>
      <c r="AO5" s="78">
        <v>2980</v>
      </c>
      <c r="AP5" s="78">
        <v>3760</v>
      </c>
      <c r="AQ5" s="78">
        <v>3340</v>
      </c>
      <c r="AR5" s="78">
        <v>3210</v>
      </c>
      <c r="AS5" s="78">
        <v>3880</v>
      </c>
      <c r="AT5" s="78">
        <v>4050</v>
      </c>
      <c r="AU5" s="78">
        <v>4360</v>
      </c>
      <c r="AV5" s="78">
        <v>4420</v>
      </c>
      <c r="AW5" s="79">
        <v>4430</v>
      </c>
      <c r="AX5" s="80">
        <v>4470</v>
      </c>
      <c r="AY5" s="81">
        <v>4480</v>
      </c>
      <c r="AZ5" s="82">
        <v>5070</v>
      </c>
      <c r="BA5" s="77">
        <v>5040</v>
      </c>
      <c r="BB5" s="77">
        <v>3570</v>
      </c>
      <c r="BC5" s="77">
        <v>5570</v>
      </c>
      <c r="BD5" s="77">
        <v>5880</v>
      </c>
      <c r="BE5" s="77">
        <v>5910</v>
      </c>
    </row>
    <row r="6" spans="1:57" s="77" customFormat="1" x14ac:dyDescent="0.25">
      <c r="A6" s="77" t="s">
        <v>323</v>
      </c>
      <c r="B6" s="77" t="s">
        <v>91</v>
      </c>
      <c r="C6" s="78">
        <v>100</v>
      </c>
      <c r="D6" s="78">
        <v>110</v>
      </c>
      <c r="E6" s="78">
        <v>130</v>
      </c>
      <c r="F6" s="78">
        <v>120</v>
      </c>
      <c r="G6" s="78">
        <v>120</v>
      </c>
      <c r="H6" s="78">
        <v>130</v>
      </c>
      <c r="I6" s="78">
        <v>160</v>
      </c>
      <c r="J6" s="78">
        <v>200</v>
      </c>
      <c r="K6" s="78">
        <v>220</v>
      </c>
      <c r="L6" s="78">
        <v>210</v>
      </c>
      <c r="M6" s="78">
        <v>240</v>
      </c>
      <c r="N6" s="78">
        <v>280</v>
      </c>
      <c r="O6" s="78">
        <v>350</v>
      </c>
      <c r="P6" s="78">
        <v>420</v>
      </c>
      <c r="Q6" s="78">
        <v>440</v>
      </c>
      <c r="R6" s="78">
        <v>580</v>
      </c>
      <c r="S6" s="78">
        <v>610</v>
      </c>
      <c r="T6" s="78">
        <v>640</v>
      </c>
      <c r="U6" s="78">
        <v>640</v>
      </c>
      <c r="V6" s="78">
        <v>730</v>
      </c>
      <c r="W6" s="78">
        <v>840</v>
      </c>
      <c r="X6" s="78">
        <v>900</v>
      </c>
      <c r="Y6" s="78">
        <v>1160</v>
      </c>
      <c r="Z6" s="78">
        <v>1220</v>
      </c>
      <c r="AA6" s="78">
        <v>1300</v>
      </c>
      <c r="AB6" s="78">
        <v>1580</v>
      </c>
      <c r="AC6" s="78">
        <v>1570</v>
      </c>
      <c r="AD6" s="78">
        <v>1670</v>
      </c>
      <c r="AE6" s="78">
        <v>1840</v>
      </c>
      <c r="AF6" s="78">
        <v>1980</v>
      </c>
      <c r="AG6" s="78">
        <v>2200</v>
      </c>
      <c r="AH6" s="78">
        <v>2610</v>
      </c>
      <c r="AI6" s="78">
        <v>2630</v>
      </c>
      <c r="AJ6" s="78">
        <v>2670</v>
      </c>
      <c r="AK6" s="78">
        <v>2950</v>
      </c>
      <c r="AL6" s="78">
        <v>2980</v>
      </c>
      <c r="AM6" s="78">
        <v>2810</v>
      </c>
      <c r="AN6" s="78">
        <v>2950</v>
      </c>
      <c r="AO6" s="78">
        <v>3050</v>
      </c>
      <c r="AP6" s="78">
        <v>3610</v>
      </c>
      <c r="AQ6" s="78">
        <v>3410</v>
      </c>
      <c r="AR6" s="78">
        <v>3370</v>
      </c>
      <c r="AS6" s="78">
        <v>3530</v>
      </c>
      <c r="AT6" s="78">
        <v>3430</v>
      </c>
      <c r="AU6" s="78">
        <v>3880</v>
      </c>
      <c r="AV6" s="78">
        <v>3870</v>
      </c>
      <c r="AW6" s="79">
        <v>4220</v>
      </c>
      <c r="AX6" s="80">
        <v>3890</v>
      </c>
      <c r="AY6" s="81">
        <v>4120</v>
      </c>
      <c r="AZ6" s="82">
        <v>4330</v>
      </c>
      <c r="BA6" s="77">
        <v>5910</v>
      </c>
      <c r="BB6" s="77">
        <v>6070</v>
      </c>
      <c r="BC6" s="77">
        <v>5760</v>
      </c>
      <c r="BD6" s="77">
        <v>6130</v>
      </c>
      <c r="BE6" s="77">
        <v>6310</v>
      </c>
    </row>
    <row r="7" spans="1:57" s="77" customFormat="1" x14ac:dyDescent="0.25">
      <c r="A7" s="77" t="s">
        <v>324</v>
      </c>
      <c r="B7" s="77" t="s">
        <v>91</v>
      </c>
      <c r="C7" s="78">
        <v>1610</v>
      </c>
      <c r="D7" s="78">
        <v>1560</v>
      </c>
      <c r="E7" s="78">
        <v>1520</v>
      </c>
      <c r="F7" s="78">
        <v>1430</v>
      </c>
      <c r="G7" s="78">
        <v>1640</v>
      </c>
      <c r="H7" s="78">
        <v>1720</v>
      </c>
      <c r="I7" s="78">
        <v>2070</v>
      </c>
      <c r="J7" s="78">
        <v>2110</v>
      </c>
      <c r="K7" s="78">
        <v>2420</v>
      </c>
      <c r="L7" s="78">
        <v>2570</v>
      </c>
      <c r="M7" s="78">
        <v>2830</v>
      </c>
      <c r="N7" s="78">
        <v>3070</v>
      </c>
      <c r="O7" s="78">
        <v>3390</v>
      </c>
      <c r="P7" s="78">
        <v>3520</v>
      </c>
      <c r="Q7" s="78">
        <v>3630</v>
      </c>
      <c r="R7" s="78">
        <v>3620</v>
      </c>
      <c r="S7" s="78">
        <v>3740</v>
      </c>
      <c r="T7" s="78">
        <v>3910</v>
      </c>
      <c r="U7" s="78">
        <v>3950</v>
      </c>
      <c r="V7" s="78">
        <v>4440</v>
      </c>
      <c r="W7" s="78">
        <v>4230</v>
      </c>
      <c r="X7" s="78">
        <v>4940</v>
      </c>
      <c r="Y7" s="78">
        <v>4980</v>
      </c>
      <c r="Z7" s="78">
        <v>5500</v>
      </c>
      <c r="AA7" s="78">
        <v>5480</v>
      </c>
      <c r="AB7" s="78">
        <v>5710</v>
      </c>
      <c r="AC7" s="78">
        <v>5680</v>
      </c>
      <c r="AD7" s="78">
        <v>5690</v>
      </c>
      <c r="AE7" s="78">
        <v>5890</v>
      </c>
      <c r="AF7" s="78">
        <v>6260</v>
      </c>
      <c r="AG7" s="78">
        <v>6350</v>
      </c>
      <c r="AH7" s="78">
        <v>8189.9999999999991</v>
      </c>
      <c r="AI7" s="78">
        <v>8270</v>
      </c>
      <c r="AJ7" s="78">
        <v>8400</v>
      </c>
      <c r="AK7" s="78">
        <v>8870</v>
      </c>
      <c r="AL7" s="78">
        <v>8550</v>
      </c>
      <c r="AM7" s="78">
        <v>8680</v>
      </c>
      <c r="AN7" s="78">
        <v>8990</v>
      </c>
      <c r="AO7" s="78">
        <v>8980</v>
      </c>
      <c r="AP7" s="78">
        <v>10280</v>
      </c>
      <c r="AQ7" s="78">
        <v>11080</v>
      </c>
      <c r="AR7" s="78">
        <v>10050</v>
      </c>
      <c r="AS7" s="78">
        <v>11400</v>
      </c>
      <c r="AT7" s="78">
        <v>10950</v>
      </c>
      <c r="AU7" s="78">
        <v>11890</v>
      </c>
      <c r="AV7" s="78">
        <v>11990</v>
      </c>
      <c r="AW7" s="79">
        <v>12800</v>
      </c>
      <c r="AX7" s="80">
        <v>12980</v>
      </c>
      <c r="AY7" s="81">
        <v>13480</v>
      </c>
      <c r="AZ7" s="82">
        <v>15280</v>
      </c>
      <c r="BA7" s="77">
        <v>13220</v>
      </c>
      <c r="BB7" s="77">
        <v>13370</v>
      </c>
      <c r="BC7" s="77">
        <v>15500</v>
      </c>
      <c r="BD7" s="77">
        <v>16020</v>
      </c>
      <c r="BE7" s="77">
        <v>15430</v>
      </c>
    </row>
    <row r="8" spans="1:57" s="77" customFormat="1" x14ac:dyDescent="0.25">
      <c r="A8" s="77" t="s">
        <v>325</v>
      </c>
      <c r="B8" s="77" t="s">
        <v>91</v>
      </c>
      <c r="C8" s="78">
        <v>220</v>
      </c>
      <c r="D8" s="78">
        <v>320</v>
      </c>
      <c r="E8" s="78">
        <v>320</v>
      </c>
      <c r="F8" s="78">
        <v>310</v>
      </c>
      <c r="G8" s="78">
        <v>310</v>
      </c>
      <c r="H8" s="78">
        <v>300</v>
      </c>
      <c r="I8" s="78">
        <v>390</v>
      </c>
      <c r="J8" s="78">
        <v>430</v>
      </c>
      <c r="K8" s="78">
        <v>490</v>
      </c>
      <c r="L8" s="78">
        <v>530</v>
      </c>
      <c r="M8" s="78">
        <v>520</v>
      </c>
      <c r="N8" s="78">
        <v>500</v>
      </c>
      <c r="O8" s="78">
        <v>390</v>
      </c>
      <c r="P8" s="78">
        <v>430</v>
      </c>
      <c r="Q8" s="78">
        <v>440</v>
      </c>
      <c r="R8" s="78">
        <v>460</v>
      </c>
      <c r="S8" s="78">
        <v>420</v>
      </c>
      <c r="T8" s="78">
        <v>480</v>
      </c>
      <c r="U8" s="78">
        <v>490</v>
      </c>
      <c r="V8" s="78">
        <v>550</v>
      </c>
      <c r="W8" s="78">
        <v>630</v>
      </c>
      <c r="X8" s="78">
        <v>730</v>
      </c>
      <c r="Y8" s="78">
        <v>690</v>
      </c>
      <c r="Z8" s="78">
        <v>670</v>
      </c>
      <c r="AA8" s="78">
        <v>650</v>
      </c>
      <c r="AB8" s="78">
        <v>680</v>
      </c>
      <c r="AC8" s="78">
        <v>660</v>
      </c>
      <c r="AD8" s="78">
        <v>700</v>
      </c>
      <c r="AE8" s="78">
        <v>800</v>
      </c>
      <c r="AF8" s="78">
        <v>860</v>
      </c>
      <c r="AG8" s="78">
        <v>1050</v>
      </c>
      <c r="AH8" s="78">
        <v>1010</v>
      </c>
      <c r="AI8" s="78">
        <v>1040</v>
      </c>
      <c r="AJ8" s="78">
        <v>1030</v>
      </c>
      <c r="AK8" s="78">
        <v>1090</v>
      </c>
      <c r="AL8" s="78">
        <v>1100</v>
      </c>
      <c r="AM8" s="78">
        <v>1130</v>
      </c>
      <c r="AN8" s="78">
        <v>1150</v>
      </c>
      <c r="AO8" s="78">
        <v>980</v>
      </c>
      <c r="AP8" s="78">
        <v>1150</v>
      </c>
      <c r="AQ8" s="78">
        <v>1200</v>
      </c>
      <c r="AR8" s="78">
        <v>1260</v>
      </c>
      <c r="AS8" s="78">
        <v>1130</v>
      </c>
      <c r="AT8" s="78">
        <v>1240</v>
      </c>
      <c r="AU8" s="78">
        <v>1440</v>
      </c>
      <c r="AV8" s="78">
        <v>1140</v>
      </c>
      <c r="AW8" s="79">
        <v>1220</v>
      </c>
      <c r="AX8" s="80">
        <v>1030</v>
      </c>
      <c r="AY8" s="81">
        <v>1020</v>
      </c>
      <c r="AZ8" s="82">
        <v>1160</v>
      </c>
      <c r="BA8" s="77">
        <v>1140</v>
      </c>
      <c r="BB8" s="77">
        <v>1370</v>
      </c>
      <c r="BC8" s="77">
        <v>1920</v>
      </c>
      <c r="BD8" s="77">
        <v>2680</v>
      </c>
      <c r="BE8" s="77">
        <v>2720</v>
      </c>
    </row>
    <row r="9" spans="1:57" s="77" customFormat="1" ht="13.5" customHeight="1" x14ac:dyDescent="0.25">
      <c r="A9" s="77" t="s">
        <v>253</v>
      </c>
      <c r="B9" s="77" t="s">
        <v>91</v>
      </c>
      <c r="C9" s="83">
        <v>80</v>
      </c>
      <c r="D9" s="83">
        <v>100</v>
      </c>
      <c r="E9" s="83">
        <v>120</v>
      </c>
      <c r="F9" s="83">
        <v>200</v>
      </c>
      <c r="G9" s="83">
        <v>160</v>
      </c>
      <c r="H9" s="83">
        <v>170</v>
      </c>
      <c r="I9" s="83">
        <v>180</v>
      </c>
      <c r="J9" s="83">
        <v>180</v>
      </c>
      <c r="K9" s="83">
        <v>210</v>
      </c>
      <c r="L9" s="83">
        <v>280</v>
      </c>
      <c r="M9" s="83">
        <v>350</v>
      </c>
      <c r="N9" s="83">
        <v>380</v>
      </c>
      <c r="O9" s="83">
        <v>290</v>
      </c>
      <c r="P9" s="83">
        <v>320</v>
      </c>
      <c r="Q9" s="83">
        <v>330</v>
      </c>
      <c r="R9" s="83">
        <v>340</v>
      </c>
      <c r="S9" s="83">
        <v>380</v>
      </c>
      <c r="T9" s="83">
        <v>440</v>
      </c>
      <c r="U9" s="83">
        <v>530</v>
      </c>
      <c r="V9" s="83">
        <v>640</v>
      </c>
      <c r="W9" s="83">
        <v>660</v>
      </c>
      <c r="X9" s="83">
        <v>900</v>
      </c>
      <c r="Y9" s="83">
        <v>810</v>
      </c>
      <c r="Z9" s="83">
        <v>1130</v>
      </c>
      <c r="AA9" s="83">
        <v>1060</v>
      </c>
      <c r="AB9" s="83">
        <v>900</v>
      </c>
      <c r="AC9" s="83">
        <v>820</v>
      </c>
      <c r="AD9" s="83">
        <v>910</v>
      </c>
      <c r="AE9" s="83">
        <v>970</v>
      </c>
      <c r="AF9" s="83">
        <v>1210</v>
      </c>
      <c r="AG9" s="83">
        <v>1160</v>
      </c>
      <c r="AH9" s="83">
        <v>1250</v>
      </c>
      <c r="AI9" s="83">
        <v>1280</v>
      </c>
      <c r="AJ9" s="83">
        <v>1330</v>
      </c>
      <c r="AK9" s="83">
        <v>1920</v>
      </c>
      <c r="AL9" s="83">
        <v>2090</v>
      </c>
      <c r="AM9" s="83">
        <v>2460</v>
      </c>
      <c r="AN9" s="83">
        <v>1400</v>
      </c>
      <c r="AO9" s="83">
        <v>2180</v>
      </c>
      <c r="AP9" s="83">
        <v>3710</v>
      </c>
      <c r="AQ9" s="83">
        <v>2760</v>
      </c>
      <c r="AR9" s="83">
        <v>3400</v>
      </c>
      <c r="AS9" s="83">
        <v>2550</v>
      </c>
      <c r="AT9" s="83">
        <v>2000</v>
      </c>
      <c r="AU9" s="83">
        <v>2210</v>
      </c>
      <c r="AV9" s="83">
        <v>3300</v>
      </c>
      <c r="AW9" s="84">
        <v>3460</v>
      </c>
      <c r="AX9" s="85">
        <v>4520</v>
      </c>
      <c r="AY9" s="81">
        <v>3740</v>
      </c>
      <c r="AZ9" s="82">
        <v>4400</v>
      </c>
      <c r="BA9" s="77">
        <v>5770</v>
      </c>
      <c r="BB9" s="77">
        <v>11870</v>
      </c>
      <c r="BC9" s="77">
        <v>6800</v>
      </c>
      <c r="BD9" s="77">
        <v>9490</v>
      </c>
      <c r="BE9" s="77">
        <v>10100</v>
      </c>
    </row>
    <row r="10" spans="1:57" s="77" customFormat="1" x14ac:dyDescent="0.25">
      <c r="A10" s="77" t="s">
        <v>75</v>
      </c>
      <c r="B10" s="77" t="s">
        <v>91</v>
      </c>
      <c r="C10" s="86">
        <v>5140</v>
      </c>
      <c r="D10" s="86">
        <v>5370</v>
      </c>
      <c r="E10" s="86">
        <v>5820</v>
      </c>
      <c r="F10" s="86">
        <v>5840</v>
      </c>
      <c r="G10" s="86">
        <v>6480</v>
      </c>
      <c r="H10" s="86">
        <v>6730</v>
      </c>
      <c r="I10" s="86">
        <v>7620</v>
      </c>
      <c r="J10" s="86">
        <v>8510</v>
      </c>
      <c r="K10" s="86">
        <v>9610</v>
      </c>
      <c r="L10" s="86">
        <v>10530</v>
      </c>
      <c r="M10" s="86">
        <v>11600</v>
      </c>
      <c r="N10" s="86">
        <v>12210</v>
      </c>
      <c r="O10" s="86">
        <v>13020</v>
      </c>
      <c r="P10" s="86">
        <v>14250</v>
      </c>
      <c r="Q10" s="86">
        <v>14980</v>
      </c>
      <c r="R10" s="86">
        <v>16129.999999999998</v>
      </c>
      <c r="S10" s="86">
        <v>16500</v>
      </c>
      <c r="T10" s="86">
        <v>17940</v>
      </c>
      <c r="U10" s="86">
        <v>18650</v>
      </c>
      <c r="V10" s="86">
        <v>20770</v>
      </c>
      <c r="W10" s="86">
        <v>21620</v>
      </c>
      <c r="X10" s="83">
        <v>23970</v>
      </c>
      <c r="Y10" s="83">
        <v>24490</v>
      </c>
      <c r="Z10" s="83">
        <v>26890</v>
      </c>
      <c r="AA10" s="83">
        <v>27410</v>
      </c>
      <c r="AB10" s="83">
        <v>28440</v>
      </c>
      <c r="AC10" s="83">
        <v>28260</v>
      </c>
      <c r="AD10" s="83">
        <v>29360</v>
      </c>
      <c r="AE10" s="83">
        <v>30920</v>
      </c>
      <c r="AF10" s="83">
        <v>33530</v>
      </c>
      <c r="AG10" s="83">
        <v>38470</v>
      </c>
      <c r="AH10" s="83">
        <v>44720</v>
      </c>
      <c r="AI10" s="83">
        <v>48010</v>
      </c>
      <c r="AJ10" s="83">
        <v>51070</v>
      </c>
      <c r="AK10" s="83">
        <v>53360</v>
      </c>
      <c r="AL10" s="83">
        <v>53740</v>
      </c>
      <c r="AM10" s="83">
        <v>53540</v>
      </c>
      <c r="AN10" s="83">
        <v>54090</v>
      </c>
      <c r="AO10" s="83">
        <v>53890</v>
      </c>
      <c r="AP10" s="83">
        <v>63690</v>
      </c>
      <c r="AQ10" s="83">
        <v>63730</v>
      </c>
      <c r="AR10" s="83">
        <v>58060</v>
      </c>
      <c r="AS10" s="83">
        <v>61940</v>
      </c>
      <c r="AT10" s="83">
        <v>59530</v>
      </c>
      <c r="AU10" s="83">
        <v>63200</v>
      </c>
      <c r="AV10" s="83">
        <v>63820</v>
      </c>
      <c r="AW10" s="83">
        <v>66870</v>
      </c>
      <c r="AX10" s="83">
        <v>69650</v>
      </c>
      <c r="AY10" s="87">
        <v>73100</v>
      </c>
      <c r="AZ10" s="77">
        <v>81120</v>
      </c>
      <c r="BA10" s="77">
        <v>85300</v>
      </c>
      <c r="BB10" s="77">
        <v>86240</v>
      </c>
      <c r="BC10" s="77">
        <v>92840</v>
      </c>
      <c r="BD10" s="77">
        <v>101610</v>
      </c>
      <c r="BE10" s="77">
        <v>98620</v>
      </c>
    </row>
    <row r="11" spans="1:57" s="88" customFormat="1" x14ac:dyDescent="0.25">
      <c r="B11" s="88" t="s">
        <v>89</v>
      </c>
      <c r="C11" s="89">
        <v>0.19789999999999999</v>
      </c>
      <c r="D11" s="89">
        <v>0.20799999999999999</v>
      </c>
      <c r="E11" s="89">
        <v>0.21790000000000001</v>
      </c>
      <c r="F11" s="89">
        <v>0.2273</v>
      </c>
      <c r="G11" s="89">
        <v>0.24349999999999999</v>
      </c>
      <c r="H11" s="89">
        <v>0.26869999999999999</v>
      </c>
      <c r="I11" s="89">
        <v>0.28739999999999999</v>
      </c>
      <c r="J11" s="89">
        <v>0.30819999999999997</v>
      </c>
      <c r="K11" s="89">
        <v>0.32890000000000003</v>
      </c>
      <c r="L11" s="89">
        <v>0.35549999999999998</v>
      </c>
      <c r="M11" s="89">
        <v>0.38650000000000001</v>
      </c>
      <c r="N11" s="89">
        <v>0.4244</v>
      </c>
      <c r="O11" s="89">
        <v>0.45390000000000003</v>
      </c>
      <c r="P11" s="89">
        <v>0.47370000000000001</v>
      </c>
      <c r="Q11" s="89">
        <v>0.49070000000000003</v>
      </c>
      <c r="R11" s="89">
        <v>0.5071</v>
      </c>
      <c r="S11" s="89">
        <v>0.51849999999999996</v>
      </c>
      <c r="T11" s="89">
        <v>0.53010000000000002</v>
      </c>
      <c r="U11" s="89">
        <v>0.54730000000000001</v>
      </c>
      <c r="V11" s="89">
        <v>0.56940000000000002</v>
      </c>
      <c r="W11" s="89">
        <v>0.59019999999999995</v>
      </c>
      <c r="X11" s="89">
        <v>0.61129999999999995</v>
      </c>
      <c r="Y11" s="89">
        <v>0.62660000000000005</v>
      </c>
      <c r="Z11" s="89">
        <v>0.64129999999999998</v>
      </c>
      <c r="AA11" s="89">
        <v>0.65529999999999999</v>
      </c>
      <c r="AB11" s="89">
        <v>0.66920000000000002</v>
      </c>
      <c r="AC11" s="89">
        <v>0.68179999999999996</v>
      </c>
      <c r="AD11" s="89">
        <v>0.69389999999999996</v>
      </c>
      <c r="AE11" s="89">
        <v>0.7026</v>
      </c>
      <c r="AF11" s="89">
        <v>0.71130000000000004</v>
      </c>
      <c r="AG11" s="89">
        <v>0.72609999999999997</v>
      </c>
      <c r="AH11" s="89">
        <v>0.74370000000000003</v>
      </c>
      <c r="AI11" s="89">
        <v>0.75539999999999996</v>
      </c>
      <c r="AJ11" s="89">
        <v>0.76990000000000003</v>
      </c>
      <c r="AK11" s="89">
        <v>0.78869999999999996</v>
      </c>
      <c r="AL11" s="89">
        <v>0.81269999999999998</v>
      </c>
      <c r="AM11" s="89">
        <v>0.83909999999999996</v>
      </c>
      <c r="AN11" s="89">
        <v>0.86219999999999997</v>
      </c>
      <c r="AO11" s="89">
        <v>0.88009999999999999</v>
      </c>
      <c r="AP11" s="89">
        <v>0.8891</v>
      </c>
      <c r="AQ11" s="89">
        <v>0.89680000000000004</v>
      </c>
      <c r="AR11" s="89">
        <v>0.91479999999999995</v>
      </c>
      <c r="AS11" s="89">
        <v>0.93140000000000001</v>
      </c>
      <c r="AT11" s="89">
        <v>0.94830000000000003</v>
      </c>
      <c r="AU11" s="89">
        <v>0.96560000000000001</v>
      </c>
      <c r="AV11" s="89">
        <v>0.97560000000000002</v>
      </c>
      <c r="AW11" s="89">
        <v>0.98340000000000005</v>
      </c>
      <c r="AX11" s="89">
        <v>1</v>
      </c>
      <c r="AY11" s="88">
        <v>1.0222</v>
      </c>
      <c r="AZ11" s="88">
        <v>1.0410999999999999</v>
      </c>
      <c r="BA11" s="88">
        <v>1.0547</v>
      </c>
      <c r="BB11" s="88">
        <v>1.091</v>
      </c>
      <c r="BC11" s="88">
        <v>1.1673</v>
      </c>
      <c r="BD11" s="88">
        <v>1.2206999999999999</v>
      </c>
      <c r="BE11" s="88">
        <v>1.2533000000000001</v>
      </c>
    </row>
    <row r="12" spans="1:57" s="90" customFormat="1" x14ac:dyDescent="0.25">
      <c r="A12" s="90" t="s">
        <v>326</v>
      </c>
      <c r="B12" s="90" t="s">
        <v>327</v>
      </c>
      <c r="C12" s="91">
        <f t="shared" ref="C12:C19" si="0">C2/C$10</f>
        <v>0.29377431906614787</v>
      </c>
      <c r="D12" s="91">
        <f t="shared" ref="D12:BD17" si="1">D2/D$10</f>
        <v>0.30912476722532589</v>
      </c>
      <c r="E12" s="91">
        <f t="shared" si="1"/>
        <v>0.33333333333333331</v>
      </c>
      <c r="F12" s="91">
        <f t="shared" si="1"/>
        <v>0.3458904109589041</v>
      </c>
      <c r="G12" s="91">
        <f t="shared" si="1"/>
        <v>0.36728395061728397</v>
      </c>
      <c r="H12" s="91">
        <f t="shared" si="1"/>
        <v>0.36404160475482911</v>
      </c>
      <c r="I12" s="91">
        <f t="shared" si="1"/>
        <v>0.34776902887139105</v>
      </c>
      <c r="J12" s="91">
        <f t="shared" si="1"/>
        <v>0.35370152761457108</v>
      </c>
      <c r="K12" s="91">
        <f t="shared" si="1"/>
        <v>0.35691987513007284</v>
      </c>
      <c r="L12" s="91">
        <f t="shared" si="1"/>
        <v>0.36562203228869894</v>
      </c>
      <c r="M12" s="91">
        <f t="shared" si="1"/>
        <v>0.36120689655172411</v>
      </c>
      <c r="N12" s="91">
        <f t="shared" si="1"/>
        <v>0.36363636363636365</v>
      </c>
      <c r="O12" s="91">
        <f t="shared" si="1"/>
        <v>0.36482334869431643</v>
      </c>
      <c r="P12" s="91">
        <f t="shared" si="1"/>
        <v>0.36350877192982456</v>
      </c>
      <c r="Q12" s="91">
        <f t="shared" si="1"/>
        <v>0.37583444592790388</v>
      </c>
      <c r="R12" s="91">
        <f t="shared" si="1"/>
        <v>0.39429634221946686</v>
      </c>
      <c r="S12" s="91">
        <f t="shared" si="1"/>
        <v>0.39151515151515154</v>
      </c>
      <c r="T12" s="91">
        <f t="shared" si="1"/>
        <v>0.40914158305462656</v>
      </c>
      <c r="U12" s="91">
        <f t="shared" si="1"/>
        <v>0.41394101876675604</v>
      </c>
      <c r="V12" s="91">
        <f t="shared" si="1"/>
        <v>0.40876263842079924</v>
      </c>
      <c r="W12" s="91">
        <f t="shared" si="1"/>
        <v>0.408418131359852</v>
      </c>
      <c r="X12" s="91">
        <f t="shared" si="1"/>
        <v>0.40133500208594075</v>
      </c>
      <c r="Y12" s="91">
        <f t="shared" si="1"/>
        <v>0.40465496120865657</v>
      </c>
      <c r="Z12" s="91">
        <f t="shared" si="1"/>
        <v>0.40052063964298995</v>
      </c>
      <c r="AA12" s="91">
        <f t="shared" si="1"/>
        <v>0.41152863918277999</v>
      </c>
      <c r="AB12" s="91">
        <f t="shared" si="1"/>
        <v>0.41526019690576654</v>
      </c>
      <c r="AC12" s="91">
        <f t="shared" si="1"/>
        <v>0.42675159235668791</v>
      </c>
      <c r="AD12" s="91">
        <f t="shared" si="1"/>
        <v>0.43119891008174388</v>
      </c>
      <c r="AE12" s="91">
        <f t="shared" si="1"/>
        <v>0.4385510996119017</v>
      </c>
      <c r="AF12" s="91">
        <f t="shared" si="1"/>
        <v>0.45988666865493588</v>
      </c>
      <c r="AG12" s="91">
        <f t="shared" si="1"/>
        <v>0.46685729139589288</v>
      </c>
      <c r="AH12" s="91">
        <f t="shared" si="1"/>
        <v>0.51565295169946335</v>
      </c>
      <c r="AI12" s="91">
        <f t="shared" si="1"/>
        <v>0.53051447615080194</v>
      </c>
      <c r="AJ12" s="91">
        <f t="shared" si="1"/>
        <v>0.54376346191501856</v>
      </c>
      <c r="AK12" s="91">
        <f t="shared" si="1"/>
        <v>0.51967766116941527</v>
      </c>
      <c r="AL12" s="91">
        <f t="shared" si="1"/>
        <v>0.52326014142165989</v>
      </c>
      <c r="AM12" s="91">
        <f t="shared" si="1"/>
        <v>0.52166604407919315</v>
      </c>
      <c r="AN12" s="91">
        <f t="shared" si="1"/>
        <v>0.54483268626363468</v>
      </c>
      <c r="AO12" s="91">
        <f t="shared" si="1"/>
        <v>0.53664872889218784</v>
      </c>
      <c r="AP12" s="91">
        <f t="shared" si="1"/>
        <v>0.52221698853823206</v>
      </c>
      <c r="AQ12" s="91">
        <f t="shared" si="1"/>
        <v>0.53208849835242433</v>
      </c>
      <c r="AR12" s="91">
        <f t="shared" si="1"/>
        <v>0.50723389596968649</v>
      </c>
      <c r="AS12" s="91">
        <f t="shared" si="1"/>
        <v>0.5</v>
      </c>
      <c r="AT12" s="91">
        <f t="shared" si="1"/>
        <v>0.49823618343692255</v>
      </c>
      <c r="AU12" s="91">
        <f t="shared" si="1"/>
        <v>0.48971518987341772</v>
      </c>
      <c r="AV12" s="91">
        <f t="shared" si="1"/>
        <v>0.47978690065810092</v>
      </c>
      <c r="AW12" s="91">
        <f t="shared" si="1"/>
        <v>0.47928817107821142</v>
      </c>
      <c r="AX12" s="91">
        <f t="shared" si="1"/>
        <v>0.48930366116295765</v>
      </c>
      <c r="AY12" s="91">
        <f t="shared" si="1"/>
        <v>0.49603283173734608</v>
      </c>
      <c r="AZ12" s="91">
        <f t="shared" si="1"/>
        <v>0.47214003944773175</v>
      </c>
      <c r="BA12" s="91">
        <f t="shared" si="1"/>
        <v>0.49859320046893318</v>
      </c>
      <c r="BB12" s="91">
        <f t="shared" si="1"/>
        <v>0.44271799628942488</v>
      </c>
      <c r="BC12" s="91">
        <f t="shared" si="1"/>
        <v>0.44819043515725981</v>
      </c>
      <c r="BD12" s="91">
        <f t="shared" si="1"/>
        <v>0.43056785749434112</v>
      </c>
      <c r="BE12" s="91">
        <f t="shared" ref="BE12:BE16" si="2">BE2/BE$10</f>
        <v>0.40803082539038732</v>
      </c>
    </row>
    <row r="13" spans="1:57" s="90" customFormat="1" x14ac:dyDescent="0.25">
      <c r="A13" s="90" t="s">
        <v>320</v>
      </c>
      <c r="B13" s="90" t="s">
        <v>327</v>
      </c>
      <c r="C13" s="91">
        <f t="shared" si="0"/>
        <v>2.1400778210116732E-2</v>
      </c>
      <c r="D13" s="91">
        <f t="shared" ref="D13:R13" si="3">D3/D$10</f>
        <v>2.0484171322160148E-2</v>
      </c>
      <c r="E13" s="91">
        <f t="shared" si="3"/>
        <v>2.0618556701030927E-2</v>
      </c>
      <c r="F13" s="91">
        <f t="shared" si="3"/>
        <v>2.0547945205479451E-2</v>
      </c>
      <c r="G13" s="91">
        <f t="shared" si="3"/>
        <v>2.1604938271604937E-2</v>
      </c>
      <c r="H13" s="91">
        <f t="shared" si="3"/>
        <v>2.0802377414561663E-2</v>
      </c>
      <c r="I13" s="91">
        <f t="shared" si="3"/>
        <v>1.8372703412073491E-2</v>
      </c>
      <c r="J13" s="91">
        <f t="shared" si="3"/>
        <v>1.8801410105757931E-2</v>
      </c>
      <c r="K13" s="91">
        <f t="shared" si="3"/>
        <v>1.8730489073881373E-2</v>
      </c>
      <c r="L13" s="91">
        <f t="shared" si="3"/>
        <v>1.8993352326685659E-2</v>
      </c>
      <c r="M13" s="91">
        <f t="shared" si="3"/>
        <v>1.7241379310344827E-2</v>
      </c>
      <c r="N13" s="91">
        <f t="shared" si="3"/>
        <v>1.7199017199017199E-2</v>
      </c>
      <c r="O13" s="91">
        <f t="shared" si="3"/>
        <v>1.6897081413210446E-2</v>
      </c>
      <c r="P13" s="91">
        <f t="shared" si="3"/>
        <v>1.6842105263157894E-2</v>
      </c>
      <c r="Q13" s="91">
        <f t="shared" si="3"/>
        <v>1.8024032042723633E-2</v>
      </c>
      <c r="R13" s="91">
        <f t="shared" si="3"/>
        <v>2.0458772473651583E-2</v>
      </c>
      <c r="S13" s="91">
        <f t="shared" si="1"/>
        <v>0.02</v>
      </c>
      <c r="T13" s="91">
        <f t="shared" si="1"/>
        <v>2.0624303232998884E-2</v>
      </c>
      <c r="U13" s="91">
        <f t="shared" si="1"/>
        <v>2.091152815013405E-2</v>
      </c>
      <c r="V13" s="91">
        <f t="shared" si="1"/>
        <v>2.0221473278767454E-2</v>
      </c>
      <c r="W13" s="91">
        <f t="shared" si="1"/>
        <v>2.0814061054579093E-2</v>
      </c>
      <c r="X13" s="91">
        <f t="shared" si="1"/>
        <v>2.002503128911139E-2</v>
      </c>
      <c r="Y13" s="91">
        <f t="shared" si="1"/>
        <v>1.2249897917517355E-2</v>
      </c>
      <c r="Z13" s="91">
        <f t="shared" si="1"/>
        <v>2.0453700260319823E-2</v>
      </c>
      <c r="AA13" s="91">
        <f t="shared" si="1"/>
        <v>2.0065669463699379E-2</v>
      </c>
      <c r="AB13" s="91">
        <f t="shared" si="1"/>
        <v>2.180028129395218E-2</v>
      </c>
      <c r="AC13" s="91">
        <f t="shared" si="1"/>
        <v>1.875442321302194E-2</v>
      </c>
      <c r="AD13" s="91">
        <f t="shared" si="1"/>
        <v>1.8392370572207085E-2</v>
      </c>
      <c r="AE13" s="91">
        <f t="shared" si="1"/>
        <v>1.9081500646830531E-2</v>
      </c>
      <c r="AF13" s="91">
        <f t="shared" si="1"/>
        <v>1.8789144050104383E-2</v>
      </c>
      <c r="AG13" s="91">
        <f t="shared" si="1"/>
        <v>4.2370678450740835E-2</v>
      </c>
      <c r="AH13" s="91">
        <f t="shared" si="1"/>
        <v>1.6547406082289804E-2</v>
      </c>
      <c r="AI13" s="91">
        <f t="shared" si="1"/>
        <v>1.8954384503228495E-2</v>
      </c>
      <c r="AJ13" s="91">
        <f t="shared" si="1"/>
        <v>2.1539064029763071E-2</v>
      </c>
      <c r="AK13" s="91">
        <f t="shared" si="1"/>
        <v>3.4857571214392806E-2</v>
      </c>
      <c r="AL13" s="91">
        <f t="shared" si="1"/>
        <v>3.5169333829549683E-2</v>
      </c>
      <c r="AM13" s="91">
        <f t="shared" si="1"/>
        <v>3.2685842360851702E-2</v>
      </c>
      <c r="AN13" s="91">
        <f t="shared" si="1"/>
        <v>3.4017378443335182E-2</v>
      </c>
      <c r="AO13" s="91">
        <f t="shared" si="1"/>
        <v>3.2287994061978104E-2</v>
      </c>
      <c r="AP13" s="91">
        <f t="shared" si="1"/>
        <v>3.281519861830743E-2</v>
      </c>
      <c r="AQ13" s="91">
        <f t="shared" si="1"/>
        <v>3.3736074062450966E-2</v>
      </c>
      <c r="AR13" s="91">
        <f t="shared" si="1"/>
        <v>3.2380296245263521E-2</v>
      </c>
      <c r="AS13" s="91">
        <f t="shared" si="1"/>
        <v>3.3742331288343558E-2</v>
      </c>
      <c r="AT13" s="91">
        <f t="shared" si="1"/>
        <v>3.2588610784478417E-2</v>
      </c>
      <c r="AU13" s="91">
        <f t="shared" si="1"/>
        <v>3.10126582278481E-2</v>
      </c>
      <c r="AV13" s="91">
        <f t="shared" si="1"/>
        <v>3.1338138514572234E-2</v>
      </c>
      <c r="AW13" s="91">
        <f t="shared" si="1"/>
        <v>3.035740989980559E-2</v>
      </c>
      <c r="AX13" s="91">
        <f t="shared" si="1"/>
        <v>2.9863603732950467E-2</v>
      </c>
      <c r="AY13" s="91">
        <f t="shared" si="1"/>
        <v>3.1190150478796169E-2</v>
      </c>
      <c r="AZ13" s="91">
        <f t="shared" si="1"/>
        <v>3.3900394477317554E-2</v>
      </c>
      <c r="BA13" s="91">
        <f t="shared" si="1"/>
        <v>3.8452520515826497E-2</v>
      </c>
      <c r="BB13" s="91">
        <f t="shared" si="1"/>
        <v>4.37152133580705E-2</v>
      </c>
      <c r="BC13" s="91">
        <f t="shared" si="1"/>
        <v>4.9439896596294698E-2</v>
      </c>
      <c r="BD13" s="91">
        <f t="shared" si="1"/>
        <v>4.8715677590788306E-2</v>
      </c>
      <c r="BE13" s="91">
        <f t="shared" si="2"/>
        <v>5.0395457310890283E-2</v>
      </c>
    </row>
    <row r="14" spans="1:57" s="90" customFormat="1" x14ac:dyDescent="0.25">
      <c r="A14" s="90" t="s">
        <v>321</v>
      </c>
      <c r="B14" s="90" t="s">
        <v>327</v>
      </c>
      <c r="C14" s="91">
        <f t="shared" si="0"/>
        <v>0.19260700389105059</v>
      </c>
      <c r="D14" s="91">
        <f t="shared" si="1"/>
        <v>0.17690875232774675</v>
      </c>
      <c r="E14" s="91">
        <f t="shared" si="1"/>
        <v>0.18384879725085912</v>
      </c>
      <c r="F14" s="91">
        <f t="shared" si="1"/>
        <v>0.17636986301369864</v>
      </c>
      <c r="G14" s="91">
        <f t="shared" si="1"/>
        <v>0.16512345679012347</v>
      </c>
      <c r="H14" s="91">
        <f t="shared" si="1"/>
        <v>0.16344725111441308</v>
      </c>
      <c r="I14" s="91">
        <f t="shared" si="1"/>
        <v>0.16535433070866143</v>
      </c>
      <c r="J14" s="91">
        <f t="shared" si="1"/>
        <v>0.17978848413631021</v>
      </c>
      <c r="K14" s="91">
        <f t="shared" si="1"/>
        <v>0.1716961498439126</v>
      </c>
      <c r="L14" s="91">
        <f t="shared" si="1"/>
        <v>0.16999050332383667</v>
      </c>
      <c r="M14" s="91">
        <f t="shared" si="1"/>
        <v>0.17241379310344829</v>
      </c>
      <c r="N14" s="91">
        <f t="shared" si="1"/>
        <v>0.18181818181818182</v>
      </c>
      <c r="O14" s="91">
        <f t="shared" si="1"/>
        <v>0.19201228878648233</v>
      </c>
      <c r="P14" s="91">
        <f t="shared" si="1"/>
        <v>0.20280701754385966</v>
      </c>
      <c r="Q14" s="91">
        <f t="shared" si="1"/>
        <v>0.19826435246995994</v>
      </c>
      <c r="R14" s="91">
        <f t="shared" si="1"/>
        <v>0.1884686918784873</v>
      </c>
      <c r="S14" s="91">
        <f t="shared" si="1"/>
        <v>0.18606060606060607</v>
      </c>
      <c r="T14" s="91">
        <f t="shared" si="1"/>
        <v>0.18115942028985507</v>
      </c>
      <c r="U14" s="91">
        <f t="shared" si="1"/>
        <v>0.17801608579088471</v>
      </c>
      <c r="V14" s="91">
        <f t="shared" si="1"/>
        <v>0.17862301396244584</v>
      </c>
      <c r="W14" s="91">
        <f t="shared" si="1"/>
        <v>0.17622571692876965</v>
      </c>
      <c r="X14" s="91">
        <f t="shared" si="1"/>
        <v>0.17688777638715061</v>
      </c>
      <c r="Y14" s="91">
        <f t="shared" si="1"/>
        <v>0.18129848917925684</v>
      </c>
      <c r="Z14" s="91">
        <f t="shared" si="1"/>
        <v>0.1647452584603942</v>
      </c>
      <c r="AA14" s="91">
        <f t="shared" si="1"/>
        <v>0.15505290040131339</v>
      </c>
      <c r="AB14" s="91">
        <f t="shared" si="1"/>
        <v>0.15049226441631505</v>
      </c>
      <c r="AC14" s="91">
        <f t="shared" si="1"/>
        <v>0.13871196036801131</v>
      </c>
      <c r="AD14" s="91">
        <f t="shared" si="1"/>
        <v>0.14134877384196184</v>
      </c>
      <c r="AE14" s="91">
        <f t="shared" si="1"/>
        <v>0.13615782664941786</v>
      </c>
      <c r="AF14" s="91">
        <f t="shared" si="1"/>
        <v>0.12138383537130928</v>
      </c>
      <c r="AG14" s="91">
        <f t="shared" si="1"/>
        <v>0.12451260722641019</v>
      </c>
      <c r="AH14" s="91">
        <f t="shared" si="1"/>
        <v>0.10286225402504472</v>
      </c>
      <c r="AI14" s="91">
        <f t="shared" si="1"/>
        <v>0.10372838991876693</v>
      </c>
      <c r="AJ14" s="91">
        <f t="shared" si="1"/>
        <v>9.8296455844918737E-2</v>
      </c>
      <c r="AK14" s="91">
        <f t="shared" si="1"/>
        <v>9.7638680659670171E-2</v>
      </c>
      <c r="AL14" s="91">
        <f t="shared" si="1"/>
        <v>0.10215854112393004</v>
      </c>
      <c r="AM14" s="91">
        <f t="shared" si="1"/>
        <v>9.9925289503175196E-2</v>
      </c>
      <c r="AN14" s="91">
        <f t="shared" si="1"/>
        <v>9.5026807173229796E-2</v>
      </c>
      <c r="AO14" s="91">
        <f t="shared" si="1"/>
        <v>9.4080534421970688E-2</v>
      </c>
      <c r="AP14" s="91">
        <f t="shared" si="1"/>
        <v>9.1380122468205371E-2</v>
      </c>
      <c r="AQ14" s="91">
        <f t="shared" si="1"/>
        <v>9.2107327789110308E-2</v>
      </c>
      <c r="AR14" s="91">
        <f t="shared" si="1"/>
        <v>9.3351705132621421E-2</v>
      </c>
      <c r="AS14" s="91">
        <f t="shared" si="1"/>
        <v>0.10348724572166614</v>
      </c>
      <c r="AT14" s="91">
        <f t="shared" si="1"/>
        <v>0.10549302872501259</v>
      </c>
      <c r="AU14" s="91">
        <f t="shared" si="1"/>
        <v>0.10253164556962026</v>
      </c>
      <c r="AV14" s="91">
        <f t="shared" si="1"/>
        <v>0.10200564086493262</v>
      </c>
      <c r="AW14" s="91">
        <f t="shared" si="1"/>
        <v>9.9745775385075522E-2</v>
      </c>
      <c r="AX14" s="91">
        <f t="shared" si="1"/>
        <v>9.4472361809045224E-2</v>
      </c>
      <c r="AY14" s="91">
        <f t="shared" si="1"/>
        <v>0.10560875512995896</v>
      </c>
      <c r="AZ14" s="91">
        <f t="shared" si="1"/>
        <v>0.12105522682445759</v>
      </c>
      <c r="BA14" s="91">
        <f t="shared" si="1"/>
        <v>9.8710433763188749E-2</v>
      </c>
      <c r="BB14" s="91">
        <f t="shared" si="1"/>
        <v>9.3228200371057501E-2</v>
      </c>
      <c r="BC14" s="91">
        <f t="shared" si="1"/>
        <v>0.11966824644549763</v>
      </c>
      <c r="BD14" s="91">
        <f t="shared" si="1"/>
        <v>0.12498769806121444</v>
      </c>
      <c r="BE14" s="91">
        <f t="shared" si="2"/>
        <v>0.13121070776718718</v>
      </c>
    </row>
    <row r="15" spans="1:57" s="90" customFormat="1" x14ac:dyDescent="0.25">
      <c r="A15" s="90" t="s">
        <v>322</v>
      </c>
      <c r="B15" s="90" t="s">
        <v>327</v>
      </c>
      <c r="C15" s="91">
        <f t="shared" si="0"/>
        <v>9.9221789883268477E-2</v>
      </c>
      <c r="D15" s="91">
        <f t="shared" si="1"/>
        <v>0.1042830540037244</v>
      </c>
      <c r="E15" s="91">
        <f t="shared" si="1"/>
        <v>0.10309278350515463</v>
      </c>
      <c r="F15" s="91">
        <f t="shared" si="1"/>
        <v>0.10445205479452055</v>
      </c>
      <c r="G15" s="91">
        <f t="shared" si="1"/>
        <v>0.10339506172839506</v>
      </c>
      <c r="H15" s="91">
        <f t="shared" si="1"/>
        <v>0.10846953937592868</v>
      </c>
      <c r="I15" s="91">
        <f t="shared" si="1"/>
        <v>0.10104986876640421</v>
      </c>
      <c r="J15" s="91">
        <f t="shared" si="1"/>
        <v>0.10693301997649823</v>
      </c>
      <c r="K15" s="91">
        <f t="shared" si="1"/>
        <v>0.10613943808532779</v>
      </c>
      <c r="L15" s="91">
        <f t="shared" si="1"/>
        <v>0.10446343779677113</v>
      </c>
      <c r="M15" s="91">
        <f t="shared" si="1"/>
        <v>0.10862068965517241</v>
      </c>
      <c r="N15" s="91">
        <f t="shared" si="1"/>
        <v>9.1728091728091724E-2</v>
      </c>
      <c r="O15" s="91">
        <f t="shared" si="1"/>
        <v>8.8325652841781871E-2</v>
      </c>
      <c r="P15" s="91">
        <f t="shared" si="1"/>
        <v>8.771929824561403E-2</v>
      </c>
      <c r="Q15" s="91">
        <f t="shared" si="1"/>
        <v>8.4779706275033381E-2</v>
      </c>
      <c r="R15" s="91">
        <f t="shared" si="1"/>
        <v>8.6794792312461261E-2</v>
      </c>
      <c r="S15" s="91">
        <f t="shared" si="1"/>
        <v>8.9696969696969692E-2</v>
      </c>
      <c r="T15" s="91">
        <f t="shared" si="1"/>
        <v>8.4169453734671121E-2</v>
      </c>
      <c r="U15" s="91">
        <f t="shared" si="1"/>
        <v>8.632707774798927E-2</v>
      </c>
      <c r="V15" s="91">
        <f t="shared" si="1"/>
        <v>8.521906596051998E-2</v>
      </c>
      <c r="W15" s="91">
        <f t="shared" si="1"/>
        <v>0.10037002775208141</v>
      </c>
      <c r="X15" s="91">
        <f t="shared" si="1"/>
        <v>8.9695452649144761E-2</v>
      </c>
      <c r="Y15" s="91">
        <f t="shared" si="1"/>
        <v>9.0240914659044505E-2</v>
      </c>
      <c r="Z15" s="91">
        <f t="shared" si="1"/>
        <v>9.7062104871699514E-2</v>
      </c>
      <c r="AA15" s="91">
        <f t="shared" si="1"/>
        <v>0.10361182050346589</v>
      </c>
      <c r="AB15" s="91">
        <f t="shared" si="1"/>
        <v>0.10056258790436005</v>
      </c>
      <c r="AC15" s="91">
        <f t="shared" si="1"/>
        <v>0.10686482661004953</v>
      </c>
      <c r="AD15" s="91">
        <f t="shared" si="1"/>
        <v>0.10388283378746593</v>
      </c>
      <c r="AE15" s="91">
        <f t="shared" si="1"/>
        <v>9.8965071151358344E-2</v>
      </c>
      <c r="AF15" s="91">
        <f t="shared" si="1"/>
        <v>9.2454518341783476E-2</v>
      </c>
      <c r="AG15" s="91">
        <f t="shared" si="1"/>
        <v>8.6560956589550306E-2</v>
      </c>
      <c r="AH15" s="91">
        <f t="shared" si="1"/>
        <v>7.2674418604651167E-2</v>
      </c>
      <c r="AI15" s="91">
        <f t="shared" si="1"/>
        <v>7.1235159341803786E-2</v>
      </c>
      <c r="AJ15" s="91">
        <f t="shared" si="1"/>
        <v>7.3232817701194441E-2</v>
      </c>
      <c r="AK15" s="91">
        <f t="shared" si="1"/>
        <v>7.0089955022488756E-2</v>
      </c>
      <c r="AL15" s="91">
        <f t="shared" si="1"/>
        <v>6.5128395980647569E-2</v>
      </c>
      <c r="AM15" s="91">
        <f t="shared" si="1"/>
        <v>6.4064251027269328E-2</v>
      </c>
      <c r="AN15" s="91">
        <f t="shared" si="1"/>
        <v>5.8606026992050288E-2</v>
      </c>
      <c r="AO15" s="91">
        <f t="shared" si="1"/>
        <v>5.5297828910744105E-2</v>
      </c>
      <c r="AP15" s="91">
        <f t="shared" si="1"/>
        <v>5.9035955409012401E-2</v>
      </c>
      <c r="AQ15" s="91">
        <f t="shared" si="1"/>
        <v>5.2408598776086612E-2</v>
      </c>
      <c r="AR15" s="91">
        <f t="shared" si="1"/>
        <v>5.5287633482604202E-2</v>
      </c>
      <c r="AS15" s="91">
        <f t="shared" si="1"/>
        <v>6.2641265741039717E-2</v>
      </c>
      <c r="AT15" s="91">
        <f t="shared" si="1"/>
        <v>6.8032924575844117E-2</v>
      </c>
      <c r="AU15" s="91">
        <f t="shared" si="1"/>
        <v>6.8987341772151906E-2</v>
      </c>
      <c r="AV15" s="91">
        <f t="shared" si="1"/>
        <v>6.9257286117204636E-2</v>
      </c>
      <c r="AW15" s="91">
        <f t="shared" si="1"/>
        <v>6.6247943771496939E-2</v>
      </c>
      <c r="AX15" s="91">
        <f t="shared" si="1"/>
        <v>6.4178033022254125E-2</v>
      </c>
      <c r="AY15" s="91">
        <f t="shared" si="1"/>
        <v>6.1285909712722297E-2</v>
      </c>
      <c r="AZ15" s="91">
        <f t="shared" si="1"/>
        <v>6.25E-2</v>
      </c>
      <c r="BA15" s="91">
        <f t="shared" si="1"/>
        <v>5.9085580304806568E-2</v>
      </c>
      <c r="BB15" s="91">
        <f t="shared" si="1"/>
        <v>4.1396103896103896E-2</v>
      </c>
      <c r="BC15" s="91">
        <f t="shared" si="1"/>
        <v>5.9995691512279188E-2</v>
      </c>
      <c r="BD15" s="91">
        <f t="shared" si="1"/>
        <v>5.7868320047239442E-2</v>
      </c>
      <c r="BE15" s="91">
        <f t="shared" si="2"/>
        <v>5.9926992496451024E-2</v>
      </c>
    </row>
    <row r="16" spans="1:57" s="90" customFormat="1" x14ac:dyDescent="0.25">
      <c r="A16" s="90" t="s">
        <v>323</v>
      </c>
      <c r="B16" s="90" t="s">
        <v>327</v>
      </c>
      <c r="C16" s="91">
        <f t="shared" si="0"/>
        <v>1.9455252918287938E-2</v>
      </c>
      <c r="D16" s="91">
        <f t="shared" si="1"/>
        <v>2.0484171322160148E-2</v>
      </c>
      <c r="E16" s="91">
        <f t="shared" si="1"/>
        <v>2.2336769759450172E-2</v>
      </c>
      <c r="F16" s="91">
        <f t="shared" si="1"/>
        <v>2.0547945205479451E-2</v>
      </c>
      <c r="G16" s="91">
        <f t="shared" si="1"/>
        <v>1.8518518518518517E-2</v>
      </c>
      <c r="H16" s="91">
        <f t="shared" si="1"/>
        <v>1.9316493313521546E-2</v>
      </c>
      <c r="I16" s="91">
        <f t="shared" si="1"/>
        <v>2.0997375328083989E-2</v>
      </c>
      <c r="J16" s="91">
        <f t="shared" si="1"/>
        <v>2.3501762632197415E-2</v>
      </c>
      <c r="K16" s="91">
        <f t="shared" si="1"/>
        <v>2.2892819979188347E-2</v>
      </c>
      <c r="L16" s="91">
        <f t="shared" si="1"/>
        <v>1.9943019943019943E-2</v>
      </c>
      <c r="M16" s="91">
        <f t="shared" si="1"/>
        <v>2.0689655172413793E-2</v>
      </c>
      <c r="N16" s="91">
        <f t="shared" si="1"/>
        <v>2.2932022932022931E-2</v>
      </c>
      <c r="O16" s="91">
        <f t="shared" si="1"/>
        <v>2.6881720430107527E-2</v>
      </c>
      <c r="P16" s="91">
        <f t="shared" si="1"/>
        <v>2.9473684210526315E-2</v>
      </c>
      <c r="Q16" s="91">
        <f t="shared" si="1"/>
        <v>2.9372496662216287E-2</v>
      </c>
      <c r="R16" s="91">
        <f t="shared" si="1"/>
        <v>3.5957842529448239E-2</v>
      </c>
      <c r="S16" s="91">
        <f t="shared" si="1"/>
        <v>3.6969696969696972E-2</v>
      </c>
      <c r="T16" s="91">
        <f t="shared" si="1"/>
        <v>3.5674470457079152E-2</v>
      </c>
      <c r="U16" s="91">
        <f t="shared" si="1"/>
        <v>3.4316353887399467E-2</v>
      </c>
      <c r="V16" s="91">
        <f t="shared" si="1"/>
        <v>3.514684641309581E-2</v>
      </c>
      <c r="W16" s="91">
        <f t="shared" si="1"/>
        <v>3.8852913968547641E-2</v>
      </c>
      <c r="X16" s="91">
        <f t="shared" si="1"/>
        <v>3.7546933667083858E-2</v>
      </c>
      <c r="Y16" s="91">
        <f t="shared" si="1"/>
        <v>4.7366271947733768E-2</v>
      </c>
      <c r="Z16" s="91">
        <f t="shared" si="1"/>
        <v>4.5370026031982147E-2</v>
      </c>
      <c r="AA16" s="91">
        <f t="shared" si="1"/>
        <v>4.7427946005107628E-2</v>
      </c>
      <c r="AB16" s="91">
        <f t="shared" si="1"/>
        <v>5.5555555555555552E-2</v>
      </c>
      <c r="AC16" s="91">
        <f t="shared" si="1"/>
        <v>5.5555555555555552E-2</v>
      </c>
      <c r="AD16" s="91">
        <f t="shared" si="1"/>
        <v>5.6880108991825613E-2</v>
      </c>
      <c r="AE16" s="91">
        <f t="shared" si="1"/>
        <v>5.9508408796895215E-2</v>
      </c>
      <c r="AF16" s="91">
        <f t="shared" si="1"/>
        <v>5.9051595586042352E-2</v>
      </c>
      <c r="AG16" s="91">
        <f t="shared" si="1"/>
        <v>5.7187418767871069E-2</v>
      </c>
      <c r="AH16" s="91">
        <f t="shared" si="1"/>
        <v>5.836314847942755E-2</v>
      </c>
      <c r="AI16" s="91">
        <f t="shared" si="1"/>
        <v>5.4780254113726307E-2</v>
      </c>
      <c r="AJ16" s="91">
        <f t="shared" si="1"/>
        <v>5.2281182690424907E-2</v>
      </c>
      <c r="AK16" s="91">
        <f t="shared" si="1"/>
        <v>5.5284857571214395E-2</v>
      </c>
      <c r="AL16" s="91">
        <f t="shared" si="1"/>
        <v>5.5452177149237065E-2</v>
      </c>
      <c r="AM16" s="91">
        <f t="shared" si="1"/>
        <v>5.2484124019424726E-2</v>
      </c>
      <c r="AN16" s="91">
        <f t="shared" si="1"/>
        <v>5.4538731743390648E-2</v>
      </c>
      <c r="AO16" s="91">
        <f t="shared" si="1"/>
        <v>5.6596771200593803E-2</v>
      </c>
      <c r="AP16" s="91">
        <f t="shared" si="1"/>
        <v>5.6680797613440102E-2</v>
      </c>
      <c r="AQ16" s="91">
        <f t="shared" si="1"/>
        <v>5.3506982582771062E-2</v>
      </c>
      <c r="AR16" s="91">
        <f t="shared" si="1"/>
        <v>5.804340337581812E-2</v>
      </c>
      <c r="AS16" s="91">
        <f t="shared" si="1"/>
        <v>5.6990636099451084E-2</v>
      </c>
      <c r="AT16" s="91">
        <f t="shared" si="1"/>
        <v>5.7618007727196371E-2</v>
      </c>
      <c r="AU16" s="91">
        <f t="shared" si="1"/>
        <v>6.139240506329114E-2</v>
      </c>
      <c r="AV16" s="91">
        <f t="shared" si="1"/>
        <v>6.0639298025697272E-2</v>
      </c>
      <c r="AW16" s="91">
        <f t="shared" si="1"/>
        <v>6.3107522057723936E-2</v>
      </c>
      <c r="AX16" s="91">
        <f t="shared" si="1"/>
        <v>5.5850681981335248E-2</v>
      </c>
      <c r="AY16" s="91">
        <f t="shared" si="1"/>
        <v>5.6361149110807113E-2</v>
      </c>
      <c r="AZ16" s="91">
        <f t="shared" si="1"/>
        <v>5.3377712031558187E-2</v>
      </c>
      <c r="BA16" s="91">
        <f t="shared" si="1"/>
        <v>6.9284876905041037E-2</v>
      </c>
      <c r="BB16" s="91">
        <f t="shared" si="1"/>
        <v>7.0384972170686455E-2</v>
      </c>
      <c r="BC16" s="91">
        <f t="shared" si="1"/>
        <v>6.2042223179663937E-2</v>
      </c>
      <c r="BD16" s="91">
        <f t="shared" si="1"/>
        <v>6.0328707804349964E-2</v>
      </c>
      <c r="BE16" s="91">
        <f t="shared" si="2"/>
        <v>6.3982964915838575E-2</v>
      </c>
    </row>
    <row r="17" spans="1:57" s="90" customFormat="1" x14ac:dyDescent="0.25">
      <c r="A17" s="90" t="s">
        <v>324</v>
      </c>
      <c r="B17" s="90" t="s">
        <v>327</v>
      </c>
      <c r="C17" s="91">
        <f t="shared" si="0"/>
        <v>0.3132295719844358</v>
      </c>
      <c r="D17" s="91">
        <f t="shared" si="1"/>
        <v>0.29050279329608941</v>
      </c>
      <c r="E17" s="91">
        <f t="shared" si="1"/>
        <v>0.2611683848797251</v>
      </c>
      <c r="F17" s="91">
        <f t="shared" si="1"/>
        <v>0.24486301369863014</v>
      </c>
      <c r="G17" s="91">
        <f t="shared" si="1"/>
        <v>0.25308641975308643</v>
      </c>
      <c r="H17" s="91">
        <f t="shared" si="1"/>
        <v>0.25557206537890043</v>
      </c>
      <c r="I17" s="91">
        <f t="shared" ref="I17:AN17" si="4">I7/I$10</f>
        <v>0.27165354330708663</v>
      </c>
      <c r="J17" s="91">
        <f t="shared" si="4"/>
        <v>0.24794359576968272</v>
      </c>
      <c r="K17" s="91">
        <f t="shared" si="4"/>
        <v>0.2518210197710718</v>
      </c>
      <c r="L17" s="91">
        <f t="shared" si="4"/>
        <v>0.24406457739791074</v>
      </c>
      <c r="M17" s="91">
        <f t="shared" si="4"/>
        <v>0.2439655172413793</v>
      </c>
      <c r="N17" s="91">
        <f t="shared" si="4"/>
        <v>0.25143325143325146</v>
      </c>
      <c r="O17" s="91">
        <f t="shared" si="4"/>
        <v>0.26036866359447003</v>
      </c>
      <c r="P17" s="91">
        <f t="shared" si="4"/>
        <v>0.24701754385964914</v>
      </c>
      <c r="Q17" s="91">
        <f t="shared" si="4"/>
        <v>0.24232309746328437</v>
      </c>
      <c r="R17" s="91">
        <f t="shared" si="4"/>
        <v>0.22442653440793556</v>
      </c>
      <c r="S17" s="91">
        <f t="shared" si="4"/>
        <v>0.22666666666666666</v>
      </c>
      <c r="T17" s="91">
        <f t="shared" si="4"/>
        <v>0.21794871794871795</v>
      </c>
      <c r="U17" s="91">
        <f t="shared" si="4"/>
        <v>0.21179624664879357</v>
      </c>
      <c r="V17" s="91">
        <f t="shared" si="4"/>
        <v>0.21376986037554166</v>
      </c>
      <c r="W17" s="91">
        <f t="shared" si="4"/>
        <v>0.19565217391304349</v>
      </c>
      <c r="X17" s="91">
        <f t="shared" si="4"/>
        <v>0.2060909470171047</v>
      </c>
      <c r="Y17" s="91">
        <f t="shared" si="4"/>
        <v>0.20334830543078808</v>
      </c>
      <c r="Z17" s="91">
        <f t="shared" si="4"/>
        <v>0.20453700260319821</v>
      </c>
      <c r="AA17" s="91">
        <f t="shared" si="4"/>
        <v>0.19992703392922292</v>
      </c>
      <c r="AB17" s="91">
        <f t="shared" si="4"/>
        <v>0.20077355836849509</v>
      </c>
      <c r="AC17" s="91">
        <f t="shared" si="4"/>
        <v>0.20099079971691436</v>
      </c>
      <c r="AD17" s="91">
        <f t="shared" si="4"/>
        <v>0.19380108991825612</v>
      </c>
      <c r="AE17" s="91">
        <f t="shared" si="4"/>
        <v>0.1904915912031048</v>
      </c>
      <c r="AF17" s="91">
        <f t="shared" si="4"/>
        <v>0.18669847897405309</v>
      </c>
      <c r="AG17" s="91">
        <f t="shared" si="4"/>
        <v>0.16506368598908241</v>
      </c>
      <c r="AH17" s="91">
        <f t="shared" si="4"/>
        <v>0.18313953488372092</v>
      </c>
      <c r="AI17" s="91">
        <f t="shared" si="4"/>
        <v>0.17225578004582379</v>
      </c>
      <c r="AJ17" s="91">
        <f t="shared" si="4"/>
        <v>0.16448012531819073</v>
      </c>
      <c r="AK17" s="91">
        <f t="shared" si="4"/>
        <v>0.16622938530734632</v>
      </c>
      <c r="AL17" s="91">
        <f t="shared" si="4"/>
        <v>0.15909936732415333</v>
      </c>
      <c r="AM17" s="91">
        <f t="shared" si="4"/>
        <v>0.16212177810982442</v>
      </c>
      <c r="AN17" s="91">
        <f t="shared" si="4"/>
        <v>0.16620447402477354</v>
      </c>
      <c r="AO17" s="91">
        <f t="shared" ref="AO17:BE17" si="5">AO7/AO$10</f>
        <v>0.16663573946928931</v>
      </c>
      <c r="AP17" s="91">
        <f t="shared" si="5"/>
        <v>0.16140681425655518</v>
      </c>
      <c r="AQ17" s="91">
        <f t="shared" si="5"/>
        <v>0.1738584654009101</v>
      </c>
      <c r="AR17" s="91">
        <f t="shared" si="5"/>
        <v>0.17309679641749914</v>
      </c>
      <c r="AS17" s="91">
        <f t="shared" si="5"/>
        <v>0.18404907975460122</v>
      </c>
      <c r="AT17" s="91">
        <f t="shared" si="5"/>
        <v>0.18394087014950444</v>
      </c>
      <c r="AU17" s="91">
        <f t="shared" si="5"/>
        <v>0.18813291139240507</v>
      </c>
      <c r="AV17" s="91">
        <f t="shared" si="5"/>
        <v>0.18787214039486055</v>
      </c>
      <c r="AW17" s="91">
        <f t="shared" si="5"/>
        <v>0.1914161806490205</v>
      </c>
      <c r="AX17" s="91">
        <f t="shared" si="5"/>
        <v>0.18636037329504665</v>
      </c>
      <c r="AY17" s="91">
        <f t="shared" si="5"/>
        <v>0.18440492476060191</v>
      </c>
      <c r="AZ17" s="91">
        <f t="shared" si="5"/>
        <v>0.18836291913214989</v>
      </c>
      <c r="BA17" s="91">
        <f t="shared" si="5"/>
        <v>0.15498241500586166</v>
      </c>
      <c r="BB17" s="91">
        <f t="shared" si="5"/>
        <v>0.15503246753246752</v>
      </c>
      <c r="BC17" s="91">
        <f t="shared" si="5"/>
        <v>0.16695389918138734</v>
      </c>
      <c r="BD17" s="91">
        <f t="shared" si="5"/>
        <v>0.15766164747564215</v>
      </c>
      <c r="BE17" s="91">
        <f t="shared" si="5"/>
        <v>0.15645913607787468</v>
      </c>
    </row>
    <row r="18" spans="1:57" s="90" customFormat="1" x14ac:dyDescent="0.25">
      <c r="A18" s="90" t="s">
        <v>325</v>
      </c>
      <c r="B18" s="90" t="s">
        <v>327</v>
      </c>
      <c r="C18" s="91">
        <f t="shared" si="0"/>
        <v>4.2801556420233464E-2</v>
      </c>
      <c r="D18" s="91">
        <f t="shared" ref="D18:H19" si="6">D8/D$10</f>
        <v>5.9590316573556797E-2</v>
      </c>
      <c r="E18" s="91">
        <f t="shared" si="6"/>
        <v>5.4982817869415807E-2</v>
      </c>
      <c r="F18" s="91">
        <f t="shared" si="6"/>
        <v>5.3082191780821915E-2</v>
      </c>
      <c r="G18" s="91">
        <f t="shared" si="6"/>
        <v>4.7839506172839504E-2</v>
      </c>
      <c r="H18" s="91">
        <f t="shared" si="6"/>
        <v>4.4576523031203567E-2</v>
      </c>
      <c r="I18" s="91">
        <f t="shared" ref="I18:AN18" si="7">I8/I$10</f>
        <v>5.1181102362204724E-2</v>
      </c>
      <c r="J18" s="91">
        <f t="shared" si="7"/>
        <v>5.0528789659224443E-2</v>
      </c>
      <c r="K18" s="91">
        <f t="shared" si="7"/>
        <v>5.0988553590010408E-2</v>
      </c>
      <c r="L18" s="91">
        <f t="shared" si="7"/>
        <v>5.0332383665716997E-2</v>
      </c>
      <c r="M18" s="91">
        <f t="shared" si="7"/>
        <v>4.4827586206896551E-2</v>
      </c>
      <c r="N18" s="91">
        <f t="shared" si="7"/>
        <v>4.0950040950040949E-2</v>
      </c>
      <c r="O18" s="91">
        <f t="shared" si="7"/>
        <v>2.9953917050691243E-2</v>
      </c>
      <c r="P18" s="91">
        <f t="shared" si="7"/>
        <v>3.0175438596491227E-2</v>
      </c>
      <c r="Q18" s="91">
        <f t="shared" si="7"/>
        <v>2.9372496662216287E-2</v>
      </c>
      <c r="R18" s="91">
        <f t="shared" si="7"/>
        <v>2.8518288902665844E-2</v>
      </c>
      <c r="S18" s="91">
        <f t="shared" si="7"/>
        <v>2.5454545454545455E-2</v>
      </c>
      <c r="T18" s="91">
        <f t="shared" si="7"/>
        <v>2.6755852842809364E-2</v>
      </c>
      <c r="U18" s="91">
        <f t="shared" si="7"/>
        <v>2.6273458445040216E-2</v>
      </c>
      <c r="V18" s="91">
        <f t="shared" si="7"/>
        <v>2.6480500722195474E-2</v>
      </c>
      <c r="W18" s="91">
        <f t="shared" si="7"/>
        <v>2.9139685476410732E-2</v>
      </c>
      <c r="X18" s="91">
        <f t="shared" si="7"/>
        <v>3.0454735085523571E-2</v>
      </c>
      <c r="Y18" s="91">
        <f t="shared" si="7"/>
        <v>2.8174765210289915E-2</v>
      </c>
      <c r="Z18" s="91">
        <f t="shared" si="7"/>
        <v>2.4916325771662327E-2</v>
      </c>
      <c r="AA18" s="91">
        <f t="shared" si="7"/>
        <v>2.3713973002553814E-2</v>
      </c>
      <c r="AB18" s="91">
        <f t="shared" si="7"/>
        <v>2.3909985935302389E-2</v>
      </c>
      <c r="AC18" s="91">
        <f t="shared" si="7"/>
        <v>2.3354564755838639E-2</v>
      </c>
      <c r="AD18" s="91">
        <f t="shared" si="7"/>
        <v>2.3841961852861037E-2</v>
      </c>
      <c r="AE18" s="91">
        <f t="shared" si="7"/>
        <v>2.5873221216041398E-2</v>
      </c>
      <c r="AF18" s="91">
        <f t="shared" si="7"/>
        <v>2.5648672830301224E-2</v>
      </c>
      <c r="AG18" s="91">
        <f t="shared" si="7"/>
        <v>2.7293995321029375E-2</v>
      </c>
      <c r="AH18" s="91">
        <f t="shared" si="7"/>
        <v>2.2584973166368514E-2</v>
      </c>
      <c r="AI18" s="91">
        <f t="shared" si="7"/>
        <v>2.1662153717975422E-2</v>
      </c>
      <c r="AJ18" s="91">
        <f t="shared" si="7"/>
        <v>2.0168396318778148E-2</v>
      </c>
      <c r="AK18" s="91">
        <f t="shared" si="7"/>
        <v>2.0427286356821589E-2</v>
      </c>
      <c r="AL18" s="91">
        <f t="shared" si="7"/>
        <v>2.0468924451060664E-2</v>
      </c>
      <c r="AM18" s="91">
        <f t="shared" si="7"/>
        <v>2.1105715353007096E-2</v>
      </c>
      <c r="AN18" s="91">
        <f t="shared" si="7"/>
        <v>2.126086152708449E-2</v>
      </c>
      <c r="AO18" s="91">
        <f t="shared" ref="AO18:BE18" si="8">AO8/AO$10</f>
        <v>1.8185192057895712E-2</v>
      </c>
      <c r="AP18" s="91">
        <f t="shared" si="8"/>
        <v>1.8056209766054324E-2</v>
      </c>
      <c r="AQ18" s="91">
        <f t="shared" si="8"/>
        <v>1.8829436686019142E-2</v>
      </c>
      <c r="AR18" s="91">
        <f t="shared" si="8"/>
        <v>2.1701687909059592E-2</v>
      </c>
      <c r="AS18" s="91">
        <f t="shared" si="8"/>
        <v>1.8243461414271876E-2</v>
      </c>
      <c r="AT18" s="91">
        <f t="shared" si="8"/>
        <v>2.0829833697295481E-2</v>
      </c>
      <c r="AU18" s="91">
        <f t="shared" si="8"/>
        <v>2.2784810126582278E-2</v>
      </c>
      <c r="AV18" s="91">
        <f t="shared" si="8"/>
        <v>1.7862738953306173E-2</v>
      </c>
      <c r="AW18" s="91">
        <f t="shared" si="8"/>
        <v>1.8244354718109767E-2</v>
      </c>
      <c r="AX18" s="91">
        <f t="shared" si="8"/>
        <v>1.4788226848528357E-2</v>
      </c>
      <c r="AY18" s="91">
        <f t="shared" si="8"/>
        <v>1.3953488372093023E-2</v>
      </c>
      <c r="AZ18" s="91">
        <f t="shared" si="8"/>
        <v>1.4299802761341223E-2</v>
      </c>
      <c r="BA18" s="91">
        <f t="shared" si="8"/>
        <v>1.3364595545134817E-2</v>
      </c>
      <c r="BB18" s="91">
        <f t="shared" si="8"/>
        <v>1.5885899814471242E-2</v>
      </c>
      <c r="BC18" s="91">
        <f t="shared" si="8"/>
        <v>2.0680741059887979E-2</v>
      </c>
      <c r="BD18" s="91">
        <f t="shared" si="8"/>
        <v>2.637535675622478E-2</v>
      </c>
      <c r="BE18" s="91">
        <f t="shared" si="8"/>
        <v>2.7580612451835327E-2</v>
      </c>
    </row>
    <row r="19" spans="1:57" s="90" customFormat="1" x14ac:dyDescent="0.25">
      <c r="A19" s="90" t="s">
        <v>253</v>
      </c>
      <c r="B19" s="90" t="s">
        <v>327</v>
      </c>
      <c r="C19" s="91">
        <f t="shared" si="0"/>
        <v>1.556420233463035E-2</v>
      </c>
      <c r="D19" s="91">
        <f t="shared" si="6"/>
        <v>1.86219739292365E-2</v>
      </c>
      <c r="E19" s="91">
        <f t="shared" si="6"/>
        <v>2.0618556701030927E-2</v>
      </c>
      <c r="F19" s="91">
        <f t="shared" si="6"/>
        <v>3.4246575342465752E-2</v>
      </c>
      <c r="G19" s="91">
        <f t="shared" si="6"/>
        <v>2.4691358024691357E-2</v>
      </c>
      <c r="H19" s="91">
        <f t="shared" si="6"/>
        <v>2.5260029717682021E-2</v>
      </c>
      <c r="I19" s="91">
        <f t="shared" ref="I19:AN19" si="9">I9/I$10</f>
        <v>2.3622047244094488E-2</v>
      </c>
      <c r="J19" s="91">
        <f t="shared" si="9"/>
        <v>2.1151586368977675E-2</v>
      </c>
      <c r="K19" s="91">
        <f t="shared" si="9"/>
        <v>2.1852237252861603E-2</v>
      </c>
      <c r="L19" s="91">
        <f t="shared" si="9"/>
        <v>2.6590693257359924E-2</v>
      </c>
      <c r="M19" s="91">
        <f t="shared" si="9"/>
        <v>3.017241379310345E-2</v>
      </c>
      <c r="N19" s="91">
        <f t="shared" si="9"/>
        <v>3.1122031122031123E-2</v>
      </c>
      <c r="O19" s="91">
        <f t="shared" si="9"/>
        <v>2.227342549923195E-2</v>
      </c>
      <c r="P19" s="91">
        <f t="shared" si="9"/>
        <v>2.2456140350877191E-2</v>
      </c>
      <c r="Q19" s="91">
        <f t="shared" si="9"/>
        <v>2.2029372496662217E-2</v>
      </c>
      <c r="R19" s="91">
        <f t="shared" si="9"/>
        <v>2.1078735275883449E-2</v>
      </c>
      <c r="S19" s="91">
        <f t="shared" si="9"/>
        <v>2.3030303030303029E-2</v>
      </c>
      <c r="T19" s="91">
        <f t="shared" si="9"/>
        <v>2.4526198439241916E-2</v>
      </c>
      <c r="U19" s="91">
        <f t="shared" si="9"/>
        <v>2.8418230563002682E-2</v>
      </c>
      <c r="V19" s="91">
        <f t="shared" si="9"/>
        <v>3.0813673567645642E-2</v>
      </c>
      <c r="W19" s="91">
        <f t="shared" si="9"/>
        <v>3.0527289546716005E-2</v>
      </c>
      <c r="X19" s="91">
        <f t="shared" si="9"/>
        <v>3.7546933667083858E-2</v>
      </c>
      <c r="Y19" s="91">
        <f t="shared" si="9"/>
        <v>3.3074724377296853E-2</v>
      </c>
      <c r="Z19" s="91">
        <f t="shared" si="9"/>
        <v>4.2023056898475269E-2</v>
      </c>
      <c r="AA19" s="91">
        <f t="shared" si="9"/>
        <v>3.8672017511856983E-2</v>
      </c>
      <c r="AB19" s="91">
        <f t="shared" si="9"/>
        <v>3.1645569620253167E-2</v>
      </c>
      <c r="AC19" s="91">
        <f t="shared" si="9"/>
        <v>2.9016277423920735E-2</v>
      </c>
      <c r="AD19" s="91">
        <f t="shared" si="9"/>
        <v>3.0994550408719346E-2</v>
      </c>
      <c r="AE19" s="91">
        <f t="shared" si="9"/>
        <v>3.1371280724450196E-2</v>
      </c>
      <c r="AF19" s="91">
        <f t="shared" si="9"/>
        <v>3.6087086191470323E-2</v>
      </c>
      <c r="AG19" s="91">
        <f t="shared" si="9"/>
        <v>3.0153366259422928E-2</v>
      </c>
      <c r="AH19" s="91">
        <f t="shared" si="9"/>
        <v>2.795169946332737E-2</v>
      </c>
      <c r="AI19" s="91">
        <f t="shared" si="9"/>
        <v>2.6661112268277443E-2</v>
      </c>
      <c r="AJ19" s="91">
        <f t="shared" si="9"/>
        <v>2.6042686508713532E-2</v>
      </c>
      <c r="AK19" s="91">
        <f t="shared" si="9"/>
        <v>3.5982008995502246E-2</v>
      </c>
      <c r="AL19" s="91">
        <f t="shared" si="9"/>
        <v>3.8890956457015256E-2</v>
      </c>
      <c r="AM19" s="91">
        <f t="shared" si="9"/>
        <v>4.5946955547254392E-2</v>
      </c>
      <c r="AN19" s="91">
        <f t="shared" si="9"/>
        <v>2.5882787946015898E-2</v>
      </c>
      <c r="AO19" s="91">
        <f t="shared" ref="AO19:BE19" si="10">AO9/AO$10</f>
        <v>4.0452774169604751E-2</v>
      </c>
      <c r="AP19" s="91">
        <f t="shared" si="10"/>
        <v>5.8250902810488302E-2</v>
      </c>
      <c r="AQ19" s="91">
        <f t="shared" si="10"/>
        <v>4.3307704377844029E-2</v>
      </c>
      <c r="AR19" s="91">
        <f t="shared" si="10"/>
        <v>5.8560110230795728E-2</v>
      </c>
      <c r="AS19" s="91">
        <f t="shared" si="10"/>
        <v>4.1168873103002906E-2</v>
      </c>
      <c r="AT19" s="91">
        <f t="shared" si="10"/>
        <v>3.3596505963379805E-2</v>
      </c>
      <c r="AU19" s="91">
        <f t="shared" si="10"/>
        <v>3.4968354430379746E-2</v>
      </c>
      <c r="AV19" s="91">
        <f t="shared" si="10"/>
        <v>5.1707928549044185E-2</v>
      </c>
      <c r="AW19" s="91">
        <f t="shared" si="10"/>
        <v>5.1742186331688353E-2</v>
      </c>
      <c r="AX19" s="91">
        <f t="shared" si="10"/>
        <v>6.4895908111988518E-2</v>
      </c>
      <c r="AY19" s="91">
        <f t="shared" si="10"/>
        <v>5.1162790697674418E-2</v>
      </c>
      <c r="AZ19" s="91">
        <f t="shared" si="10"/>
        <v>5.4240631163708086E-2</v>
      </c>
      <c r="BA19" s="91">
        <f t="shared" si="10"/>
        <v>6.7643610785463076E-2</v>
      </c>
      <c r="BB19" s="91">
        <f t="shared" si="10"/>
        <v>0.137639146567718</v>
      </c>
      <c r="BC19" s="91">
        <f t="shared" si="10"/>
        <v>7.3244291253769925E-2</v>
      </c>
      <c r="BD19" s="91">
        <f t="shared" si="10"/>
        <v>9.3396319259915359E-2</v>
      </c>
      <c r="BE19" s="91">
        <f t="shared" si="10"/>
        <v>0.1024133035895356</v>
      </c>
    </row>
    <row r="20" spans="1:57" s="67" customFormat="1" x14ac:dyDescent="0.25">
      <c r="A20" s="90" t="s">
        <v>326</v>
      </c>
      <c r="B20" s="90" t="s">
        <v>90</v>
      </c>
      <c r="C20" s="92">
        <f>C2/C$11</f>
        <v>7630.1162203132899</v>
      </c>
      <c r="D20" s="92">
        <f t="shared" ref="D20:AH20" si="11">D2/D$11</f>
        <v>7980.7692307692314</v>
      </c>
      <c r="E20" s="92">
        <f t="shared" si="11"/>
        <v>8903.1665901789802</v>
      </c>
      <c r="F20" s="92">
        <f t="shared" si="11"/>
        <v>8886.9335679718424</v>
      </c>
      <c r="G20" s="92">
        <f t="shared" si="11"/>
        <v>9774.1273100616017</v>
      </c>
      <c r="H20" s="92">
        <f t="shared" si="11"/>
        <v>9117.9754372906591</v>
      </c>
      <c r="I20" s="92">
        <f t="shared" si="11"/>
        <v>9220.5984690327077</v>
      </c>
      <c r="J20" s="92">
        <f t="shared" si="11"/>
        <v>9766.3854639844267</v>
      </c>
      <c r="K20" s="92">
        <f t="shared" si="11"/>
        <v>10428.701733049558</v>
      </c>
      <c r="L20" s="92">
        <f t="shared" si="11"/>
        <v>10829.817158931084</v>
      </c>
      <c r="M20" s="92">
        <f t="shared" si="11"/>
        <v>10840.879689521345</v>
      </c>
      <c r="N20" s="92">
        <f t="shared" si="11"/>
        <v>10461.828463713478</v>
      </c>
      <c r="O20" s="92">
        <f t="shared" si="11"/>
        <v>10464.860101343907</v>
      </c>
      <c r="P20" s="92">
        <f t="shared" si="11"/>
        <v>10935.19104918725</v>
      </c>
      <c r="Q20" s="92">
        <f t="shared" si="11"/>
        <v>11473.405339311188</v>
      </c>
      <c r="R20" s="92">
        <f t="shared" si="11"/>
        <v>12541.90494971406</v>
      </c>
      <c r="S20" s="92">
        <f t="shared" si="11"/>
        <v>12459.016393442624</v>
      </c>
      <c r="T20" s="92">
        <f t="shared" si="11"/>
        <v>13846.444067157139</v>
      </c>
      <c r="U20" s="92">
        <f t="shared" si="11"/>
        <v>14105.609355015531</v>
      </c>
      <c r="V20" s="92">
        <f t="shared" si="11"/>
        <v>14910.432033719704</v>
      </c>
      <c r="W20" s="92">
        <f t="shared" si="11"/>
        <v>14961.030159268046</v>
      </c>
      <c r="X20" s="92">
        <f t="shared" si="11"/>
        <v>15736.954032389989</v>
      </c>
      <c r="Y20" s="92">
        <f t="shared" si="11"/>
        <v>15815.512288541333</v>
      </c>
      <c r="Z20" s="92">
        <f t="shared" si="11"/>
        <v>16794.012162794326</v>
      </c>
      <c r="AA20" s="92">
        <f t="shared" si="11"/>
        <v>17213.490004578056</v>
      </c>
      <c r="AB20" s="92">
        <f t="shared" si="11"/>
        <v>17647.937836222354</v>
      </c>
      <c r="AC20" s="92">
        <f t="shared" si="11"/>
        <v>17688.471692578471</v>
      </c>
      <c r="AD20" s="92">
        <f t="shared" si="11"/>
        <v>18244.703847816691</v>
      </c>
      <c r="AE20" s="92">
        <f t="shared" si="11"/>
        <v>19299.743808710504</v>
      </c>
      <c r="AF20" s="92">
        <f t="shared" si="11"/>
        <v>21678.616617460986</v>
      </c>
      <c r="AG20" s="92">
        <f t="shared" si="11"/>
        <v>24734.885002065832</v>
      </c>
      <c r="AH20" s="92">
        <f t="shared" si="11"/>
        <v>31007.126529514589</v>
      </c>
      <c r="AI20" s="92">
        <f t="shared" ref="AI20:BE20" si="12">AI2/AI$11</f>
        <v>33717.235901509135</v>
      </c>
      <c r="AJ20" s="92">
        <f t="shared" si="12"/>
        <v>36069.619431094943</v>
      </c>
      <c r="AK20" s="92">
        <f t="shared" si="12"/>
        <v>35159.122606821351</v>
      </c>
      <c r="AL20" s="92">
        <f t="shared" si="12"/>
        <v>34600.713670481113</v>
      </c>
      <c r="AM20" s="92">
        <f t="shared" si="12"/>
        <v>33285.663210582767</v>
      </c>
      <c r="AN20" s="92">
        <f t="shared" si="12"/>
        <v>34180.004639294828</v>
      </c>
      <c r="AO20" s="92">
        <f t="shared" si="12"/>
        <v>32859.902283831383</v>
      </c>
      <c r="AP20" s="92">
        <f t="shared" si="12"/>
        <v>37408.615453829712</v>
      </c>
      <c r="AQ20" s="92">
        <f t="shared" si="12"/>
        <v>37812.22123104371</v>
      </c>
      <c r="AR20" s="92">
        <f t="shared" si="12"/>
        <v>32192.829033668564</v>
      </c>
      <c r="AS20" s="92">
        <f t="shared" si="12"/>
        <v>33251.019969937726</v>
      </c>
      <c r="AT20" s="92">
        <f t="shared" si="12"/>
        <v>31277.022039438994</v>
      </c>
      <c r="AU20" s="92">
        <f t="shared" si="12"/>
        <v>32052.609776304889</v>
      </c>
      <c r="AV20" s="92">
        <f t="shared" si="12"/>
        <v>31385.813858138579</v>
      </c>
      <c r="AW20" s="92">
        <f t="shared" si="12"/>
        <v>32591.010778930238</v>
      </c>
      <c r="AX20" s="92">
        <f t="shared" si="12"/>
        <v>34080</v>
      </c>
      <c r="AY20" s="92">
        <f t="shared" si="12"/>
        <v>35472.510271962434</v>
      </c>
      <c r="AZ20" s="92">
        <f t="shared" si="12"/>
        <v>36788.012678897321</v>
      </c>
      <c r="BA20" s="92">
        <f t="shared" si="12"/>
        <v>40324.262823551719</v>
      </c>
      <c r="BB20" s="92">
        <f t="shared" si="12"/>
        <v>34995.417048579286</v>
      </c>
      <c r="BC20" s="92">
        <f t="shared" si="12"/>
        <v>35646.363402724237</v>
      </c>
      <c r="BD20" s="92">
        <f t="shared" si="12"/>
        <v>35840.091750634885</v>
      </c>
      <c r="BE20" s="92">
        <f t="shared" si="12"/>
        <v>32107.23689459826</v>
      </c>
    </row>
    <row r="21" spans="1:57" s="67" customFormat="1" x14ac:dyDescent="0.25">
      <c r="A21" s="90" t="s">
        <v>320</v>
      </c>
      <c r="B21" s="90" t="s">
        <v>90</v>
      </c>
      <c r="C21" s="92">
        <f t="shared" ref="C21:AH21" si="13">C3/C$11</f>
        <v>555.83628094997471</v>
      </c>
      <c r="D21" s="92">
        <f t="shared" si="13"/>
        <v>528.84615384615392</v>
      </c>
      <c r="E21" s="92">
        <f t="shared" si="13"/>
        <v>550.71133547498846</v>
      </c>
      <c r="F21" s="92">
        <f t="shared" si="13"/>
        <v>527.93664760228774</v>
      </c>
      <c r="G21" s="92">
        <f t="shared" si="13"/>
        <v>574.94866529774129</v>
      </c>
      <c r="H21" s="92">
        <f t="shared" si="13"/>
        <v>521.02716784518054</v>
      </c>
      <c r="I21" s="92">
        <f t="shared" si="13"/>
        <v>487.12595685455813</v>
      </c>
      <c r="J21" s="92">
        <f t="shared" si="13"/>
        <v>519.14341336794291</v>
      </c>
      <c r="K21" s="92">
        <f t="shared" si="13"/>
        <v>547.27880814837329</v>
      </c>
      <c r="L21" s="92">
        <f t="shared" si="13"/>
        <v>562.58790436005631</v>
      </c>
      <c r="M21" s="92">
        <f t="shared" si="13"/>
        <v>517.4644243208279</v>
      </c>
      <c r="N21" s="92">
        <f t="shared" si="13"/>
        <v>494.81621112158342</v>
      </c>
      <c r="O21" s="92">
        <f t="shared" si="13"/>
        <v>484.68825732540205</v>
      </c>
      <c r="P21" s="92">
        <f t="shared" si="13"/>
        <v>506.64977834072198</v>
      </c>
      <c r="Q21" s="92">
        <f t="shared" si="13"/>
        <v>550.23435907886687</v>
      </c>
      <c r="R21" s="92">
        <f t="shared" si="13"/>
        <v>650.75921908893713</v>
      </c>
      <c r="S21" s="92">
        <f t="shared" si="13"/>
        <v>636.45130183220829</v>
      </c>
      <c r="T21" s="92">
        <f t="shared" si="13"/>
        <v>697.98151292209013</v>
      </c>
      <c r="U21" s="92">
        <f t="shared" si="13"/>
        <v>712.58907363420428</v>
      </c>
      <c r="V21" s="92">
        <f t="shared" si="13"/>
        <v>737.6185458377239</v>
      </c>
      <c r="W21" s="92">
        <f t="shared" si="13"/>
        <v>762.45340562521187</v>
      </c>
      <c r="X21" s="92">
        <f t="shared" si="13"/>
        <v>785.21184361197459</v>
      </c>
      <c r="Y21" s="92">
        <f t="shared" si="13"/>
        <v>478.77433769549947</v>
      </c>
      <c r="Z21" s="92">
        <f t="shared" si="13"/>
        <v>857.63293310463121</v>
      </c>
      <c r="AA21" s="92">
        <f t="shared" si="13"/>
        <v>839.3102395849229</v>
      </c>
      <c r="AB21" s="92">
        <f t="shared" si="13"/>
        <v>926.47937836222354</v>
      </c>
      <c r="AC21" s="92">
        <f t="shared" si="13"/>
        <v>777.35406277500738</v>
      </c>
      <c r="AD21" s="92">
        <f t="shared" si="13"/>
        <v>778.21011673151759</v>
      </c>
      <c r="AE21" s="92">
        <f t="shared" si="13"/>
        <v>839.73811557073725</v>
      </c>
      <c r="AF21" s="92">
        <f t="shared" si="13"/>
        <v>885.70223534373679</v>
      </c>
      <c r="AG21" s="92">
        <f t="shared" si="13"/>
        <v>2244.8698526373778</v>
      </c>
      <c r="AH21" s="92">
        <f t="shared" si="13"/>
        <v>995.02487562189049</v>
      </c>
      <c r="AI21" s="92">
        <f t="shared" ref="AI21:BE21" si="14">AI3/AI$11</f>
        <v>1204.6597828964786</v>
      </c>
      <c r="AJ21" s="92">
        <f t="shared" si="14"/>
        <v>1428.7569814261592</v>
      </c>
      <c r="AK21" s="92">
        <f t="shared" si="14"/>
        <v>2358.3111449220237</v>
      </c>
      <c r="AL21" s="92">
        <f t="shared" si="14"/>
        <v>2325.5813953488373</v>
      </c>
      <c r="AM21" s="92">
        <f t="shared" si="14"/>
        <v>2085.5678703372664</v>
      </c>
      <c r="AN21" s="92">
        <f t="shared" si="14"/>
        <v>2134.0756205056832</v>
      </c>
      <c r="AO21" s="92">
        <f t="shared" si="14"/>
        <v>1977.0480627201455</v>
      </c>
      <c r="AP21" s="92">
        <f t="shared" si="14"/>
        <v>2350.6917107187041</v>
      </c>
      <c r="AQ21" s="92">
        <f t="shared" si="14"/>
        <v>2397.4130240856375</v>
      </c>
      <c r="AR21" s="92">
        <f t="shared" si="14"/>
        <v>2055.0940096195891</v>
      </c>
      <c r="AS21" s="92">
        <f t="shared" si="14"/>
        <v>2243.9338630019324</v>
      </c>
      <c r="AT21" s="92">
        <f t="shared" si="14"/>
        <v>2045.7661077718021</v>
      </c>
      <c r="AU21" s="92">
        <f t="shared" si="14"/>
        <v>2029.8260149130074</v>
      </c>
      <c r="AV21" s="92">
        <f t="shared" si="14"/>
        <v>2050.020500205002</v>
      </c>
      <c r="AW21" s="92">
        <f t="shared" si="14"/>
        <v>2064.2668293675001</v>
      </c>
      <c r="AX21" s="92">
        <f t="shared" si="14"/>
        <v>2080</v>
      </c>
      <c r="AY21" s="92">
        <f t="shared" si="14"/>
        <v>2230.4832713754645</v>
      </c>
      <c r="AZ21" s="92">
        <f t="shared" si="14"/>
        <v>2641.4369416962832</v>
      </c>
      <c r="BA21" s="92">
        <f t="shared" si="14"/>
        <v>3109.8890679814167</v>
      </c>
      <c r="BB21" s="92">
        <f t="shared" si="14"/>
        <v>3455.5453712190651</v>
      </c>
      <c r="BC21" s="92">
        <f t="shared" si="14"/>
        <v>3932.1511179645336</v>
      </c>
      <c r="BD21" s="92">
        <f t="shared" si="14"/>
        <v>4055.0503809289753</v>
      </c>
      <c r="BE21" s="92">
        <f t="shared" si="14"/>
        <v>3965.5309981648447</v>
      </c>
    </row>
    <row r="22" spans="1:57" s="67" customFormat="1" x14ac:dyDescent="0.25">
      <c r="A22" s="90" t="s">
        <v>321</v>
      </c>
      <c r="B22" s="90" t="s">
        <v>90</v>
      </c>
      <c r="C22" s="92">
        <f t="shared" ref="C22:AH22" si="15">C4/C$11</f>
        <v>5002.5265285497726</v>
      </c>
      <c r="D22" s="92">
        <f t="shared" si="15"/>
        <v>4567.3076923076924</v>
      </c>
      <c r="E22" s="92">
        <f t="shared" si="15"/>
        <v>4910.5094079853143</v>
      </c>
      <c r="F22" s="92">
        <f t="shared" si="15"/>
        <v>4531.4562252529695</v>
      </c>
      <c r="G22" s="92">
        <f t="shared" si="15"/>
        <v>4394.2505133470231</v>
      </c>
      <c r="H22" s="92">
        <f t="shared" si="15"/>
        <v>4093.7848902121327</v>
      </c>
      <c r="I22" s="92">
        <f t="shared" si="15"/>
        <v>4384.1336116910234</v>
      </c>
      <c r="J22" s="92">
        <f t="shared" si="15"/>
        <v>4964.3088903309545</v>
      </c>
      <c r="K22" s="92">
        <f t="shared" si="15"/>
        <v>5016.7224080267551</v>
      </c>
      <c r="L22" s="92">
        <f t="shared" si="15"/>
        <v>5035.1617440225036</v>
      </c>
      <c r="M22" s="92">
        <f t="shared" si="15"/>
        <v>5174.6442432082795</v>
      </c>
      <c r="N22" s="92">
        <f t="shared" si="15"/>
        <v>5230.9142318567392</v>
      </c>
      <c r="O22" s="92">
        <f t="shared" si="15"/>
        <v>5507.8211059704781</v>
      </c>
      <c r="P22" s="92">
        <f t="shared" si="15"/>
        <v>6100.9077475195272</v>
      </c>
      <c r="Q22" s="92">
        <f t="shared" si="15"/>
        <v>6052.5779498675356</v>
      </c>
      <c r="R22" s="92">
        <f t="shared" si="15"/>
        <v>5994.8728061526326</v>
      </c>
      <c r="S22" s="92">
        <f t="shared" si="15"/>
        <v>5920.9257473481202</v>
      </c>
      <c r="T22" s="92">
        <f t="shared" si="15"/>
        <v>6130.9186945859274</v>
      </c>
      <c r="U22" s="92">
        <f t="shared" si="15"/>
        <v>6066.142883245021</v>
      </c>
      <c r="V22" s="92">
        <f t="shared" si="15"/>
        <v>6515.6304882332279</v>
      </c>
      <c r="W22" s="92">
        <f t="shared" si="15"/>
        <v>6455.4388342934608</v>
      </c>
      <c r="X22" s="92">
        <f t="shared" si="15"/>
        <v>6936.0379519057751</v>
      </c>
      <c r="Y22" s="92">
        <f t="shared" si="15"/>
        <v>7085.8601978933921</v>
      </c>
      <c r="Z22" s="92">
        <f t="shared" si="15"/>
        <v>6907.8434430063935</v>
      </c>
      <c r="AA22" s="92">
        <f t="shared" si="15"/>
        <v>6485.5791240653134</v>
      </c>
      <c r="AB22" s="92">
        <f t="shared" si="15"/>
        <v>6395.6963538553491</v>
      </c>
      <c r="AC22" s="92">
        <f t="shared" si="15"/>
        <v>5749.4866529774126</v>
      </c>
      <c r="AD22" s="92">
        <f t="shared" si="15"/>
        <v>5980.6888600662924</v>
      </c>
      <c r="AE22" s="92">
        <f t="shared" si="15"/>
        <v>5992.0296043267863</v>
      </c>
      <c r="AF22" s="92">
        <f t="shared" si="15"/>
        <v>5721.9176156333479</v>
      </c>
      <c r="AG22" s="92">
        <f t="shared" si="15"/>
        <v>6596.8874810632151</v>
      </c>
      <c r="AH22" s="92">
        <f t="shared" si="15"/>
        <v>6185.2897673793195</v>
      </c>
      <c r="AI22" s="92">
        <f t="shared" ref="AI22:BE22" si="16">AI4/AI$11</f>
        <v>6592.5337569499607</v>
      </c>
      <c r="AJ22" s="92">
        <f t="shared" si="16"/>
        <v>6520.3273152357442</v>
      </c>
      <c r="AK22" s="92">
        <f t="shared" si="16"/>
        <v>6605.8070242170661</v>
      </c>
      <c r="AL22" s="92">
        <f t="shared" si="16"/>
        <v>6755.2602436323368</v>
      </c>
      <c r="AM22" s="92">
        <f t="shared" si="16"/>
        <v>6375.8789178882134</v>
      </c>
      <c r="AN22" s="92">
        <f t="shared" si="16"/>
        <v>5961.4938529343544</v>
      </c>
      <c r="AO22" s="92">
        <f t="shared" si="16"/>
        <v>5760.709010339734</v>
      </c>
      <c r="AP22" s="92">
        <f t="shared" si="16"/>
        <v>6545.9453379822289</v>
      </c>
      <c r="AQ22" s="92">
        <f t="shared" si="16"/>
        <v>6545.495093666369</v>
      </c>
      <c r="AR22" s="92">
        <f t="shared" si="16"/>
        <v>5924.7923043288156</v>
      </c>
      <c r="AS22" s="92">
        <f t="shared" si="16"/>
        <v>6882.1129482499464</v>
      </c>
      <c r="AT22" s="92">
        <f t="shared" si="16"/>
        <v>6622.3768849520193</v>
      </c>
      <c r="AU22" s="92">
        <f t="shared" si="16"/>
        <v>6710.8533554266778</v>
      </c>
      <c r="AV22" s="92">
        <f t="shared" si="16"/>
        <v>6672.8167281672813</v>
      </c>
      <c r="AW22" s="92">
        <f t="shared" si="16"/>
        <v>6782.5910107789296</v>
      </c>
      <c r="AX22" s="92">
        <f t="shared" si="16"/>
        <v>6580</v>
      </c>
      <c r="AY22" s="92">
        <f t="shared" si="16"/>
        <v>7552.3380943063976</v>
      </c>
      <c r="AZ22" s="92">
        <f t="shared" si="16"/>
        <v>9432.3311881663631</v>
      </c>
      <c r="BA22" s="92">
        <f t="shared" si="16"/>
        <v>7983.3127903669292</v>
      </c>
      <c r="BB22" s="92">
        <f t="shared" si="16"/>
        <v>7369.3858845096238</v>
      </c>
      <c r="BC22" s="92">
        <f t="shared" si="16"/>
        <v>9517.6903966418231</v>
      </c>
      <c r="BD22" s="92">
        <f t="shared" si="16"/>
        <v>10403.866633898584</v>
      </c>
      <c r="BE22" s="92">
        <f t="shared" si="16"/>
        <v>10324.742679326577</v>
      </c>
    </row>
    <row r="23" spans="1:57" s="67" customFormat="1" x14ac:dyDescent="0.25">
      <c r="A23" s="90" t="s">
        <v>322</v>
      </c>
      <c r="B23" s="90" t="s">
        <v>90</v>
      </c>
      <c r="C23" s="92">
        <f t="shared" ref="C23:AH23" si="17">C5/C$11</f>
        <v>2577.059120768065</v>
      </c>
      <c r="D23" s="92">
        <f t="shared" si="17"/>
        <v>2692.3076923076924</v>
      </c>
      <c r="E23" s="92">
        <f t="shared" si="17"/>
        <v>2753.5566773749424</v>
      </c>
      <c r="F23" s="92">
        <f t="shared" si="17"/>
        <v>2683.6779586449625</v>
      </c>
      <c r="G23" s="92">
        <f t="shared" si="17"/>
        <v>2751.5400410677616</v>
      </c>
      <c r="H23" s="92">
        <f t="shared" si="17"/>
        <v>2716.7845180498698</v>
      </c>
      <c r="I23" s="92">
        <f t="shared" si="17"/>
        <v>2679.1927627000696</v>
      </c>
      <c r="J23" s="92">
        <f t="shared" si="17"/>
        <v>2952.6281635301752</v>
      </c>
      <c r="K23" s="92">
        <f t="shared" si="17"/>
        <v>3101.246579507449</v>
      </c>
      <c r="L23" s="92">
        <f t="shared" si="17"/>
        <v>3094.2334739803096</v>
      </c>
      <c r="M23" s="92">
        <f t="shared" si="17"/>
        <v>3260.025873221216</v>
      </c>
      <c r="N23" s="92">
        <f t="shared" si="17"/>
        <v>2639.0197926484448</v>
      </c>
      <c r="O23" s="92">
        <f t="shared" si="17"/>
        <v>2533.5977087464198</v>
      </c>
      <c r="P23" s="92">
        <f t="shared" si="17"/>
        <v>2638.8009288579269</v>
      </c>
      <c r="Q23" s="92">
        <f t="shared" si="17"/>
        <v>2588.1393927043</v>
      </c>
      <c r="R23" s="92">
        <f t="shared" si="17"/>
        <v>2760.7966870439755</v>
      </c>
      <c r="S23" s="92">
        <f t="shared" si="17"/>
        <v>2854.3876567020252</v>
      </c>
      <c r="T23" s="92">
        <f t="shared" si="17"/>
        <v>2848.5191473306922</v>
      </c>
      <c r="U23" s="92">
        <f t="shared" si="17"/>
        <v>2941.7138680796638</v>
      </c>
      <c r="V23" s="92">
        <f t="shared" si="17"/>
        <v>3108.5353003161222</v>
      </c>
      <c r="W23" s="92">
        <f t="shared" si="17"/>
        <v>3676.7197560149107</v>
      </c>
      <c r="X23" s="92">
        <f t="shared" si="17"/>
        <v>3517.0947161786357</v>
      </c>
      <c r="Y23" s="92">
        <f t="shared" si="17"/>
        <v>3526.9709543568461</v>
      </c>
      <c r="Z23" s="92">
        <f t="shared" si="17"/>
        <v>4069.8581007328867</v>
      </c>
      <c r="AA23" s="92">
        <f t="shared" si="17"/>
        <v>4333.8928734930569</v>
      </c>
      <c r="AB23" s="92">
        <f t="shared" si="17"/>
        <v>4273.7597130902568</v>
      </c>
      <c r="AC23" s="92">
        <f t="shared" si="17"/>
        <v>4429.4514520387211</v>
      </c>
      <c r="AD23" s="92">
        <f t="shared" si="17"/>
        <v>4395.4460296872749</v>
      </c>
      <c r="AE23" s="92">
        <f t="shared" si="17"/>
        <v>4355.2519214346712</v>
      </c>
      <c r="AF23" s="92">
        <f t="shared" si="17"/>
        <v>4358.2173485167996</v>
      </c>
      <c r="AG23" s="92">
        <f t="shared" si="17"/>
        <v>4586.1451590689994</v>
      </c>
      <c r="AH23" s="92">
        <f t="shared" si="17"/>
        <v>4370.0416834745192</v>
      </c>
      <c r="AI23" s="92">
        <f t="shared" ref="AI23:BE23" si="18">AI5/AI$11</f>
        <v>4527.4027005559974</v>
      </c>
      <c r="AJ23" s="92">
        <f t="shared" si="18"/>
        <v>4857.7737368489416</v>
      </c>
      <c r="AK23" s="92">
        <f t="shared" si="18"/>
        <v>4741.9804741980479</v>
      </c>
      <c r="AL23" s="92">
        <f t="shared" si="18"/>
        <v>4306.6322136089575</v>
      </c>
      <c r="AM23" s="92">
        <f t="shared" si="18"/>
        <v>4087.7130258610418</v>
      </c>
      <c r="AN23" s="92">
        <f t="shared" si="18"/>
        <v>3676.6411505451174</v>
      </c>
      <c r="AO23" s="92">
        <f t="shared" si="18"/>
        <v>3385.9788660379504</v>
      </c>
      <c r="AP23" s="92">
        <f t="shared" si="18"/>
        <v>4228.9956135417842</v>
      </c>
      <c r="AQ23" s="92">
        <f t="shared" si="18"/>
        <v>3724.3532560214094</v>
      </c>
      <c r="AR23" s="92">
        <f t="shared" si="18"/>
        <v>3508.9637079142985</v>
      </c>
      <c r="AS23" s="92">
        <f t="shared" si="18"/>
        <v>4165.7719561949752</v>
      </c>
      <c r="AT23" s="92">
        <f t="shared" si="18"/>
        <v>4270.8003796267003</v>
      </c>
      <c r="AU23" s="92">
        <f t="shared" si="18"/>
        <v>4515.3272576636291</v>
      </c>
      <c r="AV23" s="92">
        <f t="shared" si="18"/>
        <v>4530.5453054530544</v>
      </c>
      <c r="AW23" s="92">
        <f t="shared" si="18"/>
        <v>4504.7793369941019</v>
      </c>
      <c r="AX23" s="92">
        <f t="shared" si="18"/>
        <v>4470</v>
      </c>
      <c r="AY23" s="92">
        <f t="shared" si="18"/>
        <v>4382.7039718254746</v>
      </c>
      <c r="AZ23" s="92">
        <f t="shared" si="18"/>
        <v>4869.8491979636929</v>
      </c>
      <c r="BA23" s="92">
        <f t="shared" si="18"/>
        <v>4778.6100312885183</v>
      </c>
      <c r="BB23" s="92">
        <f t="shared" si="18"/>
        <v>3272.2273143904677</v>
      </c>
      <c r="BC23" s="92">
        <f t="shared" si="18"/>
        <v>4771.6953653730834</v>
      </c>
      <c r="BD23" s="92">
        <f t="shared" si="18"/>
        <v>4816.9083312853281</v>
      </c>
      <c r="BE23" s="92">
        <f t="shared" si="18"/>
        <v>4715.5509455038691</v>
      </c>
    </row>
    <row r="24" spans="1:57" s="67" customFormat="1" x14ac:dyDescent="0.25">
      <c r="A24" s="90" t="s">
        <v>323</v>
      </c>
      <c r="B24" s="90" t="s">
        <v>90</v>
      </c>
      <c r="C24" s="92">
        <f t="shared" ref="C24:AH24" si="19">C6/C$11</f>
        <v>505.30570995452251</v>
      </c>
      <c r="D24" s="92">
        <f t="shared" si="19"/>
        <v>528.84615384615392</v>
      </c>
      <c r="E24" s="92">
        <f t="shared" si="19"/>
        <v>596.60394676457088</v>
      </c>
      <c r="F24" s="92">
        <f t="shared" si="19"/>
        <v>527.93664760228774</v>
      </c>
      <c r="G24" s="92">
        <f t="shared" si="19"/>
        <v>492.81314168377827</v>
      </c>
      <c r="H24" s="92">
        <f t="shared" si="19"/>
        <v>483.81094157052473</v>
      </c>
      <c r="I24" s="92">
        <f t="shared" si="19"/>
        <v>556.71537926235214</v>
      </c>
      <c r="J24" s="92">
        <f t="shared" si="19"/>
        <v>648.9292667099287</v>
      </c>
      <c r="K24" s="92">
        <f t="shared" si="19"/>
        <v>668.89632107023408</v>
      </c>
      <c r="L24" s="92">
        <f t="shared" si="19"/>
        <v>590.71729957805906</v>
      </c>
      <c r="M24" s="92">
        <f t="shared" si="19"/>
        <v>620.95730918499351</v>
      </c>
      <c r="N24" s="92">
        <f t="shared" si="19"/>
        <v>659.75494816211119</v>
      </c>
      <c r="O24" s="92">
        <f t="shared" si="19"/>
        <v>771.09495483586693</v>
      </c>
      <c r="P24" s="92">
        <f t="shared" si="19"/>
        <v>886.63711209626342</v>
      </c>
      <c r="Q24" s="92">
        <f t="shared" si="19"/>
        <v>896.67821479519046</v>
      </c>
      <c r="R24" s="92">
        <f t="shared" si="19"/>
        <v>1143.7586274896471</v>
      </c>
      <c r="S24" s="92">
        <f t="shared" si="19"/>
        <v>1176.4705882352941</v>
      </c>
      <c r="T24" s="92">
        <f t="shared" si="19"/>
        <v>1207.3193737030749</v>
      </c>
      <c r="U24" s="92">
        <f t="shared" si="19"/>
        <v>1169.3769413484379</v>
      </c>
      <c r="V24" s="92">
        <f t="shared" si="19"/>
        <v>1282.051282051282</v>
      </c>
      <c r="W24" s="92">
        <f t="shared" si="19"/>
        <v>1423.2463571670621</v>
      </c>
      <c r="X24" s="92">
        <f t="shared" si="19"/>
        <v>1472.2722067724524</v>
      </c>
      <c r="Y24" s="92">
        <f t="shared" si="19"/>
        <v>1851.2607724225979</v>
      </c>
      <c r="Z24" s="92">
        <f t="shared" si="19"/>
        <v>1902.3857788866367</v>
      </c>
      <c r="AA24" s="92">
        <f t="shared" si="19"/>
        <v>1983.8242026552723</v>
      </c>
      <c r="AB24" s="92">
        <f t="shared" si="19"/>
        <v>2361.0280932456662</v>
      </c>
      <c r="AC24" s="92">
        <f t="shared" si="19"/>
        <v>2302.7280727486068</v>
      </c>
      <c r="AD24" s="92">
        <f t="shared" si="19"/>
        <v>2406.6868424845079</v>
      </c>
      <c r="AE24" s="92">
        <f t="shared" si="19"/>
        <v>2618.8442926273842</v>
      </c>
      <c r="AF24" s="92">
        <f t="shared" si="19"/>
        <v>2783.635596794601</v>
      </c>
      <c r="AG24" s="92">
        <f t="shared" si="19"/>
        <v>3029.8856906762157</v>
      </c>
      <c r="AH24" s="92">
        <f t="shared" si="19"/>
        <v>3509.4796288826137</v>
      </c>
      <c r="AI24" s="92">
        <f t="shared" ref="AI24:BE24" si="20">AI6/AI$11</f>
        <v>3481.5991527667461</v>
      </c>
      <c r="AJ24" s="92">
        <f t="shared" si="20"/>
        <v>3467.9828549162225</v>
      </c>
      <c r="AK24" s="92">
        <f t="shared" si="20"/>
        <v>3740.3321922150376</v>
      </c>
      <c r="AL24" s="92">
        <f t="shared" si="20"/>
        <v>3666.7897133013412</v>
      </c>
      <c r="AM24" s="92">
        <f t="shared" si="20"/>
        <v>3348.8261232272675</v>
      </c>
      <c r="AN24" s="92">
        <f t="shared" si="20"/>
        <v>3421.4799350498724</v>
      </c>
      <c r="AO24" s="92">
        <f t="shared" si="20"/>
        <v>3465.515282354278</v>
      </c>
      <c r="AP24" s="92">
        <f t="shared" si="20"/>
        <v>4060.2856821504893</v>
      </c>
      <c r="AQ24" s="92">
        <f t="shared" si="20"/>
        <v>3802.4085637823368</v>
      </c>
      <c r="AR24" s="92">
        <f t="shared" si="20"/>
        <v>3683.8653257542633</v>
      </c>
      <c r="AS24" s="92">
        <f t="shared" si="20"/>
        <v>3789.9935580846036</v>
      </c>
      <c r="AT24" s="92">
        <f t="shared" si="20"/>
        <v>3616.9988400295265</v>
      </c>
      <c r="AU24" s="92">
        <f t="shared" si="20"/>
        <v>4018.2270091135047</v>
      </c>
      <c r="AV24" s="92">
        <f t="shared" si="20"/>
        <v>3966.789667896679</v>
      </c>
      <c r="AW24" s="92">
        <f t="shared" si="20"/>
        <v>4291.2344925767738</v>
      </c>
      <c r="AX24" s="92">
        <f t="shared" si="20"/>
        <v>3890</v>
      </c>
      <c r="AY24" s="92">
        <f t="shared" si="20"/>
        <v>4030.5224026609276</v>
      </c>
      <c r="AZ24" s="92">
        <f t="shared" si="20"/>
        <v>4159.0625300163292</v>
      </c>
      <c r="BA24" s="92">
        <f t="shared" si="20"/>
        <v>5603.4891438323693</v>
      </c>
      <c r="BB24" s="92">
        <f t="shared" si="20"/>
        <v>5563.7030247479379</v>
      </c>
      <c r="BC24" s="92">
        <f t="shared" si="20"/>
        <v>4934.4641480339242</v>
      </c>
      <c r="BD24" s="92">
        <f t="shared" si="20"/>
        <v>5021.7088555746705</v>
      </c>
      <c r="BE24" s="92">
        <f t="shared" si="20"/>
        <v>5034.7083699034547</v>
      </c>
    </row>
    <row r="25" spans="1:57" s="67" customFormat="1" x14ac:dyDescent="0.25">
      <c r="A25" s="90" t="s">
        <v>324</v>
      </c>
      <c r="B25" s="90" t="s">
        <v>90</v>
      </c>
      <c r="C25" s="92">
        <f t="shared" ref="C25:AH25" si="21">C7/C$11</f>
        <v>8135.4219302678121</v>
      </c>
      <c r="D25" s="92">
        <f t="shared" si="21"/>
        <v>7500</v>
      </c>
      <c r="E25" s="92">
        <f t="shared" si="21"/>
        <v>6975.6769160165213</v>
      </c>
      <c r="F25" s="92">
        <f t="shared" si="21"/>
        <v>6291.2450505939287</v>
      </c>
      <c r="G25" s="92">
        <f t="shared" si="21"/>
        <v>6735.1129363449691</v>
      </c>
      <c r="H25" s="92">
        <f t="shared" si="21"/>
        <v>6401.1909192407893</v>
      </c>
      <c r="I25" s="92">
        <f t="shared" si="21"/>
        <v>7202.5052192066805</v>
      </c>
      <c r="J25" s="92">
        <f t="shared" si="21"/>
        <v>6846.2037637897474</v>
      </c>
      <c r="K25" s="92">
        <f t="shared" si="21"/>
        <v>7357.8595317725749</v>
      </c>
      <c r="L25" s="92">
        <f t="shared" si="21"/>
        <v>7229.2545710267232</v>
      </c>
      <c r="M25" s="92">
        <f t="shared" si="21"/>
        <v>7322.1216041397156</v>
      </c>
      <c r="N25" s="92">
        <f t="shared" si="21"/>
        <v>7233.7417530631483</v>
      </c>
      <c r="O25" s="92">
        <f t="shared" si="21"/>
        <v>7468.6054196959676</v>
      </c>
      <c r="P25" s="92">
        <f t="shared" si="21"/>
        <v>7430.8634156639218</v>
      </c>
      <c r="Q25" s="92">
        <f t="shared" si="21"/>
        <v>7397.5952720603218</v>
      </c>
      <c r="R25" s="92">
        <f t="shared" si="21"/>
        <v>7138.6314336422793</v>
      </c>
      <c r="S25" s="92">
        <f t="shared" si="21"/>
        <v>7213.1147540983611</v>
      </c>
      <c r="T25" s="92">
        <f t="shared" si="21"/>
        <v>7375.9667987172234</v>
      </c>
      <c r="U25" s="92">
        <f t="shared" si="21"/>
        <v>7217.2483098848897</v>
      </c>
      <c r="V25" s="92">
        <f t="shared" si="21"/>
        <v>7797.6817702845101</v>
      </c>
      <c r="W25" s="92">
        <f t="shared" si="21"/>
        <v>7167.0620128769915</v>
      </c>
      <c r="X25" s="92">
        <f t="shared" si="21"/>
        <v>8081.138557173238</v>
      </c>
      <c r="Y25" s="92">
        <f t="shared" si="21"/>
        <v>7947.6540057452912</v>
      </c>
      <c r="Z25" s="92">
        <f t="shared" si="21"/>
        <v>8576.3293310463123</v>
      </c>
      <c r="AA25" s="92">
        <f t="shared" si="21"/>
        <v>8362.5820235006868</v>
      </c>
      <c r="AB25" s="92">
        <f t="shared" si="21"/>
        <v>8532.5762104004771</v>
      </c>
      <c r="AC25" s="92">
        <f t="shared" si="21"/>
        <v>8330.8888237019655</v>
      </c>
      <c r="AD25" s="92">
        <f t="shared" si="21"/>
        <v>8200.0288225969161</v>
      </c>
      <c r="AE25" s="92">
        <f t="shared" si="21"/>
        <v>8383.1483062909192</v>
      </c>
      <c r="AF25" s="92">
        <f t="shared" si="21"/>
        <v>8800.78729087586</v>
      </c>
      <c r="AG25" s="92">
        <f t="shared" si="21"/>
        <v>8745.3518799063495</v>
      </c>
      <c r="AH25" s="92">
        <f t="shared" si="21"/>
        <v>11012.505042355788</v>
      </c>
      <c r="AI25" s="92">
        <f t="shared" ref="AI25:BE25" si="22">AI7/AI$11</f>
        <v>10947.842202806462</v>
      </c>
      <c r="AJ25" s="92">
        <f t="shared" si="22"/>
        <v>10910.507858163397</v>
      </c>
      <c r="AK25" s="92">
        <f t="shared" si="22"/>
        <v>11246.354760999113</v>
      </c>
      <c r="AL25" s="92">
        <f t="shared" si="22"/>
        <v>10520.487264673311</v>
      </c>
      <c r="AM25" s="92">
        <f t="shared" si="22"/>
        <v>10344.41663687284</v>
      </c>
      <c r="AN25" s="92">
        <f t="shared" si="22"/>
        <v>10426.815124101136</v>
      </c>
      <c r="AO25" s="92">
        <f t="shared" si="22"/>
        <v>10203.385978866037</v>
      </c>
      <c r="AP25" s="92">
        <f t="shared" si="22"/>
        <v>11562.253964683388</v>
      </c>
      <c r="AQ25" s="92">
        <f t="shared" si="22"/>
        <v>12355.040142729706</v>
      </c>
      <c r="AR25" s="92">
        <f t="shared" si="22"/>
        <v>10986.007870572803</v>
      </c>
      <c r="AS25" s="92">
        <f t="shared" si="22"/>
        <v>12239.639252737814</v>
      </c>
      <c r="AT25" s="92">
        <f t="shared" si="22"/>
        <v>11546.978804175893</v>
      </c>
      <c r="AU25" s="92">
        <f t="shared" si="22"/>
        <v>12313.587406793704</v>
      </c>
      <c r="AV25" s="92">
        <f t="shared" si="22"/>
        <v>12289.872898728987</v>
      </c>
      <c r="AW25" s="92">
        <f t="shared" si="22"/>
        <v>13016.066707341874</v>
      </c>
      <c r="AX25" s="92">
        <f t="shared" si="22"/>
        <v>12980</v>
      </c>
      <c r="AY25" s="92">
        <f t="shared" si="22"/>
        <v>13187.24320093915</v>
      </c>
      <c r="AZ25" s="92">
        <f t="shared" si="22"/>
        <v>14676.784170588802</v>
      </c>
      <c r="BA25" s="92">
        <f t="shared" si="22"/>
        <v>12534.36996302266</v>
      </c>
      <c r="BB25" s="92">
        <f t="shared" si="22"/>
        <v>12254.812098991752</v>
      </c>
      <c r="BC25" s="92">
        <f t="shared" si="22"/>
        <v>13278.505953910733</v>
      </c>
      <c r="BD25" s="92">
        <f t="shared" si="22"/>
        <v>13123.617596461048</v>
      </c>
      <c r="BE25" s="92">
        <f t="shared" si="22"/>
        <v>12311.497646213995</v>
      </c>
    </row>
    <row r="26" spans="1:57" s="67" customFormat="1" x14ac:dyDescent="0.25">
      <c r="A26" s="90" t="s">
        <v>325</v>
      </c>
      <c r="B26" s="90" t="s">
        <v>90</v>
      </c>
      <c r="C26" s="92">
        <f t="shared" ref="C26:AH26" si="23">C8/C$11</f>
        <v>1111.6725618999494</v>
      </c>
      <c r="D26" s="92">
        <f t="shared" si="23"/>
        <v>1538.4615384615386</v>
      </c>
      <c r="E26" s="92">
        <f t="shared" si="23"/>
        <v>1468.563561266636</v>
      </c>
      <c r="F26" s="92">
        <f t="shared" si="23"/>
        <v>1363.8363396392433</v>
      </c>
      <c r="G26" s="92">
        <f t="shared" si="23"/>
        <v>1273.1006160164272</v>
      </c>
      <c r="H26" s="92">
        <f t="shared" si="23"/>
        <v>1116.4867882396725</v>
      </c>
      <c r="I26" s="92">
        <f t="shared" si="23"/>
        <v>1356.9937369519835</v>
      </c>
      <c r="J26" s="92">
        <f t="shared" si="23"/>
        <v>1395.1979234263467</v>
      </c>
      <c r="K26" s="92">
        <f t="shared" si="23"/>
        <v>1489.8145332927941</v>
      </c>
      <c r="L26" s="92">
        <f t="shared" si="23"/>
        <v>1490.8579465541491</v>
      </c>
      <c r="M26" s="92">
        <f t="shared" si="23"/>
        <v>1345.4075032341527</v>
      </c>
      <c r="N26" s="92">
        <f t="shared" si="23"/>
        <v>1178.1338360037701</v>
      </c>
      <c r="O26" s="92">
        <f t="shared" si="23"/>
        <v>859.22009253139458</v>
      </c>
      <c r="P26" s="92">
        <f t="shared" si="23"/>
        <v>907.74751952712688</v>
      </c>
      <c r="Q26" s="92">
        <f t="shared" si="23"/>
        <v>896.67821479519046</v>
      </c>
      <c r="R26" s="92">
        <f t="shared" si="23"/>
        <v>907.11891145730624</v>
      </c>
      <c r="S26" s="92">
        <f t="shared" si="23"/>
        <v>810.02892960462884</v>
      </c>
      <c r="T26" s="92">
        <f t="shared" si="23"/>
        <v>905.48953027730613</v>
      </c>
      <c r="U26" s="92">
        <f t="shared" si="23"/>
        <v>895.30422071989767</v>
      </c>
      <c r="V26" s="92">
        <f t="shared" si="23"/>
        <v>965.92904812082895</v>
      </c>
      <c r="W26" s="92">
        <f t="shared" si="23"/>
        <v>1067.4347678752965</v>
      </c>
      <c r="X26" s="92">
        <f t="shared" si="23"/>
        <v>1194.1763454932113</v>
      </c>
      <c r="Y26" s="92">
        <f t="shared" si="23"/>
        <v>1101.1809766996489</v>
      </c>
      <c r="Z26" s="92">
        <f t="shared" si="23"/>
        <v>1044.7528457820054</v>
      </c>
      <c r="AA26" s="92">
        <f t="shared" si="23"/>
        <v>991.91210132763615</v>
      </c>
      <c r="AB26" s="92">
        <f t="shared" si="23"/>
        <v>1016.1386730424387</v>
      </c>
      <c r="AC26" s="92">
        <f t="shared" si="23"/>
        <v>968.02581402170733</v>
      </c>
      <c r="AD26" s="92">
        <f t="shared" si="23"/>
        <v>1008.7908920593746</v>
      </c>
      <c r="AE26" s="92">
        <f t="shared" si="23"/>
        <v>1138.627953316254</v>
      </c>
      <c r="AF26" s="92">
        <f t="shared" si="23"/>
        <v>1209.0538450724025</v>
      </c>
      <c r="AG26" s="92">
        <f t="shared" si="23"/>
        <v>1446.0818069136483</v>
      </c>
      <c r="AH26" s="92">
        <f t="shared" si="23"/>
        <v>1358.0744924028506</v>
      </c>
      <c r="AI26" s="92">
        <f t="shared" ref="AI26:BE26" si="24">AI8/AI$11</f>
        <v>1376.7540375959757</v>
      </c>
      <c r="AJ26" s="92">
        <f t="shared" si="24"/>
        <v>1337.8360826081309</v>
      </c>
      <c r="AK26" s="92">
        <f t="shared" si="24"/>
        <v>1382.0210472930139</v>
      </c>
      <c r="AL26" s="92">
        <f t="shared" si="24"/>
        <v>1353.5129814199581</v>
      </c>
      <c r="AM26" s="92">
        <f t="shared" si="24"/>
        <v>1346.6809677034919</v>
      </c>
      <c r="AN26" s="92">
        <f t="shared" si="24"/>
        <v>1333.7972628160521</v>
      </c>
      <c r="AO26" s="92">
        <f t="shared" si="24"/>
        <v>1113.5098284285878</v>
      </c>
      <c r="AP26" s="92">
        <f t="shared" si="24"/>
        <v>1293.4428073332583</v>
      </c>
      <c r="AQ26" s="92">
        <f t="shared" si="24"/>
        <v>1338.0909901873326</v>
      </c>
      <c r="AR26" s="92">
        <f t="shared" si="24"/>
        <v>1377.3502404897247</v>
      </c>
      <c r="AS26" s="92">
        <f t="shared" si="24"/>
        <v>1213.227399613485</v>
      </c>
      <c r="AT26" s="92">
        <f t="shared" si="24"/>
        <v>1307.6030791943476</v>
      </c>
      <c r="AU26" s="92">
        <f t="shared" si="24"/>
        <v>1491.3007456503728</v>
      </c>
      <c r="AV26" s="92">
        <f t="shared" si="24"/>
        <v>1168.5116851168511</v>
      </c>
      <c r="AW26" s="92">
        <f t="shared" si="24"/>
        <v>1240.5938580435225</v>
      </c>
      <c r="AX26" s="92">
        <f t="shared" si="24"/>
        <v>1030</v>
      </c>
      <c r="AY26" s="92">
        <f t="shared" si="24"/>
        <v>997.84777929954998</v>
      </c>
      <c r="AZ26" s="92">
        <f t="shared" si="24"/>
        <v>1114.2061281337049</v>
      </c>
      <c r="BA26" s="92">
        <f t="shared" si="24"/>
        <v>1080.8760785057364</v>
      </c>
      <c r="BB26" s="92">
        <f t="shared" si="24"/>
        <v>1255.7286892758937</v>
      </c>
      <c r="BC26" s="92">
        <f t="shared" si="24"/>
        <v>1644.8213826779747</v>
      </c>
      <c r="BD26" s="92">
        <f t="shared" si="24"/>
        <v>2195.4616203817482</v>
      </c>
      <c r="BE26" s="92">
        <f t="shared" si="24"/>
        <v>2170.2704859171786</v>
      </c>
    </row>
    <row r="27" spans="1:57" s="67" customFormat="1" x14ac:dyDescent="0.25">
      <c r="A27" s="90" t="s">
        <v>253</v>
      </c>
      <c r="B27" s="90" t="s">
        <v>90</v>
      </c>
      <c r="C27" s="92">
        <f t="shared" ref="C27:AH27" si="25">C9/C$11</f>
        <v>404.24456796361801</v>
      </c>
      <c r="D27" s="92">
        <f t="shared" si="25"/>
        <v>480.76923076923077</v>
      </c>
      <c r="E27" s="92">
        <f t="shared" si="25"/>
        <v>550.71133547498846</v>
      </c>
      <c r="F27" s="92">
        <f t="shared" si="25"/>
        <v>879.89441267047948</v>
      </c>
      <c r="G27" s="92">
        <f t="shared" si="25"/>
        <v>657.08418891170436</v>
      </c>
      <c r="H27" s="92">
        <f t="shared" si="25"/>
        <v>632.67584666914775</v>
      </c>
      <c r="I27" s="92">
        <f t="shared" si="25"/>
        <v>626.30480167014616</v>
      </c>
      <c r="J27" s="92">
        <f t="shared" si="25"/>
        <v>584.0363400389358</v>
      </c>
      <c r="K27" s="92">
        <f t="shared" si="25"/>
        <v>638.49194283976885</v>
      </c>
      <c r="L27" s="92">
        <f t="shared" si="25"/>
        <v>787.62306610407882</v>
      </c>
      <c r="M27" s="92">
        <f t="shared" si="25"/>
        <v>905.56274256144889</v>
      </c>
      <c r="N27" s="92">
        <f t="shared" si="25"/>
        <v>895.38171536286518</v>
      </c>
      <c r="O27" s="92">
        <f t="shared" si="25"/>
        <v>638.90724829257545</v>
      </c>
      <c r="P27" s="92">
        <f t="shared" si="25"/>
        <v>675.53303778762927</v>
      </c>
      <c r="Q27" s="92">
        <f t="shared" si="25"/>
        <v>672.50866109639287</v>
      </c>
      <c r="R27" s="92">
        <f t="shared" si="25"/>
        <v>670.4791954249655</v>
      </c>
      <c r="S27" s="92">
        <f t="shared" si="25"/>
        <v>732.88331726133083</v>
      </c>
      <c r="T27" s="92">
        <f t="shared" si="25"/>
        <v>830.03206942086399</v>
      </c>
      <c r="U27" s="92">
        <f t="shared" si="25"/>
        <v>968.39027955417498</v>
      </c>
      <c r="V27" s="92">
        <f t="shared" si="25"/>
        <v>1123.9901650860554</v>
      </c>
      <c r="W27" s="92">
        <f t="shared" si="25"/>
        <v>1118.2649949169775</v>
      </c>
      <c r="X27" s="92">
        <f t="shared" si="25"/>
        <v>1472.2722067724524</v>
      </c>
      <c r="Y27" s="92">
        <f t="shared" si="25"/>
        <v>1292.6907117778487</v>
      </c>
      <c r="Z27" s="92">
        <f t="shared" si="25"/>
        <v>1762.045844378606</v>
      </c>
      <c r="AA27" s="92">
        <f t="shared" si="25"/>
        <v>1617.5797344727605</v>
      </c>
      <c r="AB27" s="92">
        <f t="shared" si="25"/>
        <v>1344.8894202032277</v>
      </c>
      <c r="AC27" s="92">
        <f t="shared" si="25"/>
        <v>1202.6987386330302</v>
      </c>
      <c r="AD27" s="92">
        <f t="shared" si="25"/>
        <v>1311.4281596771871</v>
      </c>
      <c r="AE27" s="92">
        <f t="shared" si="25"/>
        <v>1380.5863933959579</v>
      </c>
      <c r="AF27" s="92">
        <f t="shared" si="25"/>
        <v>1701.1106424855896</v>
      </c>
      <c r="AG27" s="92">
        <f t="shared" si="25"/>
        <v>1597.576091447459</v>
      </c>
      <c r="AH27" s="92">
        <f t="shared" si="25"/>
        <v>1680.7852628748151</v>
      </c>
      <c r="AI27" s="92">
        <f t="shared" ref="AI27:BE27" si="26">AI9/AI$11</f>
        <v>1694.4665078104317</v>
      </c>
      <c r="AJ27" s="92">
        <f t="shared" si="26"/>
        <v>1727.4970775425379</v>
      </c>
      <c r="AK27" s="92">
        <f t="shared" si="26"/>
        <v>2434.3856979840243</v>
      </c>
      <c r="AL27" s="92">
        <f t="shared" si="26"/>
        <v>2571.6746646979204</v>
      </c>
      <c r="AM27" s="92">
        <f t="shared" si="26"/>
        <v>2931.7125491598144</v>
      </c>
      <c r="AN27" s="92">
        <f t="shared" si="26"/>
        <v>1623.7531895151938</v>
      </c>
      <c r="AO27" s="92">
        <f t="shared" si="26"/>
        <v>2476.9912509942051</v>
      </c>
      <c r="AP27" s="92">
        <f t="shared" si="26"/>
        <v>4172.7589697446856</v>
      </c>
      <c r="AQ27" s="92">
        <f t="shared" si="26"/>
        <v>3077.6092774308649</v>
      </c>
      <c r="AR27" s="92">
        <f t="shared" si="26"/>
        <v>3716.659379099257</v>
      </c>
      <c r="AS27" s="92">
        <f t="shared" si="26"/>
        <v>2737.8140433755639</v>
      </c>
      <c r="AT27" s="92">
        <f t="shared" si="26"/>
        <v>2109.0372245070125</v>
      </c>
      <c r="AU27" s="92">
        <f t="shared" si="26"/>
        <v>2288.7323943661972</v>
      </c>
      <c r="AV27" s="92">
        <f t="shared" si="26"/>
        <v>3382.5338253382533</v>
      </c>
      <c r="AW27" s="92">
        <f t="shared" si="26"/>
        <v>3518.4055318283504</v>
      </c>
      <c r="AX27" s="92">
        <f t="shared" si="26"/>
        <v>4520</v>
      </c>
      <c r="AY27" s="92">
        <f t="shared" si="26"/>
        <v>3658.7751907650168</v>
      </c>
      <c r="AZ27" s="92">
        <f t="shared" si="26"/>
        <v>4226.2991067140529</v>
      </c>
      <c r="BA27" s="92">
        <f t="shared" si="26"/>
        <v>5470.7499762965772</v>
      </c>
      <c r="BB27" s="92">
        <f t="shared" si="26"/>
        <v>10879.926672777268</v>
      </c>
      <c r="BC27" s="92">
        <f t="shared" si="26"/>
        <v>5825.409063651161</v>
      </c>
      <c r="BD27" s="92">
        <f t="shared" si="26"/>
        <v>7774.22790202343</v>
      </c>
      <c r="BE27" s="92">
        <f t="shared" si="26"/>
        <v>8058.7249660895232</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56F3-112C-4E51-BAE4-B7588876EF1F}">
  <dimension ref="A1:BY85"/>
  <sheetViews>
    <sheetView workbookViewId="0">
      <pane xSplit="3" ySplit="1" topLeftCell="BG2" activePane="bottomRight" state="frozen"/>
      <selection pane="topRight" activeCell="E1" sqref="E1"/>
      <selection pane="bottomLeft" activeCell="A2" sqref="A2"/>
      <selection pane="bottomRight" activeCell="BO27" sqref="BO27"/>
    </sheetView>
  </sheetViews>
  <sheetFormatPr defaultRowHeight="11.5" x14ac:dyDescent="0.25"/>
  <cols>
    <col min="1" max="1" width="16.54296875" style="36" bestFit="1" customWidth="1"/>
    <col min="2" max="2" width="17.81640625" style="36" bestFit="1" customWidth="1"/>
    <col min="3" max="3" width="13.6328125" style="36" customWidth="1"/>
    <col min="4" max="68" width="12.08984375" style="36" bestFit="1" customWidth="1"/>
    <col min="69" max="77" width="10.90625" style="36" bestFit="1" customWidth="1"/>
    <col min="78" max="16384" width="8.7265625" style="36"/>
  </cols>
  <sheetData>
    <row r="1" spans="1:77" s="99" customFormat="1" x14ac:dyDescent="0.25">
      <c r="A1" s="99" t="s">
        <v>312</v>
      </c>
      <c r="B1" s="99" t="s">
        <v>313</v>
      </c>
      <c r="C1" s="99" t="s">
        <v>314</v>
      </c>
      <c r="D1" s="100">
        <v>1953</v>
      </c>
      <c r="E1" s="100">
        <v>1954</v>
      </c>
      <c r="F1" s="100">
        <v>1955</v>
      </c>
      <c r="G1" s="100">
        <v>1956</v>
      </c>
      <c r="H1" s="100">
        <v>1957</v>
      </c>
      <c r="I1" s="100">
        <v>1958</v>
      </c>
      <c r="J1" s="100">
        <v>1959</v>
      </c>
      <c r="K1" s="100">
        <v>1960</v>
      </c>
      <c r="L1" s="100">
        <v>1961</v>
      </c>
      <c r="M1" s="100">
        <v>1962</v>
      </c>
      <c r="N1" s="100">
        <v>1963</v>
      </c>
      <c r="O1" s="100">
        <v>1964</v>
      </c>
      <c r="P1" s="100">
        <v>1965</v>
      </c>
      <c r="Q1" s="100">
        <v>1966</v>
      </c>
      <c r="R1" s="100">
        <v>1967</v>
      </c>
      <c r="S1" s="100">
        <v>1968</v>
      </c>
      <c r="T1" s="100">
        <v>1969</v>
      </c>
      <c r="U1" s="100">
        <v>1970</v>
      </c>
      <c r="V1" s="100">
        <v>1971</v>
      </c>
      <c r="W1" s="100">
        <v>1972</v>
      </c>
      <c r="X1" s="100">
        <v>1973</v>
      </c>
      <c r="Y1" s="100">
        <v>1974</v>
      </c>
      <c r="Z1" s="100">
        <v>1975</v>
      </c>
      <c r="AA1" s="100">
        <v>1976</v>
      </c>
      <c r="AB1" s="100">
        <v>1977</v>
      </c>
      <c r="AC1" s="100">
        <v>1978</v>
      </c>
      <c r="AD1" s="100">
        <v>1979</v>
      </c>
      <c r="AE1" s="100">
        <v>1980</v>
      </c>
      <c r="AF1" s="100">
        <v>1981</v>
      </c>
      <c r="AG1" s="100">
        <v>1982</v>
      </c>
      <c r="AH1" s="100">
        <v>1983</v>
      </c>
      <c r="AI1" s="100">
        <v>1984</v>
      </c>
      <c r="AJ1" s="100">
        <v>1985</v>
      </c>
      <c r="AK1" s="100">
        <v>1986</v>
      </c>
      <c r="AL1" s="100">
        <v>1987</v>
      </c>
      <c r="AM1" s="100">
        <v>1988</v>
      </c>
      <c r="AN1" s="100">
        <v>1989</v>
      </c>
      <c r="AO1" s="100">
        <v>1990</v>
      </c>
      <c r="AP1" s="100">
        <v>1991</v>
      </c>
      <c r="AQ1" s="100">
        <v>1992</v>
      </c>
      <c r="AR1" s="100">
        <v>1993</v>
      </c>
      <c r="AS1" s="100">
        <v>1994</v>
      </c>
      <c r="AT1" s="100">
        <v>1995</v>
      </c>
      <c r="AU1" s="101">
        <v>1996</v>
      </c>
      <c r="AV1" s="101">
        <v>1997</v>
      </c>
      <c r="AW1" s="101">
        <v>1998</v>
      </c>
      <c r="AX1" s="101">
        <v>1999</v>
      </c>
      <c r="AY1" s="101">
        <v>2000</v>
      </c>
      <c r="AZ1" s="101">
        <v>2001</v>
      </c>
      <c r="BA1" s="101">
        <v>2002</v>
      </c>
      <c r="BB1" s="101">
        <v>2003</v>
      </c>
      <c r="BC1" s="101">
        <v>2004</v>
      </c>
      <c r="BD1" s="100">
        <v>2005</v>
      </c>
      <c r="BE1" s="100">
        <v>2006</v>
      </c>
      <c r="BF1" s="100">
        <v>2007</v>
      </c>
      <c r="BG1" s="100">
        <v>2008</v>
      </c>
      <c r="BH1" s="100">
        <v>2009</v>
      </c>
      <c r="BI1" s="100">
        <v>2010</v>
      </c>
      <c r="BJ1" s="100">
        <v>2011</v>
      </c>
      <c r="BK1" s="100">
        <v>2012</v>
      </c>
      <c r="BL1" s="100">
        <v>2013</v>
      </c>
      <c r="BM1" s="100">
        <v>2014</v>
      </c>
      <c r="BN1" s="100">
        <v>2015</v>
      </c>
      <c r="BO1" s="100">
        <v>2016</v>
      </c>
      <c r="BP1" s="100">
        <v>2017</v>
      </c>
      <c r="BQ1" s="100">
        <v>2018</v>
      </c>
      <c r="BR1" s="100">
        <v>2019</v>
      </c>
      <c r="BS1" s="100">
        <v>2020</v>
      </c>
      <c r="BT1" s="100">
        <v>2021</v>
      </c>
      <c r="BU1" s="100">
        <v>2022</v>
      </c>
      <c r="BV1" s="100">
        <v>2023</v>
      </c>
      <c r="BW1" s="100">
        <v>2024</v>
      </c>
      <c r="BX1" s="100">
        <v>2025</v>
      </c>
      <c r="BY1" s="100">
        <v>2026</v>
      </c>
    </row>
    <row r="2" spans="1:77" x14ac:dyDescent="0.25">
      <c r="A2" s="36" t="s">
        <v>315</v>
      </c>
      <c r="B2" s="36" t="s">
        <v>91</v>
      </c>
      <c r="C2" s="37" t="s">
        <v>75</v>
      </c>
      <c r="D2" s="38">
        <v>5160</v>
      </c>
      <c r="E2" s="38">
        <v>5621</v>
      </c>
      <c r="F2" s="38">
        <v>6185</v>
      </c>
      <c r="G2" s="38">
        <v>8501</v>
      </c>
      <c r="H2" s="38">
        <v>9908</v>
      </c>
      <c r="I2" s="38">
        <v>10915</v>
      </c>
      <c r="J2" s="38">
        <v>12490</v>
      </c>
      <c r="K2" s="38">
        <v>13711</v>
      </c>
      <c r="L2" s="38">
        <v>14564</v>
      </c>
      <c r="M2" s="38">
        <v>15636</v>
      </c>
      <c r="N2" s="38">
        <v>17519</v>
      </c>
      <c r="O2" s="38">
        <v>19103</v>
      </c>
      <c r="P2" s="38">
        <v>20253</v>
      </c>
      <c r="Q2" s="38">
        <v>22072</v>
      </c>
      <c r="R2" s="38">
        <v>23347</v>
      </c>
      <c r="S2" s="38">
        <v>24667</v>
      </c>
      <c r="T2" s="38">
        <v>25996</v>
      </c>
      <c r="U2" s="38">
        <v>26271</v>
      </c>
      <c r="V2" s="38">
        <v>26952</v>
      </c>
      <c r="W2" s="38">
        <v>28740</v>
      </c>
      <c r="X2" s="38">
        <v>30952</v>
      </c>
      <c r="Y2" s="38">
        <v>33359</v>
      </c>
      <c r="Z2" s="38">
        <v>35671</v>
      </c>
      <c r="AA2" s="38">
        <v>39435</v>
      </c>
      <c r="AB2" s="38">
        <v>43338</v>
      </c>
      <c r="AC2" s="38">
        <v>48719</v>
      </c>
      <c r="AD2" s="38">
        <v>55379</v>
      </c>
      <c r="AE2" s="38">
        <v>63224</v>
      </c>
      <c r="AF2" s="38">
        <v>72292</v>
      </c>
      <c r="AG2" s="38">
        <v>80748</v>
      </c>
      <c r="AH2" s="38">
        <v>89949</v>
      </c>
      <c r="AI2" s="38">
        <v>102244</v>
      </c>
      <c r="AJ2" s="38">
        <v>114671</v>
      </c>
      <c r="AK2" s="38">
        <v>120249</v>
      </c>
      <c r="AL2" s="38">
        <v>126360</v>
      </c>
      <c r="AM2" s="38">
        <v>133881</v>
      </c>
      <c r="AN2" s="38">
        <v>141891</v>
      </c>
      <c r="AO2" s="38">
        <v>151993</v>
      </c>
      <c r="AP2" s="38">
        <v>160876</v>
      </c>
      <c r="AQ2" s="38">
        <v>165350</v>
      </c>
      <c r="AR2" s="38">
        <v>165730</v>
      </c>
      <c r="AS2" s="38">
        <v>169207</v>
      </c>
      <c r="AT2" s="38">
        <v>183625</v>
      </c>
      <c r="AU2" s="38">
        <v>197346</v>
      </c>
      <c r="AV2" s="38">
        <v>211894</v>
      </c>
      <c r="AW2" s="38">
        <v>225759</v>
      </c>
      <c r="AX2" s="38">
        <v>244451</v>
      </c>
      <c r="AY2" s="38">
        <v>267950</v>
      </c>
      <c r="AZ2" s="38">
        <v>278539</v>
      </c>
      <c r="BA2" s="38">
        <v>277911</v>
      </c>
      <c r="BB2" s="38">
        <v>291365</v>
      </c>
      <c r="BC2" s="38">
        <v>302731</v>
      </c>
      <c r="BD2" s="38">
        <v>325288</v>
      </c>
      <c r="BE2" s="38">
        <v>350908</v>
      </c>
      <c r="BF2" s="38">
        <v>377890</v>
      </c>
      <c r="BG2" s="38">
        <v>404773</v>
      </c>
      <c r="BH2" s="38">
        <v>402931</v>
      </c>
      <c r="BI2" s="38">
        <v>406580</v>
      </c>
      <c r="BJ2" s="38">
        <v>426161</v>
      </c>
      <c r="BK2" s="38">
        <v>433619</v>
      </c>
      <c r="BL2" s="38">
        <v>453964</v>
      </c>
      <c r="BM2" s="38">
        <v>475418</v>
      </c>
      <c r="BN2" s="46">
        <v>494471</v>
      </c>
      <c r="BO2" s="46">
        <v>521686</v>
      </c>
      <c r="BP2" s="39">
        <v>553530</v>
      </c>
      <c r="BQ2" s="39">
        <v>603844</v>
      </c>
      <c r="BR2" s="39">
        <v>665267</v>
      </c>
      <c r="BS2" s="39">
        <v>716479</v>
      </c>
      <c r="BT2" s="39">
        <v>788718</v>
      </c>
      <c r="BU2" s="39">
        <v>891834</v>
      </c>
      <c r="BV2" s="39">
        <v>939561</v>
      </c>
    </row>
    <row r="3" spans="1:77" x14ac:dyDescent="0.25">
      <c r="A3" s="36" t="s">
        <v>315</v>
      </c>
      <c r="B3" s="36" t="s">
        <v>91</v>
      </c>
      <c r="C3" s="37" t="s">
        <v>316</v>
      </c>
      <c r="D3" s="38">
        <v>2783</v>
      </c>
      <c r="E3" s="38">
        <v>3102</v>
      </c>
      <c r="F3" s="38">
        <v>3507</v>
      </c>
      <c r="G3" s="38">
        <v>4979</v>
      </c>
      <c r="H3" s="38">
        <v>6233</v>
      </c>
      <c r="I3" s="38">
        <v>6974</v>
      </c>
      <c r="J3" s="38">
        <v>8167</v>
      </c>
      <c r="K3" s="38">
        <v>8915</v>
      </c>
      <c r="L3" s="38">
        <v>9484</v>
      </c>
      <c r="M3" s="38">
        <v>10138</v>
      </c>
      <c r="N3" s="38">
        <v>11646</v>
      </c>
      <c r="O3" s="38">
        <v>12765</v>
      </c>
      <c r="P3" s="38">
        <v>13194</v>
      </c>
      <c r="Q3" s="38">
        <v>14165</v>
      </c>
      <c r="R3" s="38">
        <v>14564</v>
      </c>
      <c r="S3" s="38">
        <v>14965</v>
      </c>
      <c r="T3" s="38">
        <v>15228</v>
      </c>
      <c r="U3" s="38">
        <v>14984</v>
      </c>
      <c r="V3" s="38">
        <v>15210</v>
      </c>
      <c r="W3" s="38">
        <v>16039</v>
      </c>
      <c r="X3" s="38">
        <v>16587</v>
      </c>
      <c r="Y3" s="38">
        <v>17287</v>
      </c>
      <c r="Z3" s="38">
        <v>18533</v>
      </c>
      <c r="AA3" s="38">
        <v>20292</v>
      </c>
      <c r="AB3" s="38">
        <v>22071</v>
      </c>
      <c r="AC3" s="38">
        <v>24414</v>
      </c>
      <c r="AD3" s="38">
        <v>27225</v>
      </c>
      <c r="AE3" s="38">
        <v>29986</v>
      </c>
      <c r="AF3" s="38">
        <v>33739</v>
      </c>
      <c r="AG3" s="38">
        <v>37133</v>
      </c>
      <c r="AH3" s="38">
        <v>41451</v>
      </c>
      <c r="AI3" s="38">
        <v>46470</v>
      </c>
      <c r="AJ3" s="38">
        <v>52641</v>
      </c>
      <c r="AK3" s="38">
        <v>54622</v>
      </c>
      <c r="AL3" s="38">
        <v>58609</v>
      </c>
      <c r="AM3" s="38">
        <v>60131</v>
      </c>
      <c r="AN3" s="38">
        <v>60465</v>
      </c>
      <c r="AO3" s="38">
        <v>61610</v>
      </c>
      <c r="AP3" s="38">
        <v>60783</v>
      </c>
      <c r="AQ3" s="38">
        <v>60915</v>
      </c>
      <c r="AR3" s="38">
        <v>60528</v>
      </c>
      <c r="AS3" s="38">
        <v>60777</v>
      </c>
      <c r="AT3" s="38">
        <v>62969</v>
      </c>
      <c r="AU3" s="38">
        <v>63394</v>
      </c>
      <c r="AV3" s="38">
        <v>64362</v>
      </c>
      <c r="AW3" s="38">
        <v>65908</v>
      </c>
      <c r="AX3" s="38">
        <v>66817</v>
      </c>
      <c r="AY3" s="38">
        <v>67238</v>
      </c>
      <c r="AZ3" s="38">
        <v>73793</v>
      </c>
      <c r="BA3" s="38">
        <v>78873</v>
      </c>
      <c r="BB3" s="38">
        <v>85133</v>
      </c>
      <c r="BC3" s="38">
        <v>90795</v>
      </c>
      <c r="BD3" s="38">
        <v>95413</v>
      </c>
      <c r="BE3" s="38">
        <v>99938</v>
      </c>
      <c r="BF3" s="38">
        <v>105128</v>
      </c>
      <c r="BG3" s="38">
        <v>117615</v>
      </c>
      <c r="BH3" s="38">
        <v>125765</v>
      </c>
      <c r="BI3" s="38">
        <v>126617</v>
      </c>
      <c r="BJ3" s="38">
        <v>127015</v>
      </c>
      <c r="BK3" s="38">
        <v>123838</v>
      </c>
      <c r="BL3" s="38">
        <v>120130</v>
      </c>
      <c r="BM3" s="38">
        <v>118364</v>
      </c>
      <c r="BN3" s="46">
        <v>119532</v>
      </c>
      <c r="BO3" s="46">
        <v>118174</v>
      </c>
      <c r="BP3" s="39">
        <v>122435</v>
      </c>
      <c r="BQ3" s="39">
        <v>131017</v>
      </c>
      <c r="BR3" s="39">
        <v>135646</v>
      </c>
      <c r="BS3" s="39">
        <v>147985</v>
      </c>
      <c r="BT3" s="39">
        <v>147258</v>
      </c>
      <c r="BU3" s="39">
        <v>164471</v>
      </c>
      <c r="BV3" s="39">
        <v>172345</v>
      </c>
    </row>
    <row r="4" spans="1:77" x14ac:dyDescent="0.25">
      <c r="A4" s="36" t="s">
        <v>315</v>
      </c>
      <c r="B4" s="36" t="s">
        <v>91</v>
      </c>
      <c r="C4" s="37" t="s">
        <v>317</v>
      </c>
      <c r="D4" s="38">
        <v>2247</v>
      </c>
      <c r="E4" s="38">
        <v>2375</v>
      </c>
      <c r="F4" s="38">
        <v>2522</v>
      </c>
      <c r="G4" s="38">
        <v>3346</v>
      </c>
      <c r="H4" s="38">
        <v>3470</v>
      </c>
      <c r="I4" s="38">
        <v>3707</v>
      </c>
      <c r="J4" s="38">
        <v>4065</v>
      </c>
      <c r="K4" s="38">
        <v>4516</v>
      </c>
      <c r="L4" s="38">
        <v>4757</v>
      </c>
      <c r="M4" s="38">
        <v>5124</v>
      </c>
      <c r="N4" s="38">
        <v>5456</v>
      </c>
      <c r="O4" s="38">
        <v>5888</v>
      </c>
      <c r="P4" s="38">
        <v>6549</v>
      </c>
      <c r="Q4" s="38">
        <v>7331</v>
      </c>
      <c r="R4" s="38">
        <v>8146</v>
      </c>
      <c r="S4" s="38">
        <v>9008</v>
      </c>
      <c r="T4" s="38">
        <v>10011</v>
      </c>
      <c r="U4" s="38">
        <v>10449</v>
      </c>
      <c r="V4" s="38">
        <v>10824</v>
      </c>
      <c r="W4" s="38">
        <v>11715</v>
      </c>
      <c r="X4" s="38">
        <v>13299</v>
      </c>
      <c r="Y4" s="38">
        <v>14886</v>
      </c>
      <c r="Z4" s="38">
        <v>15824</v>
      </c>
      <c r="AA4" s="38">
        <v>17702</v>
      </c>
      <c r="AB4" s="38">
        <v>19642</v>
      </c>
      <c r="AC4" s="38">
        <v>22457</v>
      </c>
      <c r="AD4" s="38">
        <v>26097</v>
      </c>
      <c r="AE4" s="38">
        <v>30929</v>
      </c>
      <c r="AF4" s="38">
        <v>35948</v>
      </c>
      <c r="AG4" s="38">
        <v>40692</v>
      </c>
      <c r="AH4" s="38">
        <v>45264</v>
      </c>
      <c r="AI4" s="38">
        <v>52187</v>
      </c>
      <c r="AJ4" s="38">
        <v>57962</v>
      </c>
      <c r="AK4" s="38">
        <v>60991</v>
      </c>
      <c r="AL4" s="38">
        <v>62576</v>
      </c>
      <c r="AM4" s="38">
        <v>67977</v>
      </c>
      <c r="AN4" s="38">
        <v>74966</v>
      </c>
      <c r="AO4" s="38">
        <v>83208</v>
      </c>
      <c r="AP4" s="38">
        <v>92300</v>
      </c>
      <c r="AQ4" s="38">
        <v>96229</v>
      </c>
      <c r="AR4" s="38">
        <v>96549</v>
      </c>
      <c r="AS4" s="38">
        <v>99204</v>
      </c>
      <c r="AT4" s="38">
        <v>110871</v>
      </c>
      <c r="AU4" s="38">
        <v>123417</v>
      </c>
      <c r="AV4" s="38">
        <v>136208</v>
      </c>
      <c r="AW4" s="38">
        <v>147774</v>
      </c>
      <c r="AX4" s="38">
        <v>164545</v>
      </c>
      <c r="AY4" s="38">
        <v>185975</v>
      </c>
      <c r="AZ4" s="38">
        <v>188408</v>
      </c>
      <c r="BA4" s="38">
        <v>180704</v>
      </c>
      <c r="BB4" s="38">
        <v>186171</v>
      </c>
      <c r="BC4" s="38">
        <v>191346</v>
      </c>
      <c r="BD4" s="38">
        <v>207775</v>
      </c>
      <c r="BE4" s="38">
        <v>227182</v>
      </c>
      <c r="BF4" s="38">
        <v>246815</v>
      </c>
      <c r="BG4" s="38">
        <v>258016</v>
      </c>
      <c r="BH4" s="38">
        <v>246610</v>
      </c>
      <c r="BI4" s="38">
        <v>248124</v>
      </c>
      <c r="BJ4" s="38">
        <v>266421</v>
      </c>
      <c r="BK4" s="38">
        <v>275717</v>
      </c>
      <c r="BL4" s="38">
        <v>297167</v>
      </c>
      <c r="BM4" s="38">
        <v>318382</v>
      </c>
      <c r="BN4" s="46">
        <v>333243</v>
      </c>
      <c r="BO4" s="46">
        <v>360291</v>
      </c>
      <c r="BP4" s="39">
        <v>386533</v>
      </c>
      <c r="BQ4" s="39">
        <v>426472</v>
      </c>
      <c r="BR4" s="39">
        <v>482199</v>
      </c>
      <c r="BS4" s="39">
        <v>520324</v>
      </c>
      <c r="BT4" s="39">
        <v>590946</v>
      </c>
      <c r="BU4" s="39">
        <v>673127</v>
      </c>
      <c r="BV4" s="39">
        <v>709161</v>
      </c>
    </row>
    <row r="5" spans="1:77" x14ac:dyDescent="0.25">
      <c r="A5" s="36" t="s">
        <v>315</v>
      </c>
      <c r="B5" s="36" t="s">
        <v>91</v>
      </c>
      <c r="C5" s="37" t="s">
        <v>318</v>
      </c>
      <c r="D5" s="38">
        <v>37</v>
      </c>
      <c r="E5" s="38">
        <v>40</v>
      </c>
      <c r="F5" s="38">
        <v>42</v>
      </c>
      <c r="G5" s="38">
        <v>46</v>
      </c>
      <c r="H5" s="38">
        <v>51</v>
      </c>
      <c r="I5" s="38">
        <v>56</v>
      </c>
      <c r="J5" s="38">
        <v>61</v>
      </c>
      <c r="K5" s="38">
        <v>67</v>
      </c>
      <c r="L5" s="38">
        <v>75</v>
      </c>
      <c r="M5" s="38">
        <v>84</v>
      </c>
      <c r="N5" s="38">
        <v>96</v>
      </c>
      <c r="O5" s="38">
        <v>114</v>
      </c>
      <c r="P5" s="38">
        <v>136</v>
      </c>
      <c r="Q5" s="38">
        <v>165</v>
      </c>
      <c r="R5" s="38">
        <v>200</v>
      </c>
      <c r="S5" s="38">
        <v>221</v>
      </c>
      <c r="T5" s="38">
        <v>233</v>
      </c>
      <c r="U5" s="38">
        <v>259</v>
      </c>
      <c r="V5" s="38">
        <v>290</v>
      </c>
      <c r="W5" s="38">
        <v>312</v>
      </c>
      <c r="X5" s="38">
        <v>344</v>
      </c>
      <c r="Y5" s="38">
        <v>394</v>
      </c>
      <c r="Z5" s="38">
        <v>432</v>
      </c>
      <c r="AA5" s="38">
        <v>480</v>
      </c>
      <c r="AB5" s="38">
        <v>569</v>
      </c>
      <c r="AC5" s="38">
        <v>679</v>
      </c>
      <c r="AD5" s="38">
        <v>785</v>
      </c>
      <c r="AE5" s="38">
        <v>920</v>
      </c>
      <c r="AF5" s="38">
        <v>1058</v>
      </c>
      <c r="AG5" s="38">
        <v>1207</v>
      </c>
      <c r="AH5" s="38">
        <v>1357</v>
      </c>
      <c r="AI5" s="38">
        <v>1514</v>
      </c>
      <c r="AJ5" s="38">
        <v>1743</v>
      </c>
      <c r="AK5" s="38">
        <v>2019</v>
      </c>
      <c r="AL5" s="38">
        <v>2262</v>
      </c>
      <c r="AM5" s="38">
        <v>2527</v>
      </c>
      <c r="AN5" s="38">
        <v>2852</v>
      </c>
      <c r="AO5" s="38">
        <v>3187</v>
      </c>
      <c r="AP5" s="38">
        <v>3458</v>
      </c>
      <c r="AQ5" s="38">
        <v>3569</v>
      </c>
      <c r="AR5" s="38">
        <v>3709</v>
      </c>
      <c r="AS5" s="38">
        <v>3938</v>
      </c>
      <c r="AT5" s="38">
        <v>4110</v>
      </c>
      <c r="AU5" s="38">
        <v>4436</v>
      </c>
      <c r="AV5" s="38">
        <v>4852</v>
      </c>
      <c r="AW5" s="38">
        <v>5193</v>
      </c>
      <c r="AX5" s="38">
        <v>5654</v>
      </c>
      <c r="AY5" s="38">
        <v>6270</v>
      </c>
      <c r="AZ5" s="38">
        <v>6874</v>
      </c>
      <c r="BA5" s="38">
        <v>7673</v>
      </c>
      <c r="BB5" s="38">
        <v>8286</v>
      </c>
      <c r="BC5" s="38">
        <v>8637</v>
      </c>
      <c r="BD5" s="38">
        <v>9353</v>
      </c>
      <c r="BE5" s="38">
        <v>10176</v>
      </c>
      <c r="BF5" s="38">
        <v>10933</v>
      </c>
      <c r="BG5" s="38">
        <v>11738</v>
      </c>
      <c r="BH5" s="38">
        <v>12056</v>
      </c>
      <c r="BI5" s="38">
        <v>12262</v>
      </c>
      <c r="BJ5" s="38">
        <v>13104</v>
      </c>
      <c r="BK5" s="38">
        <v>14300</v>
      </c>
      <c r="BL5" s="38">
        <v>15378</v>
      </c>
      <c r="BM5" s="38">
        <v>16209</v>
      </c>
      <c r="BN5" s="46">
        <v>17260</v>
      </c>
      <c r="BO5" s="46">
        <v>18729</v>
      </c>
      <c r="BP5" s="39">
        <v>19878</v>
      </c>
      <c r="BQ5" s="39">
        <v>20987</v>
      </c>
      <c r="BR5" s="39">
        <v>21882</v>
      </c>
      <c r="BS5" s="39">
        <v>22557</v>
      </c>
      <c r="BT5" s="39">
        <v>23786</v>
      </c>
      <c r="BU5" s="39">
        <v>26560</v>
      </c>
      <c r="BV5" s="39">
        <v>29043</v>
      </c>
    </row>
    <row r="6" spans="1:77" x14ac:dyDescent="0.25">
      <c r="A6" s="36" t="s">
        <v>315</v>
      </c>
      <c r="B6" s="36" t="s">
        <v>91</v>
      </c>
      <c r="C6" s="37" t="s">
        <v>237</v>
      </c>
      <c r="D6" s="40">
        <v>95</v>
      </c>
      <c r="E6" s="40">
        <v>105</v>
      </c>
      <c r="F6" s="40">
        <v>114</v>
      </c>
      <c r="G6" s="40">
        <v>131</v>
      </c>
      <c r="H6" s="40">
        <v>155</v>
      </c>
      <c r="I6" s="40">
        <v>179</v>
      </c>
      <c r="J6" s="40">
        <v>198</v>
      </c>
      <c r="K6" s="40">
        <v>213</v>
      </c>
      <c r="L6" s="40">
        <v>249</v>
      </c>
      <c r="M6" s="40">
        <v>291</v>
      </c>
      <c r="N6" s="40">
        <v>322</v>
      </c>
      <c r="O6" s="40">
        <v>338</v>
      </c>
      <c r="P6" s="40">
        <v>375</v>
      </c>
      <c r="Q6" s="40">
        <v>412</v>
      </c>
      <c r="R6" s="40">
        <v>439</v>
      </c>
      <c r="S6" s="40">
        <v>475</v>
      </c>
      <c r="T6" s="40">
        <v>524</v>
      </c>
      <c r="U6" s="40">
        <v>580</v>
      </c>
      <c r="V6" s="40">
        <v>628</v>
      </c>
      <c r="W6" s="40">
        <v>675</v>
      </c>
      <c r="X6" s="40">
        <v>722</v>
      </c>
      <c r="Y6" s="40">
        <v>794</v>
      </c>
      <c r="Z6" s="40">
        <v>882</v>
      </c>
      <c r="AA6" s="40">
        <v>961</v>
      </c>
      <c r="AB6" s="40">
        <v>1056</v>
      </c>
      <c r="AC6" s="40">
        <v>1170</v>
      </c>
      <c r="AD6" s="40">
        <v>1273</v>
      </c>
      <c r="AE6" s="40">
        <v>1390</v>
      </c>
      <c r="AF6" s="40">
        <v>1548</v>
      </c>
      <c r="AG6" s="40">
        <v>1716</v>
      </c>
      <c r="AH6" s="40">
        <v>1878</v>
      </c>
      <c r="AI6" s="40">
        <v>2072</v>
      </c>
      <c r="AJ6" s="40">
        <v>2325</v>
      </c>
      <c r="AK6" s="40">
        <v>2616</v>
      </c>
      <c r="AL6" s="40">
        <v>2914</v>
      </c>
      <c r="AM6" s="40">
        <v>3246</v>
      </c>
      <c r="AN6" s="40">
        <v>3607</v>
      </c>
      <c r="AO6" s="40">
        <v>3988</v>
      </c>
      <c r="AP6" s="40">
        <v>4335</v>
      </c>
      <c r="AQ6" s="40">
        <v>4638</v>
      </c>
      <c r="AR6" s="40">
        <v>4945</v>
      </c>
      <c r="AS6" s="40">
        <v>5288</v>
      </c>
      <c r="AT6" s="40">
        <v>5676</v>
      </c>
      <c r="AU6" s="40">
        <v>6100</v>
      </c>
      <c r="AV6" s="40">
        <v>6473</v>
      </c>
      <c r="AW6" s="40">
        <v>6883</v>
      </c>
      <c r="AX6" s="40">
        <v>7435</v>
      </c>
      <c r="AY6" s="40">
        <v>8467</v>
      </c>
      <c r="AZ6" s="40">
        <v>9463</v>
      </c>
      <c r="BA6" s="40">
        <v>10662</v>
      </c>
      <c r="BB6" s="40">
        <v>11776</v>
      </c>
      <c r="BC6" s="40">
        <v>11954</v>
      </c>
      <c r="BD6" s="40">
        <v>12748</v>
      </c>
      <c r="BE6" s="40">
        <v>13613</v>
      </c>
      <c r="BF6" s="40">
        <v>15014</v>
      </c>
      <c r="BG6" s="40">
        <v>17405</v>
      </c>
      <c r="BH6" s="40">
        <v>18500</v>
      </c>
      <c r="BI6" s="40">
        <v>19577</v>
      </c>
      <c r="BJ6" s="40">
        <v>19621</v>
      </c>
      <c r="BK6" s="40">
        <v>19765</v>
      </c>
      <c r="BL6" s="40">
        <v>21289</v>
      </c>
      <c r="BM6" s="40">
        <v>22464</v>
      </c>
      <c r="BN6" s="38">
        <f>BN2-BN3-BN4-BN5</f>
        <v>24436</v>
      </c>
      <c r="BO6" s="38">
        <f t="shared" ref="BO6:BV6" si="0">BO2-BO3-BO4-BO5</f>
        <v>24492</v>
      </c>
      <c r="BP6" s="38">
        <f t="shared" si="0"/>
        <v>24684</v>
      </c>
      <c r="BQ6" s="38">
        <f t="shared" si="0"/>
        <v>25368</v>
      </c>
      <c r="BR6" s="38">
        <f t="shared" si="0"/>
        <v>25540</v>
      </c>
      <c r="BS6" s="38">
        <f t="shared" si="0"/>
        <v>25613</v>
      </c>
      <c r="BT6" s="38">
        <f t="shared" si="0"/>
        <v>26728</v>
      </c>
      <c r="BU6" s="38">
        <f t="shared" si="0"/>
        <v>27676</v>
      </c>
      <c r="BV6" s="38">
        <f t="shared" si="0"/>
        <v>29012</v>
      </c>
    </row>
    <row r="7" spans="1:77" x14ac:dyDescent="0.25">
      <c r="A7" s="36" t="s">
        <v>249</v>
      </c>
      <c r="B7" s="36" t="s">
        <v>91</v>
      </c>
      <c r="C7" s="37" t="s">
        <v>75</v>
      </c>
      <c r="D7" s="38">
        <v>460</v>
      </c>
      <c r="E7" s="38">
        <v>509</v>
      </c>
      <c r="F7" s="38">
        <v>570</v>
      </c>
      <c r="G7" s="38">
        <v>718</v>
      </c>
      <c r="H7" s="38">
        <v>813</v>
      </c>
      <c r="I7" s="38">
        <v>943</v>
      </c>
      <c r="J7" s="38">
        <v>1087</v>
      </c>
      <c r="K7" s="38">
        <v>1286</v>
      </c>
      <c r="L7" s="38">
        <v>1511</v>
      </c>
      <c r="M7" s="38">
        <v>1824</v>
      </c>
      <c r="N7" s="38">
        <v>2115</v>
      </c>
      <c r="O7" s="38">
        <v>2396</v>
      </c>
      <c r="P7" s="38">
        <v>2664</v>
      </c>
      <c r="Q7" s="38">
        <v>2930</v>
      </c>
      <c r="R7" s="38">
        <v>3168</v>
      </c>
      <c r="S7" s="38">
        <v>3376</v>
      </c>
      <c r="T7" s="38">
        <v>3491</v>
      </c>
      <c r="U7" s="38">
        <v>3594</v>
      </c>
      <c r="V7" s="38">
        <v>3720</v>
      </c>
      <c r="W7" s="38">
        <v>3850</v>
      </c>
      <c r="X7" s="38">
        <v>4099</v>
      </c>
      <c r="Y7" s="38">
        <v>4511</v>
      </c>
      <c r="Z7" s="38">
        <v>4875</v>
      </c>
      <c r="AA7" s="38">
        <v>5373</v>
      </c>
      <c r="AB7" s="38">
        <v>6008</v>
      </c>
      <c r="AC7" s="38">
        <v>6959</v>
      </c>
      <c r="AD7" s="38">
        <v>7836</v>
      </c>
      <c r="AE7" s="38">
        <v>8747</v>
      </c>
      <c r="AF7" s="38">
        <v>9658</v>
      </c>
      <c r="AG7" s="38">
        <v>10651</v>
      </c>
      <c r="AH7" s="38">
        <v>11880</v>
      </c>
      <c r="AI7" s="38">
        <v>13332</v>
      </c>
      <c r="AJ7" s="38">
        <v>14748</v>
      </c>
      <c r="AK7" s="38">
        <v>17154</v>
      </c>
      <c r="AL7" s="38">
        <v>18481</v>
      </c>
      <c r="AM7" s="38">
        <v>19787</v>
      </c>
      <c r="AN7" s="38">
        <v>21891</v>
      </c>
      <c r="AO7" s="38">
        <v>23029</v>
      </c>
      <c r="AP7" s="38">
        <v>27140</v>
      </c>
      <c r="AQ7" s="38">
        <v>27604</v>
      </c>
      <c r="AR7" s="38">
        <v>28743</v>
      </c>
      <c r="AS7" s="38">
        <v>29651</v>
      </c>
      <c r="AT7" s="38">
        <v>29610</v>
      </c>
      <c r="AU7" s="38">
        <v>32799</v>
      </c>
      <c r="AV7" s="38">
        <v>36717</v>
      </c>
      <c r="AW7" s="38">
        <v>34842</v>
      </c>
      <c r="AX7" s="38">
        <v>38282</v>
      </c>
      <c r="AY7" s="38">
        <v>42033</v>
      </c>
      <c r="AZ7" s="38">
        <v>46843</v>
      </c>
      <c r="BA7" s="38">
        <v>50789</v>
      </c>
      <c r="BB7" s="38">
        <v>54823</v>
      </c>
      <c r="BC7" s="38">
        <v>56379</v>
      </c>
      <c r="BD7" s="38">
        <v>59904</v>
      </c>
      <c r="BE7" s="38">
        <v>61566</v>
      </c>
      <c r="BF7" s="38">
        <v>64601</v>
      </c>
      <c r="BG7" s="38">
        <v>68537</v>
      </c>
      <c r="BH7" s="38">
        <v>72659</v>
      </c>
      <c r="BI7" s="38">
        <v>75907</v>
      </c>
      <c r="BJ7" s="38">
        <v>73019</v>
      </c>
      <c r="BK7" s="38">
        <v>73285</v>
      </c>
      <c r="BL7" s="38">
        <v>78486</v>
      </c>
      <c r="BM7" s="38">
        <v>82054</v>
      </c>
      <c r="BN7" s="41">
        <v>84428</v>
      </c>
      <c r="BO7" s="41">
        <v>87494</v>
      </c>
      <c r="BP7" s="41">
        <v>90118</v>
      </c>
      <c r="BQ7" s="41">
        <v>97803</v>
      </c>
      <c r="BR7" s="41">
        <v>104880</v>
      </c>
      <c r="BS7" s="41">
        <v>111637</v>
      </c>
      <c r="BT7" s="41">
        <v>118624</v>
      </c>
      <c r="BU7" s="41">
        <v>130252</v>
      </c>
      <c r="BV7" s="41">
        <v>138161</v>
      </c>
    </row>
    <row r="8" spans="1:77" x14ac:dyDescent="0.25">
      <c r="A8" s="36" t="s">
        <v>249</v>
      </c>
      <c r="B8" s="36" t="s">
        <v>91</v>
      </c>
      <c r="C8" s="37" t="s">
        <v>316</v>
      </c>
      <c r="D8" s="40">
        <v>265</v>
      </c>
      <c r="E8" s="40">
        <v>291</v>
      </c>
      <c r="F8" s="40">
        <v>318</v>
      </c>
      <c r="G8" s="40">
        <v>392</v>
      </c>
      <c r="H8" s="40">
        <v>451</v>
      </c>
      <c r="I8" s="40">
        <v>537</v>
      </c>
      <c r="J8" s="40">
        <v>665</v>
      </c>
      <c r="K8" s="40">
        <v>794</v>
      </c>
      <c r="L8" s="40">
        <v>972</v>
      </c>
      <c r="M8" s="40">
        <v>1218</v>
      </c>
      <c r="N8" s="40">
        <v>1446</v>
      </c>
      <c r="O8" s="40">
        <v>1693</v>
      </c>
      <c r="P8" s="40">
        <v>1900</v>
      </c>
      <c r="Q8" s="40">
        <v>2075</v>
      </c>
      <c r="R8" s="40">
        <v>2280</v>
      </c>
      <c r="S8" s="40">
        <v>2399</v>
      </c>
      <c r="T8" s="40">
        <v>2457</v>
      </c>
      <c r="U8" s="40">
        <v>2501</v>
      </c>
      <c r="V8" s="40">
        <v>2559</v>
      </c>
      <c r="W8" s="40">
        <v>2656</v>
      </c>
      <c r="X8" s="40">
        <v>2847</v>
      </c>
      <c r="Y8" s="40">
        <v>3146</v>
      </c>
      <c r="Z8" s="40">
        <v>3415</v>
      </c>
      <c r="AA8" s="40">
        <v>3793</v>
      </c>
      <c r="AB8" s="40">
        <v>4235</v>
      </c>
      <c r="AC8" s="40">
        <v>4950</v>
      </c>
      <c r="AD8" s="40">
        <v>5558</v>
      </c>
      <c r="AE8" s="40">
        <v>6147</v>
      </c>
      <c r="AF8" s="40">
        <v>6591</v>
      </c>
      <c r="AG8" s="40">
        <v>7121</v>
      </c>
      <c r="AH8" s="40">
        <v>7853</v>
      </c>
      <c r="AI8" s="40">
        <v>8651</v>
      </c>
      <c r="AJ8" s="40">
        <v>9407</v>
      </c>
      <c r="AK8" s="40">
        <v>10220</v>
      </c>
      <c r="AL8" s="40">
        <v>11090</v>
      </c>
      <c r="AM8" s="40">
        <v>12097</v>
      </c>
      <c r="AN8" s="40">
        <v>13392</v>
      </c>
      <c r="AO8" s="40">
        <v>14057</v>
      </c>
      <c r="AP8" s="40">
        <v>15283</v>
      </c>
      <c r="AQ8" s="40">
        <v>15710</v>
      </c>
      <c r="AR8" s="40">
        <v>16399</v>
      </c>
      <c r="AS8" s="40">
        <v>16770</v>
      </c>
      <c r="AT8" s="40">
        <v>16990</v>
      </c>
      <c r="AU8" s="40">
        <v>18063</v>
      </c>
      <c r="AV8" s="40">
        <v>19254</v>
      </c>
      <c r="AW8" s="40">
        <v>20473</v>
      </c>
      <c r="AX8" s="40">
        <v>22364</v>
      </c>
      <c r="AY8" s="40">
        <v>24295</v>
      </c>
      <c r="AZ8" s="40">
        <v>26802</v>
      </c>
      <c r="BA8" s="40">
        <v>30141</v>
      </c>
      <c r="BB8" s="40">
        <v>32889</v>
      </c>
      <c r="BC8" s="40">
        <v>34139</v>
      </c>
      <c r="BD8" s="40">
        <v>35566</v>
      </c>
      <c r="BE8" s="40">
        <v>36374</v>
      </c>
      <c r="BF8" s="40">
        <v>36093</v>
      </c>
      <c r="BG8" s="40">
        <v>35916</v>
      </c>
      <c r="BH8" s="40">
        <v>37652</v>
      </c>
      <c r="BI8" s="40">
        <v>39856</v>
      </c>
      <c r="BJ8" s="40">
        <v>38964</v>
      </c>
      <c r="BK8" s="40">
        <v>37904</v>
      </c>
      <c r="BL8" s="40">
        <v>35992</v>
      </c>
      <c r="BM8" s="40">
        <v>36769</v>
      </c>
      <c r="BN8" s="36">
        <v>37240</v>
      </c>
      <c r="BO8" s="36">
        <v>38882</v>
      </c>
      <c r="BP8" s="36">
        <v>39278</v>
      </c>
      <c r="BQ8" s="36">
        <v>42356</v>
      </c>
      <c r="BR8" s="36">
        <v>44481</v>
      </c>
      <c r="BS8" s="36">
        <v>45952</v>
      </c>
      <c r="BT8" s="36">
        <v>47384</v>
      </c>
      <c r="BU8" s="36">
        <v>52866</v>
      </c>
      <c r="BV8" s="36">
        <v>55998</v>
      </c>
    </row>
    <row r="9" spans="1:77" x14ac:dyDescent="0.25">
      <c r="A9" s="36" t="s">
        <v>249</v>
      </c>
      <c r="B9" s="36" t="s">
        <v>91</v>
      </c>
      <c r="C9" s="37" t="s">
        <v>317</v>
      </c>
      <c r="D9" s="40">
        <v>154</v>
      </c>
      <c r="E9" s="40">
        <v>169</v>
      </c>
      <c r="F9" s="40">
        <v>192</v>
      </c>
      <c r="G9" s="40">
        <v>251</v>
      </c>
      <c r="H9" s="40">
        <v>268</v>
      </c>
      <c r="I9" s="40">
        <v>292</v>
      </c>
      <c r="J9" s="40">
        <v>290</v>
      </c>
      <c r="K9" s="40">
        <v>343</v>
      </c>
      <c r="L9" s="40">
        <v>361</v>
      </c>
      <c r="M9" s="40">
        <v>394</v>
      </c>
      <c r="N9" s="40">
        <v>425</v>
      </c>
      <c r="O9" s="40">
        <v>434</v>
      </c>
      <c r="P9" s="40">
        <v>462</v>
      </c>
      <c r="Q9" s="40">
        <v>512</v>
      </c>
      <c r="R9" s="40">
        <v>495</v>
      </c>
      <c r="S9" s="40">
        <v>537</v>
      </c>
      <c r="T9" s="40">
        <v>541</v>
      </c>
      <c r="U9" s="40">
        <v>531</v>
      </c>
      <c r="V9" s="40">
        <v>551</v>
      </c>
      <c r="W9" s="40">
        <v>565</v>
      </c>
      <c r="X9" s="40">
        <v>607</v>
      </c>
      <c r="Y9" s="40">
        <v>656</v>
      </c>
      <c r="Z9" s="40">
        <v>704</v>
      </c>
      <c r="AA9" s="40">
        <v>774</v>
      </c>
      <c r="AB9" s="40">
        <v>862</v>
      </c>
      <c r="AC9" s="40">
        <v>970</v>
      </c>
      <c r="AD9" s="40">
        <v>1107</v>
      </c>
      <c r="AE9" s="40">
        <v>1286</v>
      </c>
      <c r="AF9" s="40">
        <v>1600</v>
      </c>
      <c r="AG9" s="40">
        <v>1854</v>
      </c>
      <c r="AH9" s="40">
        <v>2146</v>
      </c>
      <c r="AI9" s="40">
        <v>2584</v>
      </c>
      <c r="AJ9" s="40">
        <v>2915</v>
      </c>
      <c r="AK9" s="40">
        <v>4130</v>
      </c>
      <c r="AL9" s="40">
        <v>4282</v>
      </c>
      <c r="AM9" s="40">
        <v>4275</v>
      </c>
      <c r="AN9" s="40">
        <v>4692</v>
      </c>
      <c r="AO9" s="40">
        <v>4710</v>
      </c>
      <c r="AP9" s="40">
        <v>7157</v>
      </c>
      <c r="AQ9" s="40">
        <v>6925</v>
      </c>
      <c r="AR9" s="40">
        <v>7136</v>
      </c>
      <c r="AS9" s="40">
        <v>7323</v>
      </c>
      <c r="AT9" s="40">
        <v>6715</v>
      </c>
      <c r="AU9" s="40">
        <v>8309</v>
      </c>
      <c r="AV9" s="40">
        <v>10376</v>
      </c>
      <c r="AW9" s="40">
        <v>6606</v>
      </c>
      <c r="AX9" s="40">
        <v>7429</v>
      </c>
      <c r="AY9" s="40">
        <v>8134</v>
      </c>
      <c r="AZ9" s="40">
        <v>9400</v>
      </c>
      <c r="BA9" s="40">
        <v>8730</v>
      </c>
      <c r="BB9" s="40">
        <v>9002</v>
      </c>
      <c r="BC9" s="40">
        <v>8872</v>
      </c>
      <c r="BD9" s="40">
        <v>9828</v>
      </c>
      <c r="BE9" s="40">
        <v>9428</v>
      </c>
      <c r="BF9" s="40">
        <v>11199</v>
      </c>
      <c r="BG9" s="40">
        <v>13782</v>
      </c>
      <c r="BH9" s="40">
        <v>16132</v>
      </c>
      <c r="BI9" s="40">
        <v>17416</v>
      </c>
      <c r="BJ9" s="40">
        <v>14858</v>
      </c>
      <c r="BK9" s="40">
        <v>15258</v>
      </c>
      <c r="BL9" s="40">
        <v>20996</v>
      </c>
      <c r="BM9" s="40">
        <v>22710</v>
      </c>
      <c r="BN9" s="36">
        <v>22576</v>
      </c>
      <c r="BO9" s="36">
        <v>25938</v>
      </c>
      <c r="BP9" s="36">
        <v>26874</v>
      </c>
      <c r="BQ9" s="36">
        <v>30010</v>
      </c>
      <c r="BR9" s="36">
        <v>33755</v>
      </c>
      <c r="BS9" s="36">
        <v>37507</v>
      </c>
      <c r="BT9" s="36">
        <v>42031</v>
      </c>
      <c r="BU9" s="36">
        <v>44897</v>
      </c>
      <c r="BV9" s="36">
        <v>47473</v>
      </c>
    </row>
    <row r="10" spans="1:77" x14ac:dyDescent="0.25">
      <c r="A10" s="36" t="s">
        <v>249</v>
      </c>
      <c r="B10" s="36" t="s">
        <v>91</v>
      </c>
      <c r="C10" s="37" t="s">
        <v>318</v>
      </c>
      <c r="D10" s="40">
        <v>6</v>
      </c>
      <c r="E10" s="40">
        <v>8</v>
      </c>
      <c r="F10" s="40">
        <v>12</v>
      </c>
      <c r="G10" s="40">
        <v>15</v>
      </c>
      <c r="H10" s="40">
        <v>20</v>
      </c>
      <c r="I10" s="40">
        <v>24</v>
      </c>
      <c r="J10" s="40">
        <v>28</v>
      </c>
      <c r="K10" s="40">
        <v>33</v>
      </c>
      <c r="L10" s="40">
        <v>40</v>
      </c>
      <c r="M10" s="40">
        <v>48</v>
      </c>
      <c r="N10" s="40">
        <v>58</v>
      </c>
      <c r="O10" s="40">
        <v>70</v>
      </c>
      <c r="P10" s="40">
        <v>86</v>
      </c>
      <c r="Q10" s="40">
        <v>106</v>
      </c>
      <c r="R10" s="40">
        <v>136</v>
      </c>
      <c r="S10" s="40">
        <v>156</v>
      </c>
      <c r="T10" s="40">
        <v>171</v>
      </c>
      <c r="U10" s="40">
        <v>196</v>
      </c>
      <c r="V10" s="40">
        <v>214</v>
      </c>
      <c r="W10" s="40">
        <v>216</v>
      </c>
      <c r="X10" s="40">
        <v>223</v>
      </c>
      <c r="Y10" s="40">
        <v>250</v>
      </c>
      <c r="Z10" s="40">
        <v>264</v>
      </c>
      <c r="AA10" s="40">
        <v>283</v>
      </c>
      <c r="AB10" s="40">
        <v>334</v>
      </c>
      <c r="AC10" s="40">
        <v>398</v>
      </c>
      <c r="AD10" s="40">
        <v>466</v>
      </c>
      <c r="AE10" s="40">
        <v>544</v>
      </c>
      <c r="AF10" s="40">
        <v>615</v>
      </c>
      <c r="AG10" s="40">
        <v>716</v>
      </c>
      <c r="AH10" s="40">
        <v>816</v>
      </c>
      <c r="AI10" s="40">
        <v>915</v>
      </c>
      <c r="AJ10" s="40">
        <v>1075</v>
      </c>
      <c r="AK10" s="40">
        <v>1262</v>
      </c>
      <c r="AL10" s="40">
        <v>1399</v>
      </c>
      <c r="AM10" s="40">
        <v>1530</v>
      </c>
      <c r="AN10" s="40">
        <v>1714</v>
      </c>
      <c r="AO10" s="40">
        <v>1929</v>
      </c>
      <c r="AP10" s="40">
        <v>2127</v>
      </c>
      <c r="AQ10" s="40">
        <v>2203</v>
      </c>
      <c r="AR10" s="40">
        <v>2268</v>
      </c>
      <c r="AS10" s="40">
        <v>2406</v>
      </c>
      <c r="AT10" s="40">
        <v>2511</v>
      </c>
      <c r="AU10" s="40">
        <v>2740</v>
      </c>
      <c r="AV10" s="40">
        <v>3150</v>
      </c>
      <c r="AW10" s="40">
        <v>3495</v>
      </c>
      <c r="AX10" s="40">
        <v>3848</v>
      </c>
      <c r="AY10" s="40">
        <v>4314</v>
      </c>
      <c r="AZ10" s="40">
        <v>4759</v>
      </c>
      <c r="BA10" s="40">
        <v>5311</v>
      </c>
      <c r="BB10" s="40">
        <v>5692</v>
      </c>
      <c r="BC10" s="40">
        <v>5965</v>
      </c>
      <c r="BD10" s="40">
        <v>6568</v>
      </c>
      <c r="BE10" s="40">
        <v>7288</v>
      </c>
      <c r="BF10" s="40">
        <v>7932</v>
      </c>
      <c r="BG10" s="40">
        <v>8467</v>
      </c>
      <c r="BH10" s="40">
        <v>8199</v>
      </c>
      <c r="BI10" s="40">
        <v>7882</v>
      </c>
      <c r="BJ10" s="40">
        <v>8348</v>
      </c>
      <c r="BK10" s="40">
        <v>9083</v>
      </c>
      <c r="BL10" s="40">
        <v>9765</v>
      </c>
      <c r="BM10" s="40">
        <v>10214</v>
      </c>
      <c r="BN10" s="36">
        <v>10985</v>
      </c>
      <c r="BO10" s="36">
        <v>11606</v>
      </c>
      <c r="BP10" s="36">
        <v>12278</v>
      </c>
      <c r="BQ10" s="36">
        <v>13001</v>
      </c>
      <c r="BR10" s="36">
        <v>13627</v>
      </c>
      <c r="BS10" s="36">
        <v>14061</v>
      </c>
      <c r="BT10" s="36">
        <v>14855</v>
      </c>
      <c r="BU10" s="36">
        <v>16609</v>
      </c>
      <c r="BV10" s="36">
        <v>18212</v>
      </c>
    </row>
    <row r="11" spans="1:77" x14ac:dyDescent="0.25">
      <c r="A11" s="36" t="s">
        <v>249</v>
      </c>
      <c r="B11" s="36" t="s">
        <v>91</v>
      </c>
      <c r="C11" s="37" t="s">
        <v>237</v>
      </c>
      <c r="D11" s="40">
        <v>35</v>
      </c>
      <c r="E11" s="40">
        <v>41</v>
      </c>
      <c r="F11" s="40">
        <v>49</v>
      </c>
      <c r="G11" s="40">
        <v>60</v>
      </c>
      <c r="H11" s="40">
        <v>75</v>
      </c>
      <c r="I11" s="40">
        <v>90</v>
      </c>
      <c r="J11" s="40">
        <v>104</v>
      </c>
      <c r="K11" s="40">
        <v>116</v>
      </c>
      <c r="L11" s="40">
        <v>139</v>
      </c>
      <c r="M11" s="40">
        <v>165</v>
      </c>
      <c r="N11" s="40">
        <v>188</v>
      </c>
      <c r="O11" s="40">
        <v>199</v>
      </c>
      <c r="P11" s="40">
        <v>216</v>
      </c>
      <c r="Q11" s="40">
        <v>237</v>
      </c>
      <c r="R11" s="40">
        <v>258</v>
      </c>
      <c r="S11" s="40">
        <v>285</v>
      </c>
      <c r="T11" s="40">
        <v>323</v>
      </c>
      <c r="U11" s="40">
        <v>366</v>
      </c>
      <c r="V11" s="40">
        <v>398</v>
      </c>
      <c r="W11" s="40">
        <v>413</v>
      </c>
      <c r="X11" s="40">
        <v>423</v>
      </c>
      <c r="Y11" s="40">
        <v>458</v>
      </c>
      <c r="Z11" s="40">
        <v>492</v>
      </c>
      <c r="AA11" s="40">
        <v>523</v>
      </c>
      <c r="AB11" s="40">
        <v>578</v>
      </c>
      <c r="AC11" s="40">
        <v>640</v>
      </c>
      <c r="AD11" s="40">
        <v>705</v>
      </c>
      <c r="AE11" s="40">
        <v>770</v>
      </c>
      <c r="AF11" s="40">
        <v>850</v>
      </c>
      <c r="AG11" s="40">
        <v>959</v>
      </c>
      <c r="AH11" s="40">
        <v>1064</v>
      </c>
      <c r="AI11" s="40">
        <v>1182</v>
      </c>
      <c r="AJ11" s="40">
        <v>1351</v>
      </c>
      <c r="AK11" s="40">
        <v>1542</v>
      </c>
      <c r="AL11" s="40">
        <v>1711</v>
      </c>
      <c r="AM11" s="40">
        <v>1885</v>
      </c>
      <c r="AN11" s="40">
        <v>2093</v>
      </c>
      <c r="AO11" s="40">
        <v>2333</v>
      </c>
      <c r="AP11" s="40">
        <v>2572</v>
      </c>
      <c r="AQ11" s="40">
        <v>2765</v>
      </c>
      <c r="AR11" s="40">
        <v>2939</v>
      </c>
      <c r="AS11" s="40">
        <v>3152</v>
      </c>
      <c r="AT11" s="40">
        <v>3396</v>
      </c>
      <c r="AU11" s="40">
        <v>3688</v>
      </c>
      <c r="AV11" s="40">
        <v>3937</v>
      </c>
      <c r="AW11" s="40">
        <v>4268</v>
      </c>
      <c r="AX11" s="40">
        <v>4641</v>
      </c>
      <c r="AY11" s="40">
        <v>5291</v>
      </c>
      <c r="AZ11" s="40">
        <v>5882</v>
      </c>
      <c r="BA11" s="40">
        <v>6606</v>
      </c>
      <c r="BB11" s="40">
        <v>7241</v>
      </c>
      <c r="BC11" s="40">
        <v>7402</v>
      </c>
      <c r="BD11" s="40">
        <v>7941</v>
      </c>
      <c r="BE11" s="40">
        <v>8476</v>
      </c>
      <c r="BF11" s="40">
        <v>9377</v>
      </c>
      <c r="BG11" s="40">
        <v>10372</v>
      </c>
      <c r="BH11" s="40">
        <v>10675</v>
      </c>
      <c r="BI11" s="40">
        <v>10754</v>
      </c>
      <c r="BJ11" s="40">
        <v>10850</v>
      </c>
      <c r="BK11" s="40">
        <v>11040</v>
      </c>
      <c r="BL11" s="40">
        <v>11733</v>
      </c>
      <c r="BM11" s="40">
        <v>12361</v>
      </c>
      <c r="BN11" s="36">
        <v>13627</v>
      </c>
      <c r="BO11" s="36">
        <v>11068</v>
      </c>
      <c r="BP11" s="36">
        <v>11688</v>
      </c>
      <c r="BQ11" s="36">
        <v>12436</v>
      </c>
      <c r="BR11" s="36">
        <v>13017</v>
      </c>
      <c r="BS11" s="36">
        <v>14117</v>
      </c>
      <c r="BT11" s="36">
        <v>14354</v>
      </c>
      <c r="BU11" s="36">
        <v>15880</v>
      </c>
      <c r="BV11" s="36">
        <v>16478</v>
      </c>
    </row>
    <row r="12" spans="1:77" x14ac:dyDescent="0.25">
      <c r="A12" s="36" t="s">
        <v>250</v>
      </c>
      <c r="B12" s="36" t="s">
        <v>91</v>
      </c>
      <c r="C12" s="37" t="s">
        <v>75</v>
      </c>
      <c r="D12" s="38">
        <v>1289</v>
      </c>
      <c r="E12" s="38">
        <v>1378</v>
      </c>
      <c r="F12" s="38">
        <v>1502</v>
      </c>
      <c r="G12" s="38">
        <v>1929</v>
      </c>
      <c r="H12" s="38">
        <v>2413</v>
      </c>
      <c r="I12" s="38">
        <v>2759</v>
      </c>
      <c r="J12" s="38">
        <v>2940</v>
      </c>
      <c r="K12" s="38">
        <v>3065</v>
      </c>
      <c r="L12" s="38">
        <v>3123</v>
      </c>
      <c r="M12" s="38">
        <v>3698</v>
      </c>
      <c r="N12" s="38">
        <v>3864</v>
      </c>
      <c r="O12" s="38">
        <v>4201</v>
      </c>
      <c r="P12" s="38">
        <v>4374</v>
      </c>
      <c r="Q12" s="38">
        <v>4653</v>
      </c>
      <c r="R12" s="38">
        <v>4848</v>
      </c>
      <c r="S12" s="38">
        <v>5137</v>
      </c>
      <c r="T12" s="38">
        <v>5454</v>
      </c>
      <c r="U12" s="38">
        <v>5752</v>
      </c>
      <c r="V12" s="38">
        <v>5833</v>
      </c>
      <c r="W12" s="38">
        <v>6147</v>
      </c>
      <c r="X12" s="38">
        <v>6655</v>
      </c>
      <c r="Y12" s="38">
        <v>7344</v>
      </c>
      <c r="Z12" s="38">
        <v>8091</v>
      </c>
      <c r="AA12" s="38">
        <v>8976</v>
      </c>
      <c r="AB12" s="38">
        <v>9662</v>
      </c>
      <c r="AC12" s="38">
        <v>10704</v>
      </c>
      <c r="AD12" s="38">
        <v>12097</v>
      </c>
      <c r="AE12" s="38">
        <v>13729</v>
      </c>
      <c r="AF12" s="38">
        <v>16329</v>
      </c>
      <c r="AG12" s="38">
        <v>18218</v>
      </c>
      <c r="AH12" s="38">
        <v>20298</v>
      </c>
      <c r="AI12" s="38">
        <v>22451</v>
      </c>
      <c r="AJ12" s="38">
        <v>25401</v>
      </c>
      <c r="AK12" s="38">
        <v>27240</v>
      </c>
      <c r="AL12" s="38">
        <v>27951</v>
      </c>
      <c r="AM12" s="38">
        <v>29528</v>
      </c>
      <c r="AN12" s="38">
        <v>32277</v>
      </c>
      <c r="AO12" s="38">
        <v>34897</v>
      </c>
      <c r="AP12" s="38">
        <v>38631</v>
      </c>
      <c r="AQ12" s="38">
        <v>37936</v>
      </c>
      <c r="AR12" s="38">
        <v>37283</v>
      </c>
      <c r="AS12" s="38">
        <v>36618</v>
      </c>
      <c r="AT12" s="38">
        <v>40936</v>
      </c>
      <c r="AU12" s="38">
        <v>43170</v>
      </c>
      <c r="AV12" s="38">
        <v>46516</v>
      </c>
      <c r="AW12" s="38">
        <v>46247</v>
      </c>
      <c r="AX12" s="38">
        <v>51853</v>
      </c>
      <c r="AY12" s="38">
        <v>56503</v>
      </c>
      <c r="AZ12" s="38">
        <v>63956</v>
      </c>
      <c r="BA12" s="38">
        <v>50521</v>
      </c>
      <c r="BB12" s="38">
        <v>61059</v>
      </c>
      <c r="BC12" s="38">
        <v>69132</v>
      </c>
      <c r="BD12" s="38">
        <v>69653</v>
      </c>
      <c r="BE12" s="38">
        <v>76624</v>
      </c>
      <c r="BF12" s="38">
        <v>85322</v>
      </c>
      <c r="BG12" s="38">
        <v>76641</v>
      </c>
      <c r="BH12" s="38">
        <v>74236</v>
      </c>
      <c r="BI12" s="38">
        <v>79258</v>
      </c>
      <c r="BJ12" s="38">
        <v>82146</v>
      </c>
      <c r="BK12" s="38">
        <v>87070</v>
      </c>
      <c r="BL12" s="38">
        <v>88335</v>
      </c>
      <c r="BM12" s="38">
        <v>91890</v>
      </c>
      <c r="BN12" s="36">
        <v>97059</v>
      </c>
      <c r="BO12" s="36">
        <v>109463</v>
      </c>
      <c r="BP12" s="36">
        <v>113296</v>
      </c>
      <c r="BQ12" s="36">
        <v>118236</v>
      </c>
      <c r="BR12" s="36">
        <v>130098</v>
      </c>
      <c r="BS12" s="36">
        <v>132351</v>
      </c>
      <c r="BT12" s="36">
        <v>143711</v>
      </c>
      <c r="BU12" s="36">
        <v>161628</v>
      </c>
      <c r="BV12" s="36">
        <v>170419</v>
      </c>
    </row>
    <row r="13" spans="1:77" x14ac:dyDescent="0.25">
      <c r="A13" s="36" t="s">
        <v>250</v>
      </c>
      <c r="B13" s="36" t="s">
        <v>91</v>
      </c>
      <c r="C13" s="37" t="s">
        <v>316</v>
      </c>
      <c r="D13" s="40">
        <v>756</v>
      </c>
      <c r="E13" s="40">
        <v>785</v>
      </c>
      <c r="F13" s="40">
        <v>838</v>
      </c>
      <c r="G13" s="40">
        <v>1026</v>
      </c>
      <c r="H13" s="40">
        <v>1304</v>
      </c>
      <c r="I13" s="40">
        <v>1497</v>
      </c>
      <c r="J13" s="40">
        <v>1630</v>
      </c>
      <c r="K13" s="40">
        <v>1732</v>
      </c>
      <c r="L13" s="40">
        <v>1811</v>
      </c>
      <c r="M13" s="40">
        <v>2098</v>
      </c>
      <c r="N13" s="40">
        <v>2244</v>
      </c>
      <c r="O13" s="40">
        <v>2462</v>
      </c>
      <c r="P13" s="40">
        <v>2553</v>
      </c>
      <c r="Q13" s="40">
        <v>2625</v>
      </c>
      <c r="R13" s="40">
        <v>2763</v>
      </c>
      <c r="S13" s="40">
        <v>2811</v>
      </c>
      <c r="T13" s="40">
        <v>2924</v>
      </c>
      <c r="U13" s="40">
        <v>3100</v>
      </c>
      <c r="V13" s="40">
        <v>3091</v>
      </c>
      <c r="W13" s="40">
        <v>3243</v>
      </c>
      <c r="X13" s="40">
        <v>3429</v>
      </c>
      <c r="Y13" s="40">
        <v>3634</v>
      </c>
      <c r="Z13" s="40">
        <v>4125</v>
      </c>
      <c r="AA13" s="40">
        <v>4464</v>
      </c>
      <c r="AB13" s="40">
        <v>4683</v>
      </c>
      <c r="AC13" s="40">
        <v>5080</v>
      </c>
      <c r="AD13" s="40">
        <v>5602</v>
      </c>
      <c r="AE13" s="40">
        <v>6252</v>
      </c>
      <c r="AF13" s="40">
        <v>6905</v>
      </c>
      <c r="AG13" s="40">
        <v>7689</v>
      </c>
      <c r="AH13" s="40">
        <v>8738</v>
      </c>
      <c r="AI13" s="40">
        <v>9499</v>
      </c>
      <c r="AJ13" s="40">
        <v>10930</v>
      </c>
      <c r="AK13" s="40">
        <v>10409</v>
      </c>
      <c r="AL13" s="40">
        <v>10829</v>
      </c>
      <c r="AM13" s="40">
        <v>10749</v>
      </c>
      <c r="AN13" s="40">
        <v>11753</v>
      </c>
      <c r="AO13" s="40">
        <v>13695</v>
      </c>
      <c r="AP13" s="40">
        <v>14280</v>
      </c>
      <c r="AQ13" s="40">
        <v>13690</v>
      </c>
      <c r="AR13" s="40">
        <v>14075</v>
      </c>
      <c r="AS13" s="40">
        <v>13800</v>
      </c>
      <c r="AT13" s="40">
        <v>13543</v>
      </c>
      <c r="AU13" s="40">
        <v>13958</v>
      </c>
      <c r="AV13" s="40">
        <v>12852</v>
      </c>
      <c r="AW13" s="40">
        <v>12751</v>
      </c>
      <c r="AX13" s="40">
        <v>13869</v>
      </c>
      <c r="AY13" s="40">
        <v>15450</v>
      </c>
      <c r="AZ13" s="40">
        <v>18595</v>
      </c>
      <c r="BA13" s="40">
        <v>18987</v>
      </c>
      <c r="BB13" s="40">
        <v>22234</v>
      </c>
      <c r="BC13" s="40">
        <v>22417</v>
      </c>
      <c r="BD13" s="40">
        <v>23329</v>
      </c>
      <c r="BE13" s="40">
        <v>24865</v>
      </c>
      <c r="BF13" s="40">
        <v>29439</v>
      </c>
      <c r="BG13" s="40">
        <v>27143</v>
      </c>
      <c r="BH13" s="40">
        <v>32149</v>
      </c>
      <c r="BI13" s="40">
        <v>29769</v>
      </c>
      <c r="BJ13" s="40">
        <v>29696</v>
      </c>
      <c r="BK13" s="40">
        <v>30310</v>
      </c>
      <c r="BL13" s="40">
        <v>32531</v>
      </c>
      <c r="BM13" s="40">
        <v>33468</v>
      </c>
      <c r="BN13" s="36">
        <v>34260</v>
      </c>
      <c r="BO13" s="36">
        <v>35870</v>
      </c>
      <c r="BP13" s="36">
        <v>38041</v>
      </c>
      <c r="BQ13" s="36">
        <v>39939</v>
      </c>
      <c r="BR13" s="36">
        <v>41866</v>
      </c>
      <c r="BS13" s="36">
        <v>43174</v>
      </c>
      <c r="BT13" s="36">
        <v>41753</v>
      </c>
      <c r="BU13" s="36">
        <v>47061</v>
      </c>
      <c r="BV13" s="36">
        <v>49427</v>
      </c>
    </row>
    <row r="14" spans="1:77" x14ac:dyDescent="0.25">
      <c r="A14" s="36" t="s">
        <v>250</v>
      </c>
      <c r="B14" s="36" t="s">
        <v>91</v>
      </c>
      <c r="C14" s="37" t="s">
        <v>317</v>
      </c>
      <c r="D14" s="40">
        <v>456</v>
      </c>
      <c r="E14" s="40">
        <v>513</v>
      </c>
      <c r="F14" s="40">
        <v>583</v>
      </c>
      <c r="G14" s="40">
        <v>818</v>
      </c>
      <c r="H14" s="40">
        <v>1018</v>
      </c>
      <c r="I14" s="40">
        <v>1163</v>
      </c>
      <c r="J14" s="40">
        <v>1206</v>
      </c>
      <c r="K14" s="40">
        <v>1226</v>
      </c>
      <c r="L14" s="40">
        <v>1195</v>
      </c>
      <c r="M14" s="40">
        <v>1471</v>
      </c>
      <c r="N14" s="40">
        <v>1483</v>
      </c>
      <c r="O14" s="40">
        <v>1593</v>
      </c>
      <c r="P14" s="40">
        <v>1654</v>
      </c>
      <c r="Q14" s="40">
        <v>1842</v>
      </c>
      <c r="R14" s="40">
        <v>1890</v>
      </c>
      <c r="S14" s="40">
        <v>2125</v>
      </c>
      <c r="T14" s="40">
        <v>2320</v>
      </c>
      <c r="U14" s="40">
        <v>2429</v>
      </c>
      <c r="V14" s="40">
        <v>2494</v>
      </c>
      <c r="W14" s="40">
        <v>2618</v>
      </c>
      <c r="X14" s="40">
        <v>2894</v>
      </c>
      <c r="Y14" s="40">
        <v>3333</v>
      </c>
      <c r="Z14" s="40">
        <v>3520</v>
      </c>
      <c r="AA14" s="40">
        <v>4001</v>
      </c>
      <c r="AB14" s="40">
        <v>4410</v>
      </c>
      <c r="AC14" s="40">
        <v>4982</v>
      </c>
      <c r="AD14" s="40">
        <v>5797</v>
      </c>
      <c r="AE14" s="40">
        <v>6698</v>
      </c>
      <c r="AF14" s="40">
        <v>8531</v>
      </c>
      <c r="AG14" s="40">
        <v>9553</v>
      </c>
      <c r="AH14" s="40">
        <v>10501</v>
      </c>
      <c r="AI14" s="40">
        <v>11788</v>
      </c>
      <c r="AJ14" s="40">
        <v>13191</v>
      </c>
      <c r="AK14" s="40">
        <v>15402</v>
      </c>
      <c r="AL14" s="40">
        <v>15511</v>
      </c>
      <c r="AM14" s="40">
        <v>16938</v>
      </c>
      <c r="AN14" s="40">
        <v>18452</v>
      </c>
      <c r="AO14" s="40">
        <v>18930</v>
      </c>
      <c r="AP14" s="40">
        <v>21946</v>
      </c>
      <c r="AQ14" s="40">
        <v>21736</v>
      </c>
      <c r="AR14" s="40">
        <v>20547</v>
      </c>
      <c r="AS14" s="40">
        <v>19995</v>
      </c>
      <c r="AT14" s="40">
        <v>24418</v>
      </c>
      <c r="AU14" s="40">
        <v>26076</v>
      </c>
      <c r="AV14" s="40">
        <v>30502</v>
      </c>
      <c r="AW14" s="40">
        <v>30303</v>
      </c>
      <c r="AX14" s="40">
        <v>34586</v>
      </c>
      <c r="AY14" s="40">
        <v>37293</v>
      </c>
      <c r="AZ14" s="40">
        <v>41238</v>
      </c>
      <c r="BA14" s="40">
        <v>26899</v>
      </c>
      <c r="BB14" s="40">
        <v>33692</v>
      </c>
      <c r="BC14" s="40">
        <v>41495</v>
      </c>
      <c r="BD14" s="40">
        <v>40867</v>
      </c>
      <c r="BE14" s="40">
        <v>45952</v>
      </c>
      <c r="BF14" s="40">
        <v>49627</v>
      </c>
      <c r="BG14" s="40">
        <v>42385</v>
      </c>
      <c r="BH14" s="40">
        <v>34295</v>
      </c>
      <c r="BI14" s="40">
        <v>41153</v>
      </c>
      <c r="BJ14" s="40">
        <v>43805</v>
      </c>
      <c r="BK14" s="40">
        <v>47741</v>
      </c>
      <c r="BL14" s="40">
        <v>46133</v>
      </c>
      <c r="BM14" s="40">
        <v>48174</v>
      </c>
      <c r="BN14" s="36">
        <v>51623</v>
      </c>
      <c r="BO14" s="36">
        <v>59336</v>
      </c>
      <c r="BP14" s="36">
        <v>60664</v>
      </c>
      <c r="BQ14" s="36">
        <v>63433</v>
      </c>
      <c r="BR14" s="36">
        <v>73245</v>
      </c>
      <c r="BS14" s="36">
        <v>74633</v>
      </c>
      <c r="BT14" s="36">
        <v>87193</v>
      </c>
      <c r="BU14" s="36">
        <v>99357</v>
      </c>
      <c r="BV14" s="36">
        <v>104780</v>
      </c>
    </row>
    <row r="15" spans="1:77" x14ac:dyDescent="0.25">
      <c r="A15" s="36" t="s">
        <v>250</v>
      </c>
      <c r="B15" s="36" t="s">
        <v>91</v>
      </c>
      <c r="C15" s="37" t="s">
        <v>318</v>
      </c>
      <c r="D15" s="40">
        <v>28</v>
      </c>
      <c r="E15" s="40">
        <v>28</v>
      </c>
      <c r="F15" s="40">
        <v>27</v>
      </c>
      <c r="G15" s="40">
        <v>27</v>
      </c>
      <c r="H15" s="40">
        <v>27</v>
      </c>
      <c r="I15" s="40">
        <v>27</v>
      </c>
      <c r="J15" s="40">
        <v>28</v>
      </c>
      <c r="K15" s="40">
        <v>29</v>
      </c>
      <c r="L15" s="40">
        <v>30</v>
      </c>
      <c r="M15" s="40">
        <v>30</v>
      </c>
      <c r="N15" s="40">
        <v>32</v>
      </c>
      <c r="O15" s="40">
        <v>37</v>
      </c>
      <c r="P15" s="40">
        <v>42</v>
      </c>
      <c r="Q15" s="40">
        <v>48</v>
      </c>
      <c r="R15" s="40">
        <v>54</v>
      </c>
      <c r="S15" s="40">
        <v>55</v>
      </c>
      <c r="T15" s="40">
        <v>54</v>
      </c>
      <c r="U15" s="40">
        <v>56</v>
      </c>
      <c r="V15" s="40">
        <v>67</v>
      </c>
      <c r="W15" s="40">
        <v>82</v>
      </c>
      <c r="X15" s="40">
        <v>100</v>
      </c>
      <c r="Y15" s="40">
        <v>118</v>
      </c>
      <c r="Z15" s="40">
        <v>141</v>
      </c>
      <c r="AA15" s="40">
        <v>166</v>
      </c>
      <c r="AB15" s="40">
        <v>194</v>
      </c>
      <c r="AC15" s="40">
        <v>232</v>
      </c>
      <c r="AD15" s="40">
        <v>263</v>
      </c>
      <c r="AE15" s="40">
        <v>308</v>
      </c>
      <c r="AF15" s="40">
        <v>363</v>
      </c>
      <c r="AG15" s="40">
        <v>402</v>
      </c>
      <c r="AH15" s="40">
        <v>443</v>
      </c>
      <c r="AI15" s="40">
        <v>491</v>
      </c>
      <c r="AJ15" s="40">
        <v>547</v>
      </c>
      <c r="AK15" s="40">
        <v>620</v>
      </c>
      <c r="AL15" s="40">
        <v>707</v>
      </c>
      <c r="AM15" s="40">
        <v>818</v>
      </c>
      <c r="AN15" s="40">
        <v>933</v>
      </c>
      <c r="AO15" s="40">
        <v>1031</v>
      </c>
      <c r="AP15" s="40">
        <v>1091</v>
      </c>
      <c r="AQ15" s="40">
        <v>1120</v>
      </c>
      <c r="AR15" s="40">
        <v>1181</v>
      </c>
      <c r="AS15" s="40">
        <v>1256</v>
      </c>
      <c r="AT15" s="40">
        <v>1311</v>
      </c>
      <c r="AU15" s="40">
        <v>1390</v>
      </c>
      <c r="AV15" s="40">
        <v>1396</v>
      </c>
      <c r="AW15" s="40">
        <v>1393</v>
      </c>
      <c r="AX15" s="40">
        <v>1480</v>
      </c>
      <c r="AY15" s="40">
        <v>1604</v>
      </c>
      <c r="AZ15" s="40">
        <v>1734</v>
      </c>
      <c r="BA15" s="40">
        <v>1937</v>
      </c>
      <c r="BB15" s="40">
        <v>2127</v>
      </c>
      <c r="BC15" s="40">
        <v>2190</v>
      </c>
      <c r="BD15" s="40">
        <v>2283</v>
      </c>
      <c r="BE15" s="40">
        <v>2368</v>
      </c>
      <c r="BF15" s="40">
        <v>2461</v>
      </c>
      <c r="BG15" s="40">
        <v>2682</v>
      </c>
      <c r="BH15" s="40">
        <v>2942</v>
      </c>
      <c r="BI15" s="40">
        <v>3141</v>
      </c>
      <c r="BJ15" s="40">
        <v>3416</v>
      </c>
      <c r="BK15" s="40">
        <v>3693</v>
      </c>
      <c r="BL15" s="40">
        <v>3943</v>
      </c>
      <c r="BM15" s="40">
        <v>4214</v>
      </c>
      <c r="BN15" s="36">
        <v>4425</v>
      </c>
      <c r="BO15" s="36">
        <v>4836</v>
      </c>
      <c r="BP15" s="36">
        <v>5184</v>
      </c>
      <c r="BQ15" s="36">
        <v>5475</v>
      </c>
      <c r="BR15" s="36">
        <v>5732</v>
      </c>
      <c r="BS15" s="36">
        <v>5925</v>
      </c>
      <c r="BT15" s="36">
        <v>6226</v>
      </c>
      <c r="BU15" s="36">
        <v>6832</v>
      </c>
      <c r="BV15" s="36">
        <v>7441</v>
      </c>
    </row>
    <row r="16" spans="1:77" x14ac:dyDescent="0.25">
      <c r="A16" s="36" t="s">
        <v>250</v>
      </c>
      <c r="B16" s="36" t="s">
        <v>91</v>
      </c>
      <c r="C16" s="37" t="s">
        <v>237</v>
      </c>
      <c r="D16" s="38">
        <v>50</v>
      </c>
      <c r="E16" s="38">
        <v>53</v>
      </c>
      <c r="F16" s="38">
        <v>54</v>
      </c>
      <c r="G16" s="38">
        <v>58</v>
      </c>
      <c r="H16" s="38">
        <v>65</v>
      </c>
      <c r="I16" s="38">
        <v>72</v>
      </c>
      <c r="J16" s="38">
        <v>76</v>
      </c>
      <c r="K16" s="38">
        <v>79</v>
      </c>
      <c r="L16" s="38">
        <v>88</v>
      </c>
      <c r="M16" s="38">
        <v>99</v>
      </c>
      <c r="N16" s="38">
        <v>105</v>
      </c>
      <c r="O16" s="38">
        <v>110</v>
      </c>
      <c r="P16" s="38">
        <v>125</v>
      </c>
      <c r="Q16" s="38">
        <v>138</v>
      </c>
      <c r="R16" s="38">
        <v>142</v>
      </c>
      <c r="S16" s="38">
        <v>147</v>
      </c>
      <c r="T16" s="38">
        <v>157</v>
      </c>
      <c r="U16" s="38">
        <v>168</v>
      </c>
      <c r="V16" s="38">
        <v>182</v>
      </c>
      <c r="W16" s="38">
        <v>205</v>
      </c>
      <c r="X16" s="38">
        <v>233</v>
      </c>
      <c r="Y16" s="38">
        <v>259</v>
      </c>
      <c r="Z16" s="38">
        <v>305</v>
      </c>
      <c r="AA16" s="38">
        <v>345</v>
      </c>
      <c r="AB16" s="38">
        <v>375</v>
      </c>
      <c r="AC16" s="38">
        <v>410</v>
      </c>
      <c r="AD16" s="38">
        <v>434</v>
      </c>
      <c r="AE16" s="38">
        <v>472</v>
      </c>
      <c r="AF16" s="38">
        <v>531</v>
      </c>
      <c r="AG16" s="38">
        <v>574</v>
      </c>
      <c r="AH16" s="38">
        <v>616</v>
      </c>
      <c r="AI16" s="38">
        <v>672</v>
      </c>
      <c r="AJ16" s="38">
        <v>733</v>
      </c>
      <c r="AK16" s="38">
        <v>808</v>
      </c>
      <c r="AL16" s="38">
        <v>904</v>
      </c>
      <c r="AM16" s="38">
        <v>1024</v>
      </c>
      <c r="AN16" s="38">
        <v>1139</v>
      </c>
      <c r="AO16" s="38">
        <v>1241</v>
      </c>
      <c r="AP16" s="38">
        <v>1315</v>
      </c>
      <c r="AQ16" s="38">
        <v>1390</v>
      </c>
      <c r="AR16" s="38">
        <v>1480</v>
      </c>
      <c r="AS16" s="38">
        <v>1566</v>
      </c>
      <c r="AT16" s="38">
        <v>1663</v>
      </c>
      <c r="AU16" s="38">
        <v>1746</v>
      </c>
      <c r="AV16" s="38">
        <v>1767</v>
      </c>
      <c r="AW16" s="38">
        <v>1800</v>
      </c>
      <c r="AX16" s="38">
        <v>1918</v>
      </c>
      <c r="AY16" s="38">
        <v>2156</v>
      </c>
      <c r="AZ16" s="38">
        <v>2388</v>
      </c>
      <c r="BA16" s="38">
        <v>2697</v>
      </c>
      <c r="BB16" s="38">
        <v>3006</v>
      </c>
      <c r="BC16" s="38">
        <v>3029</v>
      </c>
      <c r="BD16" s="38">
        <v>3174</v>
      </c>
      <c r="BE16" s="38">
        <v>3439</v>
      </c>
      <c r="BF16" s="38">
        <v>3794</v>
      </c>
      <c r="BG16" s="38">
        <v>4432</v>
      </c>
      <c r="BH16" s="38">
        <v>4850</v>
      </c>
      <c r="BI16" s="38">
        <v>5195</v>
      </c>
      <c r="BJ16" s="38">
        <v>5229</v>
      </c>
      <c r="BK16" s="38">
        <v>5326</v>
      </c>
      <c r="BL16" s="38">
        <v>5728</v>
      </c>
      <c r="BM16" s="38">
        <v>6034</v>
      </c>
      <c r="BN16" s="36">
        <v>6751</v>
      </c>
      <c r="BO16" s="36">
        <v>9421</v>
      </c>
      <c r="BP16" s="36">
        <v>9407</v>
      </c>
      <c r="BQ16" s="36">
        <v>9389</v>
      </c>
      <c r="BR16" s="36">
        <v>9255</v>
      </c>
      <c r="BS16" s="36">
        <v>8619</v>
      </c>
      <c r="BT16" s="36">
        <v>8539</v>
      </c>
      <c r="BU16" s="36">
        <v>8378</v>
      </c>
      <c r="BV16" s="36">
        <v>8771</v>
      </c>
    </row>
    <row r="17" spans="1:77" x14ac:dyDescent="0.25">
      <c r="A17" s="36" t="s">
        <v>251</v>
      </c>
      <c r="B17" s="36" t="s">
        <v>91</v>
      </c>
      <c r="C17" s="37" t="s">
        <v>75</v>
      </c>
      <c r="D17" s="38">
        <v>3412</v>
      </c>
      <c r="E17" s="38">
        <v>3734</v>
      </c>
      <c r="F17" s="38">
        <v>4113</v>
      </c>
      <c r="G17" s="38">
        <v>5854</v>
      </c>
      <c r="H17" s="38">
        <v>6681</v>
      </c>
      <c r="I17" s="38">
        <v>7213</v>
      </c>
      <c r="J17" s="38">
        <v>8463</v>
      </c>
      <c r="K17" s="38">
        <v>9360</v>
      </c>
      <c r="L17" s="38">
        <v>9930</v>
      </c>
      <c r="M17" s="38">
        <v>10114</v>
      </c>
      <c r="N17" s="38">
        <v>11539</v>
      </c>
      <c r="O17" s="38">
        <v>12506</v>
      </c>
      <c r="P17" s="38">
        <v>13215</v>
      </c>
      <c r="Q17" s="38">
        <v>14490</v>
      </c>
      <c r="R17" s="38">
        <v>15332</v>
      </c>
      <c r="S17" s="38">
        <v>16154</v>
      </c>
      <c r="T17" s="38">
        <v>17051</v>
      </c>
      <c r="U17" s="38">
        <v>16925</v>
      </c>
      <c r="V17" s="38">
        <v>17399</v>
      </c>
      <c r="W17" s="38">
        <v>18743</v>
      </c>
      <c r="X17" s="38">
        <v>20197</v>
      </c>
      <c r="Y17" s="38">
        <v>21504</v>
      </c>
      <c r="Z17" s="38">
        <v>22706</v>
      </c>
      <c r="AA17" s="38">
        <v>25085</v>
      </c>
      <c r="AB17" s="38">
        <v>27667</v>
      </c>
      <c r="AC17" s="38">
        <v>31056</v>
      </c>
      <c r="AD17" s="38">
        <v>35445</v>
      </c>
      <c r="AE17" s="38">
        <v>40748</v>
      </c>
      <c r="AF17" s="38">
        <v>46305</v>
      </c>
      <c r="AG17" s="38">
        <v>51879</v>
      </c>
      <c r="AH17" s="38">
        <v>57771</v>
      </c>
      <c r="AI17" s="38">
        <v>66461</v>
      </c>
      <c r="AJ17" s="38">
        <v>74522</v>
      </c>
      <c r="AK17" s="38">
        <v>75855</v>
      </c>
      <c r="AL17" s="38">
        <v>79929</v>
      </c>
      <c r="AM17" s="38">
        <v>84567</v>
      </c>
      <c r="AN17" s="38">
        <v>87723</v>
      </c>
      <c r="AO17" s="38">
        <v>94067</v>
      </c>
      <c r="AP17" s="38">
        <v>95105</v>
      </c>
      <c r="AQ17" s="38">
        <v>99811</v>
      </c>
      <c r="AR17" s="38">
        <v>99705</v>
      </c>
      <c r="AS17" s="38">
        <v>102938</v>
      </c>
      <c r="AT17" s="38">
        <v>113079</v>
      </c>
      <c r="AU17" s="38">
        <v>121377</v>
      </c>
      <c r="AV17" s="38">
        <v>128661</v>
      </c>
      <c r="AW17" s="38">
        <v>144669</v>
      </c>
      <c r="AX17" s="38">
        <v>154315</v>
      </c>
      <c r="AY17" s="38">
        <v>169414</v>
      </c>
      <c r="AZ17" s="38">
        <v>167740</v>
      </c>
      <c r="BA17" s="38">
        <v>176601</v>
      </c>
      <c r="BB17" s="38">
        <v>175483</v>
      </c>
      <c r="BC17" s="38">
        <v>177220</v>
      </c>
      <c r="BD17" s="38">
        <v>195731</v>
      </c>
      <c r="BE17" s="38">
        <v>212719</v>
      </c>
      <c r="BF17" s="38">
        <v>227967</v>
      </c>
      <c r="BG17" s="38">
        <v>259595</v>
      </c>
      <c r="BH17" s="38">
        <v>256036</v>
      </c>
      <c r="BI17" s="38">
        <v>251415</v>
      </c>
      <c r="BJ17" s="38">
        <v>270995</v>
      </c>
      <c r="BK17" s="38">
        <v>273264</v>
      </c>
      <c r="BL17" s="38">
        <v>287144</v>
      </c>
      <c r="BM17" s="38">
        <v>301474</v>
      </c>
      <c r="BN17" s="36">
        <v>312983</v>
      </c>
      <c r="BO17" s="36">
        <v>324729</v>
      </c>
      <c r="BP17" s="36">
        <v>350115</v>
      </c>
      <c r="BQ17" s="36">
        <v>387805</v>
      </c>
      <c r="BR17" s="36">
        <v>430291</v>
      </c>
      <c r="BS17" s="36">
        <v>472492</v>
      </c>
      <c r="BT17" s="36">
        <v>526382</v>
      </c>
      <c r="BU17" s="36">
        <v>599959</v>
      </c>
      <c r="BV17" s="36">
        <v>630985</v>
      </c>
    </row>
    <row r="18" spans="1:77" x14ac:dyDescent="0.25">
      <c r="A18" s="36" t="s">
        <v>251</v>
      </c>
      <c r="B18" s="36" t="s">
        <v>91</v>
      </c>
      <c r="C18" s="37" t="s">
        <v>316</v>
      </c>
      <c r="D18" s="40">
        <v>1762</v>
      </c>
      <c r="E18" s="40">
        <v>2027</v>
      </c>
      <c r="F18" s="40">
        <v>2351</v>
      </c>
      <c r="G18" s="40">
        <v>3561</v>
      </c>
      <c r="H18" s="40">
        <v>4477</v>
      </c>
      <c r="I18" s="40">
        <v>4940</v>
      </c>
      <c r="J18" s="40">
        <v>5871</v>
      </c>
      <c r="K18" s="40">
        <v>6390</v>
      </c>
      <c r="L18" s="40">
        <v>6701</v>
      </c>
      <c r="M18" s="40">
        <v>6822</v>
      </c>
      <c r="N18" s="40">
        <v>7955</v>
      </c>
      <c r="O18" s="40">
        <v>8610</v>
      </c>
      <c r="P18" s="40">
        <v>8742</v>
      </c>
      <c r="Q18" s="40">
        <v>9466</v>
      </c>
      <c r="R18" s="40">
        <v>9521</v>
      </c>
      <c r="S18" s="40">
        <v>9756</v>
      </c>
      <c r="T18" s="40">
        <v>9848</v>
      </c>
      <c r="U18" s="40">
        <v>9382</v>
      </c>
      <c r="V18" s="40">
        <v>9561</v>
      </c>
      <c r="W18" s="40">
        <v>10141</v>
      </c>
      <c r="X18" s="40">
        <v>10311</v>
      </c>
      <c r="Y18" s="40">
        <v>10506</v>
      </c>
      <c r="Z18" s="40">
        <v>10993</v>
      </c>
      <c r="AA18" s="40">
        <v>12035</v>
      </c>
      <c r="AB18" s="40">
        <v>13153</v>
      </c>
      <c r="AC18" s="40">
        <v>14383</v>
      </c>
      <c r="AD18" s="40">
        <v>16064</v>
      </c>
      <c r="AE18" s="40">
        <v>17587</v>
      </c>
      <c r="AF18" s="40">
        <v>20242</v>
      </c>
      <c r="AG18" s="40">
        <v>22323</v>
      </c>
      <c r="AH18" s="40">
        <v>24859</v>
      </c>
      <c r="AI18" s="40">
        <v>28320</v>
      </c>
      <c r="AJ18" s="40">
        <v>32304</v>
      </c>
      <c r="AK18" s="40">
        <v>33993</v>
      </c>
      <c r="AL18" s="40">
        <v>36691</v>
      </c>
      <c r="AM18" s="40">
        <v>37285</v>
      </c>
      <c r="AN18" s="40">
        <v>35320</v>
      </c>
      <c r="AO18" s="40">
        <v>33859</v>
      </c>
      <c r="AP18" s="40">
        <v>31220</v>
      </c>
      <c r="AQ18" s="40">
        <v>31514</v>
      </c>
      <c r="AR18" s="40">
        <v>30055</v>
      </c>
      <c r="AS18" s="40">
        <v>30208</v>
      </c>
      <c r="AT18" s="40">
        <v>32436</v>
      </c>
      <c r="AU18" s="40">
        <v>31373</v>
      </c>
      <c r="AV18" s="40">
        <v>32256</v>
      </c>
      <c r="AW18" s="40">
        <v>32684</v>
      </c>
      <c r="AX18" s="40">
        <v>30584</v>
      </c>
      <c r="AY18" s="40">
        <v>27493</v>
      </c>
      <c r="AZ18" s="40">
        <v>28396</v>
      </c>
      <c r="BA18" s="40">
        <v>29745</v>
      </c>
      <c r="BB18" s="40">
        <v>30011</v>
      </c>
      <c r="BC18" s="40">
        <v>34238</v>
      </c>
      <c r="BD18" s="40">
        <v>36517</v>
      </c>
      <c r="BE18" s="40">
        <v>38699</v>
      </c>
      <c r="BF18" s="40">
        <v>39595</v>
      </c>
      <c r="BG18" s="40">
        <v>54556</v>
      </c>
      <c r="BH18" s="40">
        <v>55963</v>
      </c>
      <c r="BI18" s="40">
        <v>56993</v>
      </c>
      <c r="BJ18" s="40">
        <v>58355</v>
      </c>
      <c r="BK18" s="40">
        <v>55623</v>
      </c>
      <c r="BL18" s="40">
        <v>51606</v>
      </c>
      <c r="BM18" s="40">
        <v>48126</v>
      </c>
      <c r="BN18" s="36">
        <v>47835</v>
      </c>
      <c r="BO18" s="36">
        <v>43214</v>
      </c>
      <c r="BP18" s="36">
        <v>44910</v>
      </c>
      <c r="BQ18" s="36">
        <v>48506</v>
      </c>
      <c r="BR18" s="36">
        <v>49074</v>
      </c>
      <c r="BS18" s="36">
        <v>58633</v>
      </c>
      <c r="BT18" s="36">
        <v>57890</v>
      </c>
      <c r="BU18" s="36">
        <v>64298</v>
      </c>
      <c r="BV18" s="36">
        <v>66662</v>
      </c>
    </row>
    <row r="19" spans="1:77" x14ac:dyDescent="0.25">
      <c r="A19" s="36" t="s">
        <v>251</v>
      </c>
      <c r="B19" s="36" t="s">
        <v>91</v>
      </c>
      <c r="C19" s="37" t="s">
        <v>317</v>
      </c>
      <c r="D19" s="40">
        <v>1637</v>
      </c>
      <c r="E19" s="40">
        <v>1693</v>
      </c>
      <c r="F19" s="40">
        <v>1748</v>
      </c>
      <c r="G19" s="40">
        <v>2277</v>
      </c>
      <c r="H19" s="40">
        <v>2185</v>
      </c>
      <c r="I19" s="40">
        <v>2252</v>
      </c>
      <c r="J19" s="40">
        <v>2569</v>
      </c>
      <c r="K19" s="40">
        <v>2948</v>
      </c>
      <c r="L19" s="40">
        <v>3201</v>
      </c>
      <c r="M19" s="40">
        <v>3259</v>
      </c>
      <c r="N19" s="40">
        <v>3548</v>
      </c>
      <c r="O19" s="40">
        <v>3861</v>
      </c>
      <c r="P19" s="40">
        <v>4433</v>
      </c>
      <c r="Q19" s="40">
        <v>4977</v>
      </c>
      <c r="R19" s="40">
        <v>5762</v>
      </c>
      <c r="S19" s="40">
        <v>6346</v>
      </c>
      <c r="T19" s="40">
        <v>7150</v>
      </c>
      <c r="U19" s="40">
        <v>7489</v>
      </c>
      <c r="V19" s="40">
        <v>7780</v>
      </c>
      <c r="W19" s="40">
        <v>8533</v>
      </c>
      <c r="X19" s="40">
        <v>9798</v>
      </c>
      <c r="Y19" s="40">
        <v>10896</v>
      </c>
      <c r="Z19" s="40">
        <v>11600</v>
      </c>
      <c r="AA19" s="40">
        <v>12927</v>
      </c>
      <c r="AB19" s="40">
        <v>14370</v>
      </c>
      <c r="AC19" s="40">
        <v>16504</v>
      </c>
      <c r="AD19" s="40">
        <v>19193</v>
      </c>
      <c r="AE19" s="40">
        <v>22945</v>
      </c>
      <c r="AF19" s="40">
        <v>25817</v>
      </c>
      <c r="AG19" s="40">
        <v>29286</v>
      </c>
      <c r="AH19" s="40">
        <v>32617</v>
      </c>
      <c r="AI19" s="40">
        <v>37815</v>
      </c>
      <c r="AJ19" s="40">
        <v>41857</v>
      </c>
      <c r="AK19" s="40">
        <v>41460</v>
      </c>
      <c r="AL19" s="40">
        <v>42784</v>
      </c>
      <c r="AM19" s="40">
        <v>46765</v>
      </c>
      <c r="AN19" s="40">
        <v>51822</v>
      </c>
      <c r="AO19" s="40">
        <v>59568</v>
      </c>
      <c r="AP19" s="40">
        <v>63197</v>
      </c>
      <c r="AQ19" s="40">
        <v>67567</v>
      </c>
      <c r="AR19" s="40">
        <v>68866</v>
      </c>
      <c r="AS19" s="40">
        <v>71886</v>
      </c>
      <c r="AT19" s="40">
        <v>79738</v>
      </c>
      <c r="AU19" s="40">
        <v>89032</v>
      </c>
      <c r="AV19" s="40">
        <v>95331</v>
      </c>
      <c r="AW19" s="40">
        <v>110865</v>
      </c>
      <c r="AX19" s="40">
        <v>122530</v>
      </c>
      <c r="AY19" s="40">
        <v>140549</v>
      </c>
      <c r="AZ19" s="40">
        <v>137770</v>
      </c>
      <c r="BA19" s="40">
        <v>145074</v>
      </c>
      <c r="BB19" s="40">
        <v>143477</v>
      </c>
      <c r="BC19" s="40">
        <v>140978</v>
      </c>
      <c r="BD19" s="40">
        <v>157080</v>
      </c>
      <c r="BE19" s="40">
        <v>171802</v>
      </c>
      <c r="BF19" s="40">
        <v>185989</v>
      </c>
      <c r="BG19" s="40">
        <v>201848</v>
      </c>
      <c r="BH19" s="40">
        <v>196182</v>
      </c>
      <c r="BI19" s="40">
        <v>189555</v>
      </c>
      <c r="BJ19" s="40">
        <v>207758</v>
      </c>
      <c r="BK19" s="40">
        <v>212718</v>
      </c>
      <c r="BL19" s="40">
        <v>230039</v>
      </c>
      <c r="BM19" s="40">
        <v>247498</v>
      </c>
      <c r="BN19" s="36">
        <v>258693</v>
      </c>
      <c r="BO19" s="36">
        <v>274874</v>
      </c>
      <c r="BP19" s="36">
        <v>298755</v>
      </c>
      <c r="BQ19" s="36">
        <v>332682</v>
      </c>
      <c r="BR19" s="36">
        <v>374733</v>
      </c>
      <c r="BS19" s="36">
        <v>407252</v>
      </c>
      <c r="BT19" s="36">
        <v>460949</v>
      </c>
      <c r="BU19" s="36">
        <v>527808</v>
      </c>
      <c r="BV19" s="36">
        <v>555985</v>
      </c>
    </row>
    <row r="20" spans="1:77" x14ac:dyDescent="0.25">
      <c r="A20" s="36" t="s">
        <v>251</v>
      </c>
      <c r="B20" s="36" t="s">
        <v>91</v>
      </c>
      <c r="C20" s="37" t="s">
        <v>318</v>
      </c>
      <c r="D20" s="40">
        <v>3</v>
      </c>
      <c r="E20" s="40">
        <v>3</v>
      </c>
      <c r="F20" s="40">
        <v>3</v>
      </c>
      <c r="G20" s="40">
        <v>4</v>
      </c>
      <c r="H20" s="40">
        <v>4</v>
      </c>
      <c r="I20" s="40">
        <v>4</v>
      </c>
      <c r="J20" s="40">
        <v>5</v>
      </c>
      <c r="K20" s="40">
        <v>5</v>
      </c>
      <c r="L20" s="40">
        <v>5</v>
      </c>
      <c r="M20" s="40">
        <v>6</v>
      </c>
      <c r="N20" s="40">
        <v>6</v>
      </c>
      <c r="O20" s="40">
        <v>7</v>
      </c>
      <c r="P20" s="40">
        <v>8</v>
      </c>
      <c r="Q20" s="40">
        <v>10</v>
      </c>
      <c r="R20" s="40">
        <v>10</v>
      </c>
      <c r="S20" s="40">
        <v>9</v>
      </c>
      <c r="T20" s="40">
        <v>8</v>
      </c>
      <c r="U20" s="40">
        <v>7</v>
      </c>
      <c r="V20" s="40">
        <v>9</v>
      </c>
      <c r="W20" s="40">
        <v>14</v>
      </c>
      <c r="X20" s="40">
        <v>20</v>
      </c>
      <c r="Y20" s="40">
        <v>25</v>
      </c>
      <c r="Z20" s="40">
        <v>27</v>
      </c>
      <c r="AA20" s="40">
        <v>31</v>
      </c>
      <c r="AB20" s="40">
        <v>40</v>
      </c>
      <c r="AC20" s="40">
        <v>49</v>
      </c>
      <c r="AD20" s="40">
        <v>56</v>
      </c>
      <c r="AE20" s="40">
        <v>68</v>
      </c>
      <c r="AF20" s="40">
        <v>80</v>
      </c>
      <c r="AG20" s="40">
        <v>88</v>
      </c>
      <c r="AH20" s="40">
        <v>97</v>
      </c>
      <c r="AI20" s="40">
        <v>108</v>
      </c>
      <c r="AJ20" s="40">
        <v>120</v>
      </c>
      <c r="AK20" s="40">
        <v>136</v>
      </c>
      <c r="AL20" s="40">
        <v>155</v>
      </c>
      <c r="AM20" s="40">
        <v>180</v>
      </c>
      <c r="AN20" s="40">
        <v>205</v>
      </c>
      <c r="AO20" s="40">
        <v>226</v>
      </c>
      <c r="AP20" s="40">
        <v>239</v>
      </c>
      <c r="AQ20" s="40">
        <v>246</v>
      </c>
      <c r="AR20" s="40">
        <v>259</v>
      </c>
      <c r="AS20" s="40">
        <v>276</v>
      </c>
      <c r="AT20" s="40">
        <v>288</v>
      </c>
      <c r="AU20" s="40">
        <v>305</v>
      </c>
      <c r="AV20" s="40">
        <v>306</v>
      </c>
      <c r="AW20" s="40">
        <v>306</v>
      </c>
      <c r="AX20" s="40">
        <v>325</v>
      </c>
      <c r="AY20" s="40">
        <v>352</v>
      </c>
      <c r="AZ20" s="40">
        <v>381</v>
      </c>
      <c r="BA20" s="40">
        <v>425</v>
      </c>
      <c r="BB20" s="40">
        <v>467</v>
      </c>
      <c r="BC20" s="40">
        <v>481</v>
      </c>
      <c r="BD20" s="40">
        <v>501</v>
      </c>
      <c r="BE20" s="40">
        <v>520</v>
      </c>
      <c r="BF20" s="40">
        <v>540</v>
      </c>
      <c r="BG20" s="40">
        <v>589</v>
      </c>
      <c r="BH20" s="40">
        <v>915</v>
      </c>
      <c r="BI20" s="40">
        <v>1240</v>
      </c>
      <c r="BJ20" s="40">
        <v>1340</v>
      </c>
      <c r="BK20" s="40">
        <v>1524</v>
      </c>
      <c r="BL20" s="40">
        <v>1670</v>
      </c>
      <c r="BM20" s="40">
        <v>1781</v>
      </c>
      <c r="BN20" s="36">
        <v>1850</v>
      </c>
      <c r="BO20" s="36">
        <v>1957</v>
      </c>
      <c r="BP20" s="36">
        <v>2091</v>
      </c>
      <c r="BQ20" s="36">
        <v>2191</v>
      </c>
      <c r="BR20" s="36">
        <v>2211</v>
      </c>
      <c r="BS20" s="36">
        <v>2266</v>
      </c>
      <c r="BT20" s="36">
        <v>2429</v>
      </c>
      <c r="BU20" s="36">
        <v>2681</v>
      </c>
      <c r="BV20" s="36">
        <v>2949</v>
      </c>
    </row>
    <row r="21" spans="1:77" x14ac:dyDescent="0.25">
      <c r="A21" s="36" t="s">
        <v>251</v>
      </c>
      <c r="B21" s="36" t="s">
        <v>91</v>
      </c>
      <c r="C21" s="37" t="s">
        <v>237</v>
      </c>
      <c r="D21" s="40">
        <v>10</v>
      </c>
      <c r="E21" s="40">
        <v>11</v>
      </c>
      <c r="F21" s="40">
        <v>12</v>
      </c>
      <c r="G21" s="40">
        <v>13</v>
      </c>
      <c r="H21" s="40">
        <v>15</v>
      </c>
      <c r="I21" s="40">
        <v>17</v>
      </c>
      <c r="J21" s="40">
        <v>18</v>
      </c>
      <c r="K21" s="40">
        <v>18</v>
      </c>
      <c r="L21" s="40">
        <v>23</v>
      </c>
      <c r="M21" s="40">
        <v>28</v>
      </c>
      <c r="N21" s="40">
        <v>30</v>
      </c>
      <c r="O21" s="40">
        <v>29</v>
      </c>
      <c r="P21" s="40">
        <v>33</v>
      </c>
      <c r="Q21" s="40">
        <v>37</v>
      </c>
      <c r="R21" s="40">
        <v>40</v>
      </c>
      <c r="S21" s="40">
        <v>43</v>
      </c>
      <c r="T21" s="40">
        <v>45</v>
      </c>
      <c r="U21" s="40">
        <v>46</v>
      </c>
      <c r="V21" s="40">
        <v>50</v>
      </c>
      <c r="W21" s="40">
        <v>56</v>
      </c>
      <c r="X21" s="40">
        <v>69</v>
      </c>
      <c r="Y21" s="40">
        <v>77</v>
      </c>
      <c r="Z21" s="40">
        <v>85</v>
      </c>
      <c r="AA21" s="40">
        <v>92</v>
      </c>
      <c r="AB21" s="40">
        <v>104</v>
      </c>
      <c r="AC21" s="40">
        <v>120</v>
      </c>
      <c r="AD21" s="40">
        <v>133</v>
      </c>
      <c r="AE21" s="40">
        <v>148</v>
      </c>
      <c r="AF21" s="40">
        <v>167</v>
      </c>
      <c r="AG21" s="40">
        <v>183</v>
      </c>
      <c r="AH21" s="40">
        <v>198</v>
      </c>
      <c r="AI21" s="40">
        <v>218</v>
      </c>
      <c r="AJ21" s="40">
        <v>240</v>
      </c>
      <c r="AK21" s="40">
        <v>266</v>
      </c>
      <c r="AL21" s="40">
        <v>299</v>
      </c>
      <c r="AM21" s="40">
        <v>337</v>
      </c>
      <c r="AN21" s="40">
        <v>376</v>
      </c>
      <c r="AO21" s="40">
        <v>414</v>
      </c>
      <c r="AP21" s="40">
        <v>448</v>
      </c>
      <c r="AQ21" s="40">
        <v>483</v>
      </c>
      <c r="AR21" s="40">
        <v>525</v>
      </c>
      <c r="AS21" s="40">
        <v>569</v>
      </c>
      <c r="AT21" s="40">
        <v>618</v>
      </c>
      <c r="AU21" s="40">
        <v>666</v>
      </c>
      <c r="AV21" s="40">
        <v>768</v>
      </c>
      <c r="AW21" s="40">
        <v>815</v>
      </c>
      <c r="AX21" s="40">
        <v>876</v>
      </c>
      <c r="AY21" s="40">
        <v>1020</v>
      </c>
      <c r="AZ21" s="40">
        <v>1193</v>
      </c>
      <c r="BA21" s="40">
        <v>1357</v>
      </c>
      <c r="BB21" s="40">
        <v>1529</v>
      </c>
      <c r="BC21" s="40">
        <v>1522</v>
      </c>
      <c r="BD21" s="40">
        <v>1632</v>
      </c>
      <c r="BE21" s="40">
        <v>1698</v>
      </c>
      <c r="BF21" s="40">
        <v>1842</v>
      </c>
      <c r="BG21" s="40">
        <v>2602</v>
      </c>
      <c r="BH21" s="40">
        <v>2977</v>
      </c>
      <c r="BI21" s="40">
        <v>3627</v>
      </c>
      <c r="BJ21" s="40">
        <v>3543</v>
      </c>
      <c r="BK21" s="40">
        <v>3399</v>
      </c>
      <c r="BL21" s="40">
        <v>3829</v>
      </c>
      <c r="BM21" s="40">
        <v>4069</v>
      </c>
      <c r="BN21" s="36">
        <v>4605</v>
      </c>
      <c r="BO21" s="36">
        <v>4684</v>
      </c>
      <c r="BP21" s="36">
        <v>4359</v>
      </c>
      <c r="BQ21" s="36">
        <v>4426</v>
      </c>
      <c r="BR21" s="36">
        <v>4273</v>
      </c>
      <c r="BS21" s="36">
        <v>4341</v>
      </c>
      <c r="BT21" s="36">
        <v>5114</v>
      </c>
      <c r="BU21" s="36">
        <v>5172</v>
      </c>
      <c r="BV21" s="36">
        <v>5389</v>
      </c>
    </row>
    <row r="22" spans="1:77" x14ac:dyDescent="0.25">
      <c r="A22" s="36" t="s">
        <v>319</v>
      </c>
      <c r="B22" s="36" t="s">
        <v>91</v>
      </c>
      <c r="C22" s="37" t="s">
        <v>75</v>
      </c>
      <c r="D22" s="36">
        <f t="shared" ref="D22:BL22" si="1">D8+D12</f>
        <v>1554</v>
      </c>
      <c r="E22" s="36">
        <f t="shared" si="1"/>
        <v>1669</v>
      </c>
      <c r="F22" s="36">
        <f t="shared" si="1"/>
        <v>1820</v>
      </c>
      <c r="G22" s="36">
        <f t="shared" si="1"/>
        <v>2321</v>
      </c>
      <c r="H22" s="36">
        <f t="shared" si="1"/>
        <v>2864</v>
      </c>
      <c r="I22" s="36">
        <f t="shared" si="1"/>
        <v>3296</v>
      </c>
      <c r="J22" s="36">
        <f t="shared" si="1"/>
        <v>3605</v>
      </c>
      <c r="K22" s="36">
        <f t="shared" si="1"/>
        <v>3859</v>
      </c>
      <c r="L22" s="36">
        <f t="shared" si="1"/>
        <v>4095</v>
      </c>
      <c r="M22" s="36">
        <f t="shared" si="1"/>
        <v>4916</v>
      </c>
      <c r="N22" s="36">
        <f t="shared" si="1"/>
        <v>5310</v>
      </c>
      <c r="O22" s="36">
        <f t="shared" si="1"/>
        <v>5894</v>
      </c>
      <c r="P22" s="36">
        <f t="shared" si="1"/>
        <v>6274</v>
      </c>
      <c r="Q22" s="36">
        <f t="shared" si="1"/>
        <v>6728</v>
      </c>
      <c r="R22" s="36">
        <f t="shared" si="1"/>
        <v>7128</v>
      </c>
      <c r="S22" s="36">
        <f t="shared" si="1"/>
        <v>7536</v>
      </c>
      <c r="T22" s="36">
        <f t="shared" si="1"/>
        <v>7911</v>
      </c>
      <c r="U22" s="36">
        <f t="shared" si="1"/>
        <v>8253</v>
      </c>
      <c r="V22" s="36">
        <f t="shared" si="1"/>
        <v>8392</v>
      </c>
      <c r="W22" s="36">
        <f t="shared" si="1"/>
        <v>8803</v>
      </c>
      <c r="X22" s="36">
        <f t="shared" si="1"/>
        <v>9502</v>
      </c>
      <c r="Y22" s="36">
        <f t="shared" si="1"/>
        <v>10490</v>
      </c>
      <c r="Z22" s="36">
        <f t="shared" si="1"/>
        <v>11506</v>
      </c>
      <c r="AA22" s="36">
        <f t="shared" si="1"/>
        <v>12769</v>
      </c>
      <c r="AB22" s="36">
        <f t="shared" si="1"/>
        <v>13897</v>
      </c>
      <c r="AC22" s="36">
        <f t="shared" si="1"/>
        <v>15654</v>
      </c>
      <c r="AD22" s="36">
        <f t="shared" si="1"/>
        <v>17655</v>
      </c>
      <c r="AE22" s="36">
        <f t="shared" si="1"/>
        <v>19876</v>
      </c>
      <c r="AF22" s="36">
        <f t="shared" si="1"/>
        <v>22920</v>
      </c>
      <c r="AG22" s="36">
        <f t="shared" si="1"/>
        <v>25339</v>
      </c>
      <c r="AH22" s="36">
        <f t="shared" si="1"/>
        <v>28151</v>
      </c>
      <c r="AI22" s="36">
        <f t="shared" si="1"/>
        <v>31102</v>
      </c>
      <c r="AJ22" s="36">
        <f t="shared" si="1"/>
        <v>34808</v>
      </c>
      <c r="AK22" s="36">
        <f t="shared" si="1"/>
        <v>37460</v>
      </c>
      <c r="AL22" s="36">
        <f t="shared" si="1"/>
        <v>39041</v>
      </c>
      <c r="AM22" s="36">
        <f t="shared" si="1"/>
        <v>41625</v>
      </c>
      <c r="AN22" s="36">
        <f t="shared" si="1"/>
        <v>45669</v>
      </c>
      <c r="AO22" s="36">
        <f t="shared" si="1"/>
        <v>48954</v>
      </c>
      <c r="AP22" s="36">
        <f t="shared" si="1"/>
        <v>53914</v>
      </c>
      <c r="AQ22" s="36">
        <f t="shared" si="1"/>
        <v>53646</v>
      </c>
      <c r="AR22" s="36">
        <f t="shared" si="1"/>
        <v>53682</v>
      </c>
      <c r="AS22" s="36">
        <f t="shared" si="1"/>
        <v>53388</v>
      </c>
      <c r="AT22" s="36">
        <f t="shared" si="1"/>
        <v>57926</v>
      </c>
      <c r="AU22" s="36">
        <f t="shared" si="1"/>
        <v>61233</v>
      </c>
      <c r="AV22" s="36">
        <f t="shared" si="1"/>
        <v>65770</v>
      </c>
      <c r="AW22" s="36">
        <f t="shared" si="1"/>
        <v>66720</v>
      </c>
      <c r="AX22" s="36">
        <f t="shared" si="1"/>
        <v>74217</v>
      </c>
      <c r="AY22" s="36">
        <f t="shared" si="1"/>
        <v>80798</v>
      </c>
      <c r="AZ22" s="36">
        <f t="shared" si="1"/>
        <v>90758</v>
      </c>
      <c r="BA22" s="36">
        <f t="shared" si="1"/>
        <v>80662</v>
      </c>
      <c r="BB22" s="36">
        <f t="shared" si="1"/>
        <v>93948</v>
      </c>
      <c r="BC22" s="36">
        <f t="shared" si="1"/>
        <v>103271</v>
      </c>
      <c r="BD22" s="36">
        <f t="shared" si="1"/>
        <v>105219</v>
      </c>
      <c r="BE22" s="36">
        <f t="shared" si="1"/>
        <v>112998</v>
      </c>
      <c r="BF22" s="36">
        <f t="shared" si="1"/>
        <v>121415</v>
      </c>
      <c r="BG22" s="36">
        <f t="shared" si="1"/>
        <v>112557</v>
      </c>
      <c r="BH22" s="36">
        <f t="shared" si="1"/>
        <v>111888</v>
      </c>
      <c r="BI22" s="36">
        <f t="shared" si="1"/>
        <v>119114</v>
      </c>
      <c r="BJ22" s="36">
        <f t="shared" si="1"/>
        <v>121110</v>
      </c>
      <c r="BK22" s="36">
        <f t="shared" si="1"/>
        <v>124974</v>
      </c>
      <c r="BL22" s="36">
        <f t="shared" si="1"/>
        <v>124327</v>
      </c>
      <c r="BM22" s="36">
        <f>BM8+BM12</f>
        <v>128659</v>
      </c>
      <c r="BN22" s="36">
        <f t="shared" ref="BN22:BV22" si="2">BN8+BN12</f>
        <v>134299</v>
      </c>
      <c r="BO22" s="36">
        <f t="shared" si="2"/>
        <v>148345</v>
      </c>
      <c r="BP22" s="36">
        <f t="shared" si="2"/>
        <v>152574</v>
      </c>
      <c r="BQ22" s="36">
        <f t="shared" si="2"/>
        <v>160592</v>
      </c>
      <c r="BR22" s="36">
        <f t="shared" si="2"/>
        <v>174579</v>
      </c>
      <c r="BS22" s="36">
        <f t="shared" si="2"/>
        <v>178303</v>
      </c>
      <c r="BT22" s="36">
        <f t="shared" si="2"/>
        <v>191095</v>
      </c>
      <c r="BU22" s="36">
        <f t="shared" si="2"/>
        <v>214494</v>
      </c>
      <c r="BV22" s="36">
        <f t="shared" si="2"/>
        <v>226417</v>
      </c>
    </row>
    <row r="23" spans="1:77" x14ac:dyDescent="0.25">
      <c r="A23" s="36" t="s">
        <v>319</v>
      </c>
      <c r="B23" s="36" t="s">
        <v>91</v>
      </c>
      <c r="C23" s="37" t="s">
        <v>316</v>
      </c>
      <c r="D23" s="36">
        <f t="shared" ref="D23:BL23" si="3">D9+D13</f>
        <v>910</v>
      </c>
      <c r="E23" s="36">
        <f t="shared" si="3"/>
        <v>954</v>
      </c>
      <c r="F23" s="36">
        <f t="shared" si="3"/>
        <v>1030</v>
      </c>
      <c r="G23" s="36">
        <f t="shared" si="3"/>
        <v>1277</v>
      </c>
      <c r="H23" s="36">
        <f t="shared" si="3"/>
        <v>1572</v>
      </c>
      <c r="I23" s="36">
        <f t="shared" si="3"/>
        <v>1789</v>
      </c>
      <c r="J23" s="36">
        <f t="shared" si="3"/>
        <v>1920</v>
      </c>
      <c r="K23" s="36">
        <f t="shared" si="3"/>
        <v>2075</v>
      </c>
      <c r="L23" s="36">
        <f t="shared" si="3"/>
        <v>2172</v>
      </c>
      <c r="M23" s="36">
        <f t="shared" si="3"/>
        <v>2492</v>
      </c>
      <c r="N23" s="36">
        <f t="shared" si="3"/>
        <v>2669</v>
      </c>
      <c r="O23" s="36">
        <f t="shared" si="3"/>
        <v>2896</v>
      </c>
      <c r="P23" s="36">
        <f t="shared" si="3"/>
        <v>3015</v>
      </c>
      <c r="Q23" s="36">
        <f t="shared" si="3"/>
        <v>3137</v>
      </c>
      <c r="R23" s="36">
        <f t="shared" si="3"/>
        <v>3258</v>
      </c>
      <c r="S23" s="36">
        <f t="shared" si="3"/>
        <v>3348</v>
      </c>
      <c r="T23" s="36">
        <f t="shared" si="3"/>
        <v>3465</v>
      </c>
      <c r="U23" s="36">
        <f t="shared" si="3"/>
        <v>3631</v>
      </c>
      <c r="V23" s="36">
        <f t="shared" si="3"/>
        <v>3642</v>
      </c>
      <c r="W23" s="36">
        <f t="shared" si="3"/>
        <v>3808</v>
      </c>
      <c r="X23" s="36">
        <f t="shared" si="3"/>
        <v>4036</v>
      </c>
      <c r="Y23" s="36">
        <f t="shared" si="3"/>
        <v>4290</v>
      </c>
      <c r="Z23" s="36">
        <f t="shared" si="3"/>
        <v>4829</v>
      </c>
      <c r="AA23" s="36">
        <f t="shared" si="3"/>
        <v>5238</v>
      </c>
      <c r="AB23" s="36">
        <f t="shared" si="3"/>
        <v>5545</v>
      </c>
      <c r="AC23" s="36">
        <f t="shared" si="3"/>
        <v>6050</v>
      </c>
      <c r="AD23" s="36">
        <f t="shared" si="3"/>
        <v>6709</v>
      </c>
      <c r="AE23" s="36">
        <f t="shared" si="3"/>
        <v>7538</v>
      </c>
      <c r="AF23" s="36">
        <f t="shared" si="3"/>
        <v>8505</v>
      </c>
      <c r="AG23" s="36">
        <f t="shared" si="3"/>
        <v>9543</v>
      </c>
      <c r="AH23" s="36">
        <f t="shared" si="3"/>
        <v>10884</v>
      </c>
      <c r="AI23" s="36">
        <f t="shared" si="3"/>
        <v>12083</v>
      </c>
      <c r="AJ23" s="36">
        <f t="shared" si="3"/>
        <v>13845</v>
      </c>
      <c r="AK23" s="36">
        <f t="shared" si="3"/>
        <v>14539</v>
      </c>
      <c r="AL23" s="36">
        <f t="shared" si="3"/>
        <v>15111</v>
      </c>
      <c r="AM23" s="36">
        <f t="shared" si="3"/>
        <v>15024</v>
      </c>
      <c r="AN23" s="36">
        <f t="shared" si="3"/>
        <v>16445</v>
      </c>
      <c r="AO23" s="36">
        <f t="shared" si="3"/>
        <v>18405</v>
      </c>
      <c r="AP23" s="36">
        <f t="shared" si="3"/>
        <v>21437</v>
      </c>
      <c r="AQ23" s="36">
        <f t="shared" si="3"/>
        <v>20615</v>
      </c>
      <c r="AR23" s="36">
        <f t="shared" si="3"/>
        <v>21211</v>
      </c>
      <c r="AS23" s="36">
        <f t="shared" si="3"/>
        <v>21123</v>
      </c>
      <c r="AT23" s="36">
        <f t="shared" si="3"/>
        <v>20258</v>
      </c>
      <c r="AU23" s="36">
        <f t="shared" si="3"/>
        <v>22267</v>
      </c>
      <c r="AV23" s="36">
        <f t="shared" si="3"/>
        <v>23228</v>
      </c>
      <c r="AW23" s="36">
        <f t="shared" si="3"/>
        <v>19357</v>
      </c>
      <c r="AX23" s="36">
        <f t="shared" si="3"/>
        <v>21298</v>
      </c>
      <c r="AY23" s="36">
        <f t="shared" si="3"/>
        <v>23584</v>
      </c>
      <c r="AZ23" s="36">
        <f t="shared" si="3"/>
        <v>27995</v>
      </c>
      <c r="BA23" s="36">
        <f t="shared" si="3"/>
        <v>27717</v>
      </c>
      <c r="BB23" s="36">
        <f t="shared" si="3"/>
        <v>31236</v>
      </c>
      <c r="BC23" s="36">
        <f t="shared" si="3"/>
        <v>31289</v>
      </c>
      <c r="BD23" s="36">
        <f t="shared" si="3"/>
        <v>33157</v>
      </c>
      <c r="BE23" s="36">
        <f t="shared" si="3"/>
        <v>34293</v>
      </c>
      <c r="BF23" s="36">
        <f t="shared" si="3"/>
        <v>40638</v>
      </c>
      <c r="BG23" s="36">
        <f t="shared" si="3"/>
        <v>40925</v>
      </c>
      <c r="BH23" s="36">
        <f t="shared" si="3"/>
        <v>48281</v>
      </c>
      <c r="BI23" s="36">
        <f t="shared" si="3"/>
        <v>47185</v>
      </c>
      <c r="BJ23" s="36">
        <f t="shared" si="3"/>
        <v>44554</v>
      </c>
      <c r="BK23" s="36">
        <f t="shared" si="3"/>
        <v>45568</v>
      </c>
      <c r="BL23" s="36">
        <f t="shared" si="3"/>
        <v>53527</v>
      </c>
      <c r="BM23" s="36">
        <f t="shared" ref="BM23:BV26" si="4">BM9+BM13</f>
        <v>56178</v>
      </c>
      <c r="BN23" s="36">
        <f t="shared" si="4"/>
        <v>56836</v>
      </c>
      <c r="BO23" s="36">
        <f t="shared" si="4"/>
        <v>61808</v>
      </c>
      <c r="BP23" s="36">
        <f t="shared" si="4"/>
        <v>64915</v>
      </c>
      <c r="BQ23" s="36">
        <f t="shared" si="4"/>
        <v>69949</v>
      </c>
      <c r="BR23" s="36">
        <f t="shared" si="4"/>
        <v>75621</v>
      </c>
      <c r="BS23" s="36">
        <f t="shared" si="4"/>
        <v>80681</v>
      </c>
      <c r="BT23" s="36">
        <f t="shared" si="4"/>
        <v>83784</v>
      </c>
      <c r="BU23" s="36">
        <f t="shared" si="4"/>
        <v>91958</v>
      </c>
      <c r="BV23" s="36">
        <f t="shared" si="4"/>
        <v>96900</v>
      </c>
    </row>
    <row r="24" spans="1:77" x14ac:dyDescent="0.25">
      <c r="A24" s="36" t="s">
        <v>319</v>
      </c>
      <c r="B24" s="36" t="s">
        <v>91</v>
      </c>
      <c r="C24" s="37" t="s">
        <v>317</v>
      </c>
      <c r="D24" s="36">
        <f t="shared" ref="D24:BL24" si="5">D10+D14</f>
        <v>462</v>
      </c>
      <c r="E24" s="36">
        <f t="shared" si="5"/>
        <v>521</v>
      </c>
      <c r="F24" s="36">
        <f t="shared" si="5"/>
        <v>595</v>
      </c>
      <c r="G24" s="36">
        <f t="shared" si="5"/>
        <v>833</v>
      </c>
      <c r="H24" s="36">
        <f t="shared" si="5"/>
        <v>1038</v>
      </c>
      <c r="I24" s="36">
        <f t="shared" si="5"/>
        <v>1187</v>
      </c>
      <c r="J24" s="36">
        <f t="shared" si="5"/>
        <v>1234</v>
      </c>
      <c r="K24" s="36">
        <f t="shared" si="5"/>
        <v>1259</v>
      </c>
      <c r="L24" s="36">
        <f t="shared" si="5"/>
        <v>1235</v>
      </c>
      <c r="M24" s="36">
        <f t="shared" si="5"/>
        <v>1519</v>
      </c>
      <c r="N24" s="36">
        <f t="shared" si="5"/>
        <v>1541</v>
      </c>
      <c r="O24" s="36">
        <f t="shared" si="5"/>
        <v>1663</v>
      </c>
      <c r="P24" s="36">
        <f t="shared" si="5"/>
        <v>1740</v>
      </c>
      <c r="Q24" s="36">
        <f t="shared" si="5"/>
        <v>1948</v>
      </c>
      <c r="R24" s="36">
        <f t="shared" si="5"/>
        <v>2026</v>
      </c>
      <c r="S24" s="36">
        <f t="shared" si="5"/>
        <v>2281</v>
      </c>
      <c r="T24" s="36">
        <f t="shared" si="5"/>
        <v>2491</v>
      </c>
      <c r="U24" s="36">
        <f t="shared" si="5"/>
        <v>2625</v>
      </c>
      <c r="V24" s="36">
        <f t="shared" si="5"/>
        <v>2708</v>
      </c>
      <c r="W24" s="36">
        <f t="shared" si="5"/>
        <v>2834</v>
      </c>
      <c r="X24" s="36">
        <f t="shared" si="5"/>
        <v>3117</v>
      </c>
      <c r="Y24" s="36">
        <f t="shared" si="5"/>
        <v>3583</v>
      </c>
      <c r="Z24" s="36">
        <f t="shared" si="5"/>
        <v>3784</v>
      </c>
      <c r="AA24" s="36">
        <f t="shared" si="5"/>
        <v>4284</v>
      </c>
      <c r="AB24" s="36">
        <f t="shared" si="5"/>
        <v>4744</v>
      </c>
      <c r="AC24" s="36">
        <f t="shared" si="5"/>
        <v>5380</v>
      </c>
      <c r="AD24" s="36">
        <f t="shared" si="5"/>
        <v>6263</v>
      </c>
      <c r="AE24" s="36">
        <f t="shared" si="5"/>
        <v>7242</v>
      </c>
      <c r="AF24" s="36">
        <f t="shared" si="5"/>
        <v>9146</v>
      </c>
      <c r="AG24" s="36">
        <f t="shared" si="5"/>
        <v>10269</v>
      </c>
      <c r="AH24" s="36">
        <f t="shared" si="5"/>
        <v>11317</v>
      </c>
      <c r="AI24" s="36">
        <f t="shared" si="5"/>
        <v>12703</v>
      </c>
      <c r="AJ24" s="36">
        <f t="shared" si="5"/>
        <v>14266</v>
      </c>
      <c r="AK24" s="36">
        <f t="shared" si="5"/>
        <v>16664</v>
      </c>
      <c r="AL24" s="36">
        <f t="shared" si="5"/>
        <v>16910</v>
      </c>
      <c r="AM24" s="36">
        <f t="shared" si="5"/>
        <v>18468</v>
      </c>
      <c r="AN24" s="36">
        <f t="shared" si="5"/>
        <v>20166</v>
      </c>
      <c r="AO24" s="36">
        <f t="shared" si="5"/>
        <v>20859</v>
      </c>
      <c r="AP24" s="36">
        <f t="shared" si="5"/>
        <v>24073</v>
      </c>
      <c r="AQ24" s="36">
        <f t="shared" si="5"/>
        <v>23939</v>
      </c>
      <c r="AR24" s="36">
        <f t="shared" si="5"/>
        <v>22815</v>
      </c>
      <c r="AS24" s="36">
        <f t="shared" si="5"/>
        <v>22401</v>
      </c>
      <c r="AT24" s="36">
        <f t="shared" si="5"/>
        <v>26929</v>
      </c>
      <c r="AU24" s="36">
        <f t="shared" si="5"/>
        <v>28816</v>
      </c>
      <c r="AV24" s="36">
        <f t="shared" si="5"/>
        <v>33652</v>
      </c>
      <c r="AW24" s="36">
        <f t="shared" si="5"/>
        <v>33798</v>
      </c>
      <c r="AX24" s="36">
        <f t="shared" si="5"/>
        <v>38434</v>
      </c>
      <c r="AY24" s="36">
        <f t="shared" si="5"/>
        <v>41607</v>
      </c>
      <c r="AZ24" s="36">
        <f t="shared" si="5"/>
        <v>45997</v>
      </c>
      <c r="BA24" s="36">
        <f t="shared" si="5"/>
        <v>32210</v>
      </c>
      <c r="BB24" s="36">
        <f t="shared" si="5"/>
        <v>39384</v>
      </c>
      <c r="BC24" s="36">
        <f t="shared" si="5"/>
        <v>47460</v>
      </c>
      <c r="BD24" s="36">
        <f t="shared" si="5"/>
        <v>47435</v>
      </c>
      <c r="BE24" s="36">
        <f t="shared" si="5"/>
        <v>53240</v>
      </c>
      <c r="BF24" s="36">
        <f t="shared" si="5"/>
        <v>57559</v>
      </c>
      <c r="BG24" s="36">
        <f t="shared" si="5"/>
        <v>50852</v>
      </c>
      <c r="BH24" s="36">
        <f t="shared" si="5"/>
        <v>42494</v>
      </c>
      <c r="BI24" s="36">
        <f t="shared" si="5"/>
        <v>49035</v>
      </c>
      <c r="BJ24" s="36">
        <f t="shared" si="5"/>
        <v>52153</v>
      </c>
      <c r="BK24" s="36">
        <f t="shared" si="5"/>
        <v>56824</v>
      </c>
      <c r="BL24" s="36">
        <f t="shared" si="5"/>
        <v>55898</v>
      </c>
      <c r="BM24" s="36">
        <f t="shared" si="4"/>
        <v>58388</v>
      </c>
      <c r="BN24" s="36">
        <f t="shared" si="4"/>
        <v>62608</v>
      </c>
      <c r="BO24" s="36">
        <f t="shared" si="4"/>
        <v>70942</v>
      </c>
      <c r="BP24" s="36">
        <f t="shared" si="4"/>
        <v>72942</v>
      </c>
      <c r="BQ24" s="36">
        <f t="shared" si="4"/>
        <v>76434</v>
      </c>
      <c r="BR24" s="36">
        <f t="shared" si="4"/>
        <v>86872</v>
      </c>
      <c r="BS24" s="36">
        <f t="shared" si="4"/>
        <v>88694</v>
      </c>
      <c r="BT24" s="36">
        <f t="shared" si="4"/>
        <v>102048</v>
      </c>
      <c r="BU24" s="36">
        <f t="shared" si="4"/>
        <v>115966</v>
      </c>
      <c r="BV24" s="36">
        <f t="shared" si="4"/>
        <v>122992</v>
      </c>
    </row>
    <row r="25" spans="1:77" x14ac:dyDescent="0.25">
      <c r="A25" s="36" t="s">
        <v>319</v>
      </c>
      <c r="B25" s="36" t="s">
        <v>91</v>
      </c>
      <c r="C25" s="37" t="s">
        <v>318</v>
      </c>
      <c r="D25" s="36">
        <f t="shared" ref="D25:BL25" si="6">D11+D15</f>
        <v>63</v>
      </c>
      <c r="E25" s="36">
        <f t="shared" si="6"/>
        <v>69</v>
      </c>
      <c r="F25" s="36">
        <f t="shared" si="6"/>
        <v>76</v>
      </c>
      <c r="G25" s="36">
        <f t="shared" si="6"/>
        <v>87</v>
      </c>
      <c r="H25" s="36">
        <f t="shared" si="6"/>
        <v>102</v>
      </c>
      <c r="I25" s="36">
        <f t="shared" si="6"/>
        <v>117</v>
      </c>
      <c r="J25" s="36">
        <f t="shared" si="6"/>
        <v>132</v>
      </c>
      <c r="K25" s="36">
        <f t="shared" si="6"/>
        <v>145</v>
      </c>
      <c r="L25" s="36">
        <f t="shared" si="6"/>
        <v>169</v>
      </c>
      <c r="M25" s="36">
        <f t="shared" si="6"/>
        <v>195</v>
      </c>
      <c r="N25" s="36">
        <f t="shared" si="6"/>
        <v>220</v>
      </c>
      <c r="O25" s="36">
        <f t="shared" si="6"/>
        <v>236</v>
      </c>
      <c r="P25" s="36">
        <f t="shared" si="6"/>
        <v>258</v>
      </c>
      <c r="Q25" s="36">
        <f t="shared" si="6"/>
        <v>285</v>
      </c>
      <c r="R25" s="36">
        <f t="shared" si="6"/>
        <v>312</v>
      </c>
      <c r="S25" s="36">
        <f t="shared" si="6"/>
        <v>340</v>
      </c>
      <c r="T25" s="36">
        <f t="shared" si="6"/>
        <v>377</v>
      </c>
      <c r="U25" s="36">
        <f t="shared" si="6"/>
        <v>422</v>
      </c>
      <c r="V25" s="36">
        <f t="shared" si="6"/>
        <v>465</v>
      </c>
      <c r="W25" s="36">
        <f t="shared" si="6"/>
        <v>495</v>
      </c>
      <c r="X25" s="36">
        <f t="shared" si="6"/>
        <v>523</v>
      </c>
      <c r="Y25" s="36">
        <f t="shared" si="6"/>
        <v>576</v>
      </c>
      <c r="Z25" s="36">
        <f t="shared" si="6"/>
        <v>633</v>
      </c>
      <c r="AA25" s="36">
        <f t="shared" si="6"/>
        <v>689</v>
      </c>
      <c r="AB25" s="36">
        <f t="shared" si="6"/>
        <v>772</v>
      </c>
      <c r="AC25" s="36">
        <f t="shared" si="6"/>
        <v>872</v>
      </c>
      <c r="AD25" s="36">
        <f t="shared" si="6"/>
        <v>968</v>
      </c>
      <c r="AE25" s="36">
        <f t="shared" si="6"/>
        <v>1078</v>
      </c>
      <c r="AF25" s="36">
        <f t="shared" si="6"/>
        <v>1213</v>
      </c>
      <c r="AG25" s="36">
        <f t="shared" si="6"/>
        <v>1361</v>
      </c>
      <c r="AH25" s="36">
        <f t="shared" si="6"/>
        <v>1507</v>
      </c>
      <c r="AI25" s="36">
        <f t="shared" si="6"/>
        <v>1673</v>
      </c>
      <c r="AJ25" s="36">
        <f t="shared" si="6"/>
        <v>1898</v>
      </c>
      <c r="AK25" s="36">
        <f t="shared" si="6"/>
        <v>2162</v>
      </c>
      <c r="AL25" s="36">
        <f t="shared" si="6"/>
        <v>2418</v>
      </c>
      <c r="AM25" s="36">
        <f t="shared" si="6"/>
        <v>2703</v>
      </c>
      <c r="AN25" s="36">
        <f t="shared" si="6"/>
        <v>3026</v>
      </c>
      <c r="AO25" s="36">
        <f t="shared" si="6"/>
        <v>3364</v>
      </c>
      <c r="AP25" s="36">
        <f t="shared" si="6"/>
        <v>3663</v>
      </c>
      <c r="AQ25" s="36">
        <f t="shared" si="6"/>
        <v>3885</v>
      </c>
      <c r="AR25" s="36">
        <f t="shared" si="6"/>
        <v>4120</v>
      </c>
      <c r="AS25" s="36">
        <f t="shared" si="6"/>
        <v>4408</v>
      </c>
      <c r="AT25" s="36">
        <f t="shared" si="6"/>
        <v>4707</v>
      </c>
      <c r="AU25" s="36">
        <f t="shared" si="6"/>
        <v>5078</v>
      </c>
      <c r="AV25" s="36">
        <f t="shared" si="6"/>
        <v>5333</v>
      </c>
      <c r="AW25" s="36">
        <f t="shared" si="6"/>
        <v>5661</v>
      </c>
      <c r="AX25" s="36">
        <f t="shared" si="6"/>
        <v>6121</v>
      </c>
      <c r="AY25" s="36">
        <f t="shared" si="6"/>
        <v>6895</v>
      </c>
      <c r="AZ25" s="36">
        <f t="shared" si="6"/>
        <v>7616</v>
      </c>
      <c r="BA25" s="36">
        <f t="shared" si="6"/>
        <v>8543</v>
      </c>
      <c r="BB25" s="36">
        <f t="shared" si="6"/>
        <v>9368</v>
      </c>
      <c r="BC25" s="36">
        <f t="shared" si="6"/>
        <v>9592</v>
      </c>
      <c r="BD25" s="36">
        <f t="shared" si="6"/>
        <v>10224</v>
      </c>
      <c r="BE25" s="36">
        <f t="shared" si="6"/>
        <v>10844</v>
      </c>
      <c r="BF25" s="36">
        <f t="shared" si="6"/>
        <v>11838</v>
      </c>
      <c r="BG25" s="36">
        <f t="shared" si="6"/>
        <v>13054</v>
      </c>
      <c r="BH25" s="36">
        <f t="shared" si="6"/>
        <v>13617</v>
      </c>
      <c r="BI25" s="36">
        <f t="shared" si="6"/>
        <v>13895</v>
      </c>
      <c r="BJ25" s="36">
        <f t="shared" si="6"/>
        <v>14266</v>
      </c>
      <c r="BK25" s="36">
        <f t="shared" si="6"/>
        <v>14733</v>
      </c>
      <c r="BL25" s="36">
        <f t="shared" si="6"/>
        <v>15676</v>
      </c>
      <c r="BM25" s="36">
        <f t="shared" si="4"/>
        <v>16575</v>
      </c>
      <c r="BN25" s="36">
        <f t="shared" si="4"/>
        <v>18052</v>
      </c>
      <c r="BO25" s="36">
        <f t="shared" si="4"/>
        <v>15904</v>
      </c>
      <c r="BP25" s="36">
        <f t="shared" si="4"/>
        <v>16872</v>
      </c>
      <c r="BQ25" s="36">
        <f t="shared" si="4"/>
        <v>17911</v>
      </c>
      <c r="BR25" s="36">
        <f t="shared" si="4"/>
        <v>18749</v>
      </c>
      <c r="BS25" s="36">
        <f t="shared" si="4"/>
        <v>20042</v>
      </c>
      <c r="BT25" s="36">
        <f t="shared" si="4"/>
        <v>20580</v>
      </c>
      <c r="BU25" s="36">
        <f t="shared" si="4"/>
        <v>22712</v>
      </c>
      <c r="BV25" s="36">
        <f t="shared" si="4"/>
        <v>23919</v>
      </c>
    </row>
    <row r="26" spans="1:77" x14ac:dyDescent="0.25">
      <c r="A26" s="36" t="s">
        <v>319</v>
      </c>
      <c r="B26" s="36" t="s">
        <v>91</v>
      </c>
      <c r="C26" s="37" t="s">
        <v>237</v>
      </c>
      <c r="D26" s="36">
        <f t="shared" ref="D26:BL26" si="7">D12+D16</f>
        <v>1339</v>
      </c>
      <c r="E26" s="36">
        <f t="shared" si="7"/>
        <v>1431</v>
      </c>
      <c r="F26" s="36">
        <f t="shared" si="7"/>
        <v>1556</v>
      </c>
      <c r="G26" s="36">
        <f t="shared" si="7"/>
        <v>1987</v>
      </c>
      <c r="H26" s="36">
        <f t="shared" si="7"/>
        <v>2478</v>
      </c>
      <c r="I26" s="36">
        <f t="shared" si="7"/>
        <v>2831</v>
      </c>
      <c r="J26" s="36">
        <f t="shared" si="7"/>
        <v>3016</v>
      </c>
      <c r="K26" s="36">
        <f t="shared" si="7"/>
        <v>3144</v>
      </c>
      <c r="L26" s="36">
        <f t="shared" si="7"/>
        <v>3211</v>
      </c>
      <c r="M26" s="36">
        <f t="shared" si="7"/>
        <v>3797</v>
      </c>
      <c r="N26" s="36">
        <f t="shared" si="7"/>
        <v>3969</v>
      </c>
      <c r="O26" s="36">
        <f t="shared" si="7"/>
        <v>4311</v>
      </c>
      <c r="P26" s="36">
        <f t="shared" si="7"/>
        <v>4499</v>
      </c>
      <c r="Q26" s="36">
        <f t="shared" si="7"/>
        <v>4791</v>
      </c>
      <c r="R26" s="36">
        <f t="shared" si="7"/>
        <v>4990</v>
      </c>
      <c r="S26" s="36">
        <f t="shared" si="7"/>
        <v>5284</v>
      </c>
      <c r="T26" s="36">
        <f t="shared" si="7"/>
        <v>5611</v>
      </c>
      <c r="U26" s="36">
        <f t="shared" si="7"/>
        <v>5920</v>
      </c>
      <c r="V26" s="36">
        <f t="shared" si="7"/>
        <v>6015</v>
      </c>
      <c r="W26" s="36">
        <f t="shared" si="7"/>
        <v>6352</v>
      </c>
      <c r="X26" s="36">
        <f t="shared" si="7"/>
        <v>6888</v>
      </c>
      <c r="Y26" s="36">
        <f t="shared" si="7"/>
        <v>7603</v>
      </c>
      <c r="Z26" s="36">
        <f t="shared" si="7"/>
        <v>8396</v>
      </c>
      <c r="AA26" s="36">
        <f t="shared" si="7"/>
        <v>9321</v>
      </c>
      <c r="AB26" s="36">
        <f t="shared" si="7"/>
        <v>10037</v>
      </c>
      <c r="AC26" s="36">
        <f t="shared" si="7"/>
        <v>11114</v>
      </c>
      <c r="AD26" s="36">
        <f t="shared" si="7"/>
        <v>12531</v>
      </c>
      <c r="AE26" s="36">
        <f t="shared" si="7"/>
        <v>14201</v>
      </c>
      <c r="AF26" s="36">
        <f t="shared" si="7"/>
        <v>16860</v>
      </c>
      <c r="AG26" s="36">
        <f t="shared" si="7"/>
        <v>18792</v>
      </c>
      <c r="AH26" s="36">
        <f t="shared" si="7"/>
        <v>20914</v>
      </c>
      <c r="AI26" s="36">
        <f t="shared" si="7"/>
        <v>23123</v>
      </c>
      <c r="AJ26" s="36">
        <f t="shared" si="7"/>
        <v>26134</v>
      </c>
      <c r="AK26" s="36">
        <f t="shared" si="7"/>
        <v>28048</v>
      </c>
      <c r="AL26" s="36">
        <f t="shared" si="7"/>
        <v>28855</v>
      </c>
      <c r="AM26" s="36">
        <f t="shared" si="7"/>
        <v>30552</v>
      </c>
      <c r="AN26" s="36">
        <f t="shared" si="7"/>
        <v>33416</v>
      </c>
      <c r="AO26" s="36">
        <f t="shared" si="7"/>
        <v>36138</v>
      </c>
      <c r="AP26" s="36">
        <f t="shared" si="7"/>
        <v>39946</v>
      </c>
      <c r="AQ26" s="36">
        <f t="shared" si="7"/>
        <v>39326</v>
      </c>
      <c r="AR26" s="36">
        <f t="shared" si="7"/>
        <v>38763</v>
      </c>
      <c r="AS26" s="36">
        <f t="shared" si="7"/>
        <v>38184</v>
      </c>
      <c r="AT26" s="36">
        <f t="shared" si="7"/>
        <v>42599</v>
      </c>
      <c r="AU26" s="36">
        <f t="shared" si="7"/>
        <v>44916</v>
      </c>
      <c r="AV26" s="36">
        <f t="shared" si="7"/>
        <v>48283</v>
      </c>
      <c r="AW26" s="36">
        <f t="shared" si="7"/>
        <v>48047</v>
      </c>
      <c r="AX26" s="36">
        <f t="shared" si="7"/>
        <v>53771</v>
      </c>
      <c r="AY26" s="36">
        <f t="shared" si="7"/>
        <v>58659</v>
      </c>
      <c r="AZ26" s="36">
        <f t="shared" si="7"/>
        <v>66344</v>
      </c>
      <c r="BA26" s="36">
        <f t="shared" si="7"/>
        <v>53218</v>
      </c>
      <c r="BB26" s="36">
        <f t="shared" si="7"/>
        <v>64065</v>
      </c>
      <c r="BC26" s="36">
        <f t="shared" si="7"/>
        <v>72161</v>
      </c>
      <c r="BD26" s="36">
        <f t="shared" si="7"/>
        <v>72827</v>
      </c>
      <c r="BE26" s="36">
        <f t="shared" si="7"/>
        <v>80063</v>
      </c>
      <c r="BF26" s="36">
        <f t="shared" si="7"/>
        <v>89116</v>
      </c>
      <c r="BG26" s="36">
        <f t="shared" si="7"/>
        <v>81073</v>
      </c>
      <c r="BH26" s="36">
        <f t="shared" si="7"/>
        <v>79086</v>
      </c>
      <c r="BI26" s="36">
        <f t="shared" si="7"/>
        <v>84453</v>
      </c>
      <c r="BJ26" s="36">
        <f t="shared" si="7"/>
        <v>87375</v>
      </c>
      <c r="BK26" s="36">
        <f t="shared" si="7"/>
        <v>92396</v>
      </c>
      <c r="BL26" s="36">
        <f t="shared" si="7"/>
        <v>94063</v>
      </c>
      <c r="BM26" s="36">
        <f t="shared" si="4"/>
        <v>97924</v>
      </c>
      <c r="BN26" s="36">
        <f t="shared" si="4"/>
        <v>103810</v>
      </c>
      <c r="BO26" s="36">
        <f t="shared" si="4"/>
        <v>118884</v>
      </c>
      <c r="BP26" s="36">
        <f t="shared" si="4"/>
        <v>122703</v>
      </c>
      <c r="BQ26" s="36">
        <f t="shared" si="4"/>
        <v>127625</v>
      </c>
      <c r="BR26" s="36">
        <f t="shared" si="4"/>
        <v>139353</v>
      </c>
      <c r="BS26" s="36">
        <f t="shared" si="4"/>
        <v>140970</v>
      </c>
      <c r="BT26" s="36">
        <f t="shared" si="4"/>
        <v>152250</v>
      </c>
      <c r="BU26" s="36">
        <f t="shared" si="4"/>
        <v>170006</v>
      </c>
      <c r="BV26" s="36">
        <f t="shared" si="4"/>
        <v>179190</v>
      </c>
    </row>
    <row r="27" spans="1:77" s="42" customFormat="1" x14ac:dyDescent="0.25">
      <c r="C27" s="42" t="s">
        <v>482</v>
      </c>
      <c r="D27" s="43">
        <v>382.05</v>
      </c>
      <c r="E27" s="43">
        <v>387.15</v>
      </c>
      <c r="F27" s="43">
        <v>406.32499999999999</v>
      </c>
      <c r="G27" s="43">
        <v>438.25</v>
      </c>
      <c r="H27" s="43">
        <v>463.375</v>
      </c>
      <c r="I27" s="43">
        <v>473.47500000000002</v>
      </c>
      <c r="J27" s="43">
        <v>504.6</v>
      </c>
      <c r="K27" s="43">
        <v>534.32500000000005</v>
      </c>
      <c r="L27" s="43">
        <v>546.57500000000005</v>
      </c>
      <c r="M27" s="43">
        <v>585.67499999999995</v>
      </c>
      <c r="N27" s="43">
        <v>618.20000000000005</v>
      </c>
      <c r="O27" s="43">
        <v>661.7</v>
      </c>
      <c r="P27" s="43">
        <v>709.32500000000005</v>
      </c>
      <c r="Q27" s="43">
        <v>780.47500000000002</v>
      </c>
      <c r="R27" s="43">
        <v>836.52499999999998</v>
      </c>
      <c r="S27" s="43">
        <v>897.57500000000005</v>
      </c>
      <c r="T27" s="43">
        <v>980.27499999999998</v>
      </c>
      <c r="U27" s="43">
        <v>1046.675</v>
      </c>
      <c r="V27" s="43">
        <v>1116.55</v>
      </c>
      <c r="W27" s="43">
        <v>1216.25</v>
      </c>
      <c r="X27" s="43">
        <v>1352.7249999999999</v>
      </c>
      <c r="Y27" s="43">
        <v>1482.85</v>
      </c>
      <c r="Z27" s="43">
        <v>1606.925</v>
      </c>
      <c r="AA27" s="43">
        <v>1786.1</v>
      </c>
      <c r="AB27" s="43">
        <v>2024.325</v>
      </c>
      <c r="AC27" s="43">
        <v>2273.4499999999998</v>
      </c>
      <c r="AD27" s="43">
        <v>2565.5749999999998</v>
      </c>
      <c r="AE27" s="43">
        <v>2791.9</v>
      </c>
      <c r="AF27" s="43">
        <v>3133.2249999999999</v>
      </c>
      <c r="AG27" s="43">
        <v>3313.35</v>
      </c>
      <c r="AH27" s="43">
        <v>3536</v>
      </c>
      <c r="AI27" s="43">
        <v>3949.1750000000002</v>
      </c>
      <c r="AJ27" s="43">
        <v>4265.125</v>
      </c>
      <c r="AK27" s="43">
        <v>4526.25</v>
      </c>
      <c r="AL27" s="43">
        <v>4767.6499999999996</v>
      </c>
      <c r="AM27" s="43">
        <v>5138.55</v>
      </c>
      <c r="AN27" s="43">
        <v>5554.6750000000002</v>
      </c>
      <c r="AO27" s="43">
        <v>5898.75</v>
      </c>
      <c r="AP27" s="43">
        <v>6093.1750000000002</v>
      </c>
      <c r="AQ27" s="43">
        <v>6416.25</v>
      </c>
      <c r="AR27" s="43">
        <v>6775.3249999999998</v>
      </c>
      <c r="AS27" s="43">
        <v>7176.85</v>
      </c>
      <c r="AT27" s="43">
        <v>7560.4250000000002</v>
      </c>
      <c r="AU27" s="43">
        <v>7951.3249999999998</v>
      </c>
      <c r="AV27" s="43">
        <v>8451.0249999999996</v>
      </c>
      <c r="AW27" s="43">
        <v>8930.7999999999993</v>
      </c>
      <c r="AX27" s="43">
        <v>9479.625</v>
      </c>
      <c r="AY27" s="43">
        <v>10117.075000000001</v>
      </c>
      <c r="AZ27" s="43">
        <v>10525.725</v>
      </c>
      <c r="BA27" s="43">
        <v>10828.875</v>
      </c>
      <c r="BB27" s="43">
        <v>11278.75</v>
      </c>
      <c r="BC27" s="43">
        <v>12028.424999999999</v>
      </c>
      <c r="BD27" s="43">
        <v>12839.95</v>
      </c>
      <c r="BE27" s="43">
        <v>13636.75</v>
      </c>
      <c r="BF27" s="43">
        <v>14305.375</v>
      </c>
      <c r="BG27" s="43">
        <v>14796.575000000001</v>
      </c>
      <c r="BH27" s="43">
        <v>14467.3</v>
      </c>
      <c r="BI27" s="43">
        <v>14884.4</v>
      </c>
      <c r="BJ27" s="43">
        <v>15466.525</v>
      </c>
      <c r="BK27" s="43">
        <v>16109.424999999999</v>
      </c>
      <c r="BL27" s="43">
        <v>16687.775000000001</v>
      </c>
      <c r="BM27" s="43">
        <v>17428.099999999999</v>
      </c>
      <c r="BN27" s="43">
        <v>18164.25</v>
      </c>
      <c r="BO27" s="43">
        <v>18641.325000000001</v>
      </c>
      <c r="BP27" s="43">
        <v>19375.174999999999</v>
      </c>
      <c r="BQ27" s="43">
        <v>20436.325000000001</v>
      </c>
      <c r="BR27" s="43">
        <v>21286.15</v>
      </c>
      <c r="BS27" s="43">
        <v>21320.224999999999</v>
      </c>
      <c r="BT27" s="43">
        <v>23004.125</v>
      </c>
      <c r="BU27" s="43">
        <v>25517.575000000001</v>
      </c>
      <c r="BV27" s="43">
        <v>27330.05</v>
      </c>
      <c r="BW27" s="43"/>
      <c r="BX27" s="43"/>
      <c r="BY27" s="43"/>
    </row>
    <row r="28" spans="1:77" s="49" customFormat="1" x14ac:dyDescent="0.25">
      <c r="C28" s="49" t="s">
        <v>89</v>
      </c>
      <c r="D28" s="47">
        <v>0.13439999999999999</v>
      </c>
      <c r="E28" s="47">
        <v>0.13600000000000001</v>
      </c>
      <c r="F28" s="47">
        <v>0.13700000000000001</v>
      </c>
      <c r="G28" s="47">
        <v>0.14050000000000001</v>
      </c>
      <c r="H28" s="47">
        <v>0.14580000000000001</v>
      </c>
      <c r="I28" s="47">
        <v>0.1502</v>
      </c>
      <c r="J28" s="47">
        <v>0.1525</v>
      </c>
      <c r="K28" s="47">
        <v>0.15459999999999999</v>
      </c>
      <c r="L28" s="47">
        <v>0.15670000000000001</v>
      </c>
      <c r="M28" s="47">
        <v>0.1583</v>
      </c>
      <c r="N28" s="47">
        <v>0.16020000000000001</v>
      </c>
      <c r="O28" s="47">
        <v>0.16209999999999999</v>
      </c>
      <c r="P28" s="47">
        <v>0.16489999999999999</v>
      </c>
      <c r="Q28" s="47">
        <v>0.16850000000000001</v>
      </c>
      <c r="R28" s="47">
        <v>0.1736</v>
      </c>
      <c r="S28" s="47">
        <v>0.1797</v>
      </c>
      <c r="T28" s="47">
        <v>0.18790000000000001</v>
      </c>
      <c r="U28" s="47">
        <v>0.19789999999999999</v>
      </c>
      <c r="V28" s="47">
        <v>0.20799999999999999</v>
      </c>
      <c r="W28" s="47">
        <v>0.21790000000000001</v>
      </c>
      <c r="X28" s="47">
        <v>0.2273</v>
      </c>
      <c r="Y28" s="47">
        <v>0.24349999999999999</v>
      </c>
      <c r="Z28" s="47">
        <v>0.26869999999999999</v>
      </c>
      <c r="AA28" s="47">
        <v>0.28739999999999999</v>
      </c>
      <c r="AB28" s="47">
        <v>0.30819999999999997</v>
      </c>
      <c r="AC28" s="47">
        <v>0.32890000000000003</v>
      </c>
      <c r="AD28" s="47">
        <v>0.35549999999999998</v>
      </c>
      <c r="AE28" s="47">
        <v>0.38650000000000001</v>
      </c>
      <c r="AF28" s="47">
        <v>0.4244</v>
      </c>
      <c r="AG28" s="47">
        <v>0.45390000000000003</v>
      </c>
      <c r="AH28" s="47">
        <v>0.47370000000000001</v>
      </c>
      <c r="AI28" s="47">
        <v>0.49070000000000003</v>
      </c>
      <c r="AJ28" s="47">
        <v>0.5071</v>
      </c>
      <c r="AK28" s="47">
        <v>0.51849999999999996</v>
      </c>
      <c r="AL28" s="47">
        <v>0.53010000000000002</v>
      </c>
      <c r="AM28" s="47">
        <v>0.54730000000000001</v>
      </c>
      <c r="AN28" s="47">
        <v>0.56940000000000002</v>
      </c>
      <c r="AO28" s="47">
        <v>0.59019999999999995</v>
      </c>
      <c r="AP28" s="47">
        <v>0.61129999999999995</v>
      </c>
      <c r="AQ28" s="47">
        <v>0.62660000000000005</v>
      </c>
      <c r="AR28" s="47">
        <v>0.64129999999999998</v>
      </c>
      <c r="AS28" s="47">
        <v>0.65529999999999999</v>
      </c>
      <c r="AT28" s="47">
        <v>0.66920000000000002</v>
      </c>
      <c r="AU28" s="47">
        <v>0.68179999999999996</v>
      </c>
      <c r="AV28" s="47">
        <v>0.69389999999999996</v>
      </c>
      <c r="AW28" s="47">
        <v>0.7026</v>
      </c>
      <c r="AX28" s="47">
        <v>0.71130000000000004</v>
      </c>
      <c r="AY28" s="47">
        <v>0.72609999999999997</v>
      </c>
      <c r="AZ28" s="47">
        <v>0.74370000000000003</v>
      </c>
      <c r="BA28" s="47">
        <v>0.75539999999999996</v>
      </c>
      <c r="BB28" s="47">
        <v>0.76990000000000003</v>
      </c>
      <c r="BC28" s="47">
        <v>0.78869999999999996</v>
      </c>
      <c r="BD28" s="47">
        <v>0.81269999999999998</v>
      </c>
      <c r="BE28" s="47">
        <v>0.83909999999999996</v>
      </c>
      <c r="BF28" s="47">
        <v>0.86219999999999997</v>
      </c>
      <c r="BG28" s="47">
        <v>0.88009999999999999</v>
      </c>
      <c r="BH28" s="47">
        <v>0.8891</v>
      </c>
      <c r="BI28" s="47">
        <v>0.89680000000000004</v>
      </c>
      <c r="BJ28" s="47">
        <v>0.91479999999999995</v>
      </c>
      <c r="BK28" s="47">
        <v>0.93140000000000001</v>
      </c>
      <c r="BL28" s="47">
        <v>0.94830000000000003</v>
      </c>
      <c r="BM28" s="47">
        <v>0.96560000000000001</v>
      </c>
      <c r="BN28" s="47">
        <v>0.97560000000000002</v>
      </c>
      <c r="BO28" s="48">
        <v>0.98340000000000005</v>
      </c>
      <c r="BP28" s="47">
        <v>1</v>
      </c>
      <c r="BQ28" s="47">
        <v>1.0222</v>
      </c>
      <c r="BR28" s="47">
        <v>1.0410999999999999</v>
      </c>
      <c r="BS28" s="47">
        <v>1.0547</v>
      </c>
      <c r="BT28" s="47">
        <v>1.091</v>
      </c>
      <c r="BU28" s="47">
        <v>1.1673</v>
      </c>
      <c r="BV28" s="47">
        <v>1.2206999999999999</v>
      </c>
      <c r="BW28" s="47"/>
      <c r="BX28" s="47"/>
      <c r="BY28" s="47"/>
    </row>
    <row r="29" spans="1:77" s="63" customFormat="1" x14ac:dyDescent="0.25">
      <c r="A29" s="63" t="s">
        <v>315</v>
      </c>
      <c r="B29" s="63" t="s">
        <v>90</v>
      </c>
      <c r="C29" s="64" t="s">
        <v>75</v>
      </c>
      <c r="D29" s="65">
        <f t="shared" ref="D29:AI29" si="8">D2/D$28</f>
        <v>38392.857142857145</v>
      </c>
      <c r="E29" s="65">
        <f t="shared" si="8"/>
        <v>41330.882352941175</v>
      </c>
      <c r="F29" s="65">
        <f t="shared" si="8"/>
        <v>45145.985401459853</v>
      </c>
      <c r="G29" s="65">
        <f t="shared" si="8"/>
        <v>60505.33807829181</v>
      </c>
      <c r="H29" s="65">
        <f t="shared" si="8"/>
        <v>67956.104252400546</v>
      </c>
      <c r="I29" s="65">
        <f t="shared" si="8"/>
        <v>72669.773635153135</v>
      </c>
      <c r="J29" s="65">
        <f t="shared" si="8"/>
        <v>81901.639344262294</v>
      </c>
      <c r="K29" s="65">
        <f t="shared" si="8"/>
        <v>88686.93402328591</v>
      </c>
      <c r="L29" s="65">
        <f t="shared" si="8"/>
        <v>92941.927249521381</v>
      </c>
      <c r="M29" s="65">
        <f t="shared" si="8"/>
        <v>98774.478837650036</v>
      </c>
      <c r="N29" s="65">
        <f t="shared" si="8"/>
        <v>109357.05368289637</v>
      </c>
      <c r="O29" s="65">
        <f t="shared" si="8"/>
        <v>117847.00801974091</v>
      </c>
      <c r="P29" s="65">
        <f t="shared" si="8"/>
        <v>122819.89084293511</v>
      </c>
      <c r="Q29" s="65">
        <f t="shared" si="8"/>
        <v>130991.09792284865</v>
      </c>
      <c r="R29" s="65">
        <f t="shared" si="8"/>
        <v>134487.32718894008</v>
      </c>
      <c r="S29" s="65">
        <f t="shared" si="8"/>
        <v>137267.66833611575</v>
      </c>
      <c r="T29" s="65">
        <f t="shared" si="8"/>
        <v>138350.18626929217</v>
      </c>
      <c r="U29" s="65">
        <f t="shared" si="8"/>
        <v>132748.86306215261</v>
      </c>
      <c r="V29" s="65">
        <f t="shared" si="8"/>
        <v>129576.92307692308</v>
      </c>
      <c r="W29" s="65">
        <f t="shared" si="8"/>
        <v>131895.36484625973</v>
      </c>
      <c r="X29" s="65">
        <f t="shared" si="8"/>
        <v>136172.45930488341</v>
      </c>
      <c r="Y29" s="65">
        <f t="shared" si="8"/>
        <v>136997.94661190966</v>
      </c>
      <c r="Z29" s="65">
        <f t="shared" si="8"/>
        <v>132754.00074432453</v>
      </c>
      <c r="AA29" s="65">
        <f t="shared" si="8"/>
        <v>137212.94363256785</v>
      </c>
      <c r="AB29" s="65">
        <f t="shared" si="8"/>
        <v>140616.48280337444</v>
      </c>
      <c r="AC29" s="65">
        <f t="shared" si="8"/>
        <v>148127.09030100334</v>
      </c>
      <c r="AD29" s="65">
        <f t="shared" si="8"/>
        <v>155777.77777777778</v>
      </c>
      <c r="AE29" s="65">
        <f t="shared" si="8"/>
        <v>163580.85381630014</v>
      </c>
      <c r="AF29" s="65">
        <f t="shared" si="8"/>
        <v>170339.30254476907</v>
      </c>
      <c r="AG29" s="65">
        <f t="shared" si="8"/>
        <v>177898.21546596166</v>
      </c>
      <c r="AH29" s="65">
        <f t="shared" si="8"/>
        <v>189886.00379987335</v>
      </c>
      <c r="AI29" s="65">
        <f t="shared" si="8"/>
        <v>208363.56225799877</v>
      </c>
      <c r="AJ29" s="65">
        <f t="shared" ref="AJ29:BO29" si="9">AJ2/AJ$28</f>
        <v>226130.94064287122</v>
      </c>
      <c r="AK29" s="65">
        <f t="shared" si="9"/>
        <v>231917.06846673097</v>
      </c>
      <c r="AL29" s="65">
        <f t="shared" si="9"/>
        <v>238370.11884550084</v>
      </c>
      <c r="AM29" s="65">
        <f t="shared" si="9"/>
        <v>244620.86606979719</v>
      </c>
      <c r="AN29" s="65">
        <f t="shared" si="9"/>
        <v>249193.88830347735</v>
      </c>
      <c r="AO29" s="65">
        <f t="shared" si="9"/>
        <v>257527.95662487295</v>
      </c>
      <c r="AP29" s="65">
        <f t="shared" si="9"/>
        <v>263170.29281858337</v>
      </c>
      <c r="AQ29" s="65">
        <f t="shared" si="9"/>
        <v>263884.45579316944</v>
      </c>
      <c r="AR29" s="65">
        <f t="shared" si="9"/>
        <v>258428.19273351008</v>
      </c>
      <c r="AS29" s="65">
        <f t="shared" si="9"/>
        <v>258213.03219899282</v>
      </c>
      <c r="AT29" s="65">
        <f t="shared" si="9"/>
        <v>274394.79976090853</v>
      </c>
      <c r="AU29" s="65">
        <f t="shared" si="9"/>
        <v>289448.51862716343</v>
      </c>
      <c r="AV29" s="65">
        <f t="shared" si="9"/>
        <v>305366.76754575589</v>
      </c>
      <c r="AW29" s="65">
        <f t="shared" si="9"/>
        <v>321319.38514090521</v>
      </c>
      <c r="AX29" s="65">
        <f t="shared" si="9"/>
        <v>343667.93195557425</v>
      </c>
      <c r="AY29" s="65">
        <f t="shared" si="9"/>
        <v>369026.30491667817</v>
      </c>
      <c r="AZ29" s="65">
        <f t="shared" si="9"/>
        <v>374531.39706871047</v>
      </c>
      <c r="BA29" s="65">
        <f t="shared" si="9"/>
        <v>367899.12629070692</v>
      </c>
      <c r="BB29" s="65">
        <f t="shared" si="9"/>
        <v>378445.2526302117</v>
      </c>
      <c r="BC29" s="65">
        <f t="shared" si="9"/>
        <v>383835.42538354255</v>
      </c>
      <c r="BD29" s="65">
        <f t="shared" si="9"/>
        <v>400255.93700012309</v>
      </c>
      <c r="BE29" s="65">
        <f t="shared" si="9"/>
        <v>418195.68585389107</v>
      </c>
      <c r="BF29" s="65">
        <f t="shared" si="9"/>
        <v>438285.78056135471</v>
      </c>
      <c r="BG29" s="65">
        <f t="shared" si="9"/>
        <v>459917.05488012725</v>
      </c>
      <c r="BH29" s="65">
        <f t="shared" si="9"/>
        <v>453189.74243617139</v>
      </c>
      <c r="BI29" s="65">
        <f t="shared" si="9"/>
        <v>453367.52899197146</v>
      </c>
      <c r="BJ29" s="65">
        <f t="shared" si="9"/>
        <v>465851.55225185835</v>
      </c>
      <c r="BK29" s="65">
        <f t="shared" si="9"/>
        <v>465556.15202920337</v>
      </c>
      <c r="BL29" s="65">
        <f t="shared" si="9"/>
        <v>478713.48729305068</v>
      </c>
      <c r="BM29" s="65">
        <f t="shared" si="9"/>
        <v>492355.01242750621</v>
      </c>
      <c r="BN29" s="65">
        <f t="shared" si="9"/>
        <v>506837.84337843378</v>
      </c>
      <c r="BO29" s="65">
        <f t="shared" si="9"/>
        <v>530492.17002237134</v>
      </c>
      <c r="BP29" s="65">
        <f t="shared" ref="BP29:BV29" si="10">BP2/BP$28</f>
        <v>553530</v>
      </c>
      <c r="BQ29" s="65">
        <f t="shared" si="10"/>
        <v>590729.79847387981</v>
      </c>
      <c r="BR29" s="65">
        <f t="shared" si="10"/>
        <v>639003.93814234948</v>
      </c>
      <c r="BS29" s="65">
        <f t="shared" si="10"/>
        <v>679320.18583483458</v>
      </c>
      <c r="BT29" s="65">
        <f t="shared" si="10"/>
        <v>722931.25572868926</v>
      </c>
      <c r="BU29" s="65">
        <f t="shared" si="10"/>
        <v>764014.39218709839</v>
      </c>
      <c r="BV29" s="65">
        <f t="shared" si="10"/>
        <v>769690.3416072746</v>
      </c>
    </row>
    <row r="30" spans="1:77" s="63" customFormat="1" x14ac:dyDescent="0.25">
      <c r="A30" s="63" t="s">
        <v>315</v>
      </c>
      <c r="B30" s="63" t="s">
        <v>90</v>
      </c>
      <c r="C30" s="64" t="s">
        <v>316</v>
      </c>
      <c r="D30" s="65">
        <f t="shared" ref="D30:AI30" si="11">D3/D$28</f>
        <v>20706.84523809524</v>
      </c>
      <c r="E30" s="65">
        <f t="shared" si="11"/>
        <v>22808.823529411762</v>
      </c>
      <c r="F30" s="65">
        <f t="shared" si="11"/>
        <v>25598.5401459854</v>
      </c>
      <c r="G30" s="65">
        <f t="shared" si="11"/>
        <v>35437.722419928825</v>
      </c>
      <c r="H30" s="65">
        <f t="shared" si="11"/>
        <v>42750.342935528119</v>
      </c>
      <c r="I30" s="65">
        <f t="shared" si="11"/>
        <v>46431.424766977361</v>
      </c>
      <c r="J30" s="65">
        <f t="shared" si="11"/>
        <v>53554.098360655742</v>
      </c>
      <c r="K30" s="65">
        <f t="shared" si="11"/>
        <v>57664.941785252267</v>
      </c>
      <c r="L30" s="65">
        <f t="shared" si="11"/>
        <v>60523.292916400766</v>
      </c>
      <c r="M30" s="65">
        <f t="shared" si="11"/>
        <v>64042.956411876185</v>
      </c>
      <c r="N30" s="65">
        <f t="shared" si="11"/>
        <v>72696.629213483146</v>
      </c>
      <c r="O30" s="65">
        <f t="shared" si="11"/>
        <v>78747.686613201731</v>
      </c>
      <c r="P30" s="65">
        <f t="shared" si="11"/>
        <v>80012.128562765312</v>
      </c>
      <c r="Q30" s="65">
        <f t="shared" si="11"/>
        <v>84065.281899109788</v>
      </c>
      <c r="R30" s="65">
        <f t="shared" si="11"/>
        <v>83894.009216589853</v>
      </c>
      <c r="S30" s="65">
        <f t="shared" si="11"/>
        <v>83277.685030606561</v>
      </c>
      <c r="T30" s="65">
        <f t="shared" si="11"/>
        <v>81043.108036189456</v>
      </c>
      <c r="U30" s="65">
        <f t="shared" si="11"/>
        <v>75715.007579585654</v>
      </c>
      <c r="V30" s="65">
        <f t="shared" si="11"/>
        <v>73125</v>
      </c>
      <c r="W30" s="65">
        <f t="shared" si="11"/>
        <v>73607.159247361167</v>
      </c>
      <c r="X30" s="65">
        <f t="shared" si="11"/>
        <v>72974.043114826214</v>
      </c>
      <c r="Y30" s="65">
        <f t="shared" si="11"/>
        <v>70993.839835728955</v>
      </c>
      <c r="Z30" s="65">
        <f t="shared" si="11"/>
        <v>68972.832154819509</v>
      </c>
      <c r="AA30" s="65">
        <f t="shared" si="11"/>
        <v>70605.427974947816</v>
      </c>
      <c r="AB30" s="65">
        <f t="shared" si="11"/>
        <v>71612.58922777418</v>
      </c>
      <c r="AC30" s="65">
        <f t="shared" si="11"/>
        <v>74229.249011857697</v>
      </c>
      <c r="AD30" s="65">
        <f t="shared" si="11"/>
        <v>76582.278481012661</v>
      </c>
      <c r="AE30" s="65">
        <f t="shared" si="11"/>
        <v>77583.441138421738</v>
      </c>
      <c r="AF30" s="65">
        <f t="shared" si="11"/>
        <v>79498.114985862398</v>
      </c>
      <c r="AG30" s="65">
        <f t="shared" si="11"/>
        <v>81808.768451200696</v>
      </c>
      <c r="AH30" s="65">
        <f t="shared" si="11"/>
        <v>87504.749841671946</v>
      </c>
      <c r="AI30" s="65">
        <f t="shared" si="11"/>
        <v>94701.446912573869</v>
      </c>
      <c r="AJ30" s="65">
        <f t="shared" ref="AJ30:BO30" si="12">AJ3/AJ$28</f>
        <v>103807.92743048708</v>
      </c>
      <c r="AK30" s="65">
        <f t="shared" si="12"/>
        <v>105346.19093539056</v>
      </c>
      <c r="AL30" s="65">
        <f t="shared" si="12"/>
        <v>110562.15808338049</v>
      </c>
      <c r="AM30" s="65">
        <f t="shared" si="12"/>
        <v>109868.44509409829</v>
      </c>
      <c r="AN30" s="65">
        <f t="shared" si="12"/>
        <v>106190.72708113804</v>
      </c>
      <c r="AO30" s="65">
        <f t="shared" si="12"/>
        <v>104388.34293459845</v>
      </c>
      <c r="AP30" s="65">
        <f t="shared" si="12"/>
        <v>99432.357271388857</v>
      </c>
      <c r="AQ30" s="65">
        <f t="shared" si="12"/>
        <v>97215.129269071171</v>
      </c>
      <c r="AR30" s="65">
        <f t="shared" si="12"/>
        <v>94383.283954467493</v>
      </c>
      <c r="AS30" s="65">
        <f t="shared" si="12"/>
        <v>92746.833511368837</v>
      </c>
      <c r="AT30" s="65">
        <f t="shared" si="12"/>
        <v>94095.935445307827</v>
      </c>
      <c r="AU30" s="65">
        <f t="shared" si="12"/>
        <v>92980.346142563809</v>
      </c>
      <c r="AV30" s="65">
        <f t="shared" si="12"/>
        <v>92753.999135322098</v>
      </c>
      <c r="AW30" s="65">
        <f t="shared" si="12"/>
        <v>93805.863933959583</v>
      </c>
      <c r="AX30" s="65">
        <f t="shared" si="12"/>
        <v>93936.454379305491</v>
      </c>
      <c r="AY30" s="65">
        <f t="shared" si="12"/>
        <v>92601.570031676078</v>
      </c>
      <c r="AZ30" s="65">
        <f t="shared" si="12"/>
        <v>99224.149522656982</v>
      </c>
      <c r="BA30" s="65">
        <f t="shared" si="12"/>
        <v>104412.23193010325</v>
      </c>
      <c r="BB30" s="65">
        <f t="shared" si="12"/>
        <v>110576.69827250292</v>
      </c>
      <c r="BC30" s="65">
        <f t="shared" si="12"/>
        <v>115119.81742107266</v>
      </c>
      <c r="BD30" s="65">
        <f t="shared" si="12"/>
        <v>117402.48554202043</v>
      </c>
      <c r="BE30" s="65">
        <f t="shared" si="12"/>
        <v>119101.41818615183</v>
      </c>
      <c r="BF30" s="65">
        <f t="shared" si="12"/>
        <v>121929.94664810949</v>
      </c>
      <c r="BG30" s="65">
        <f t="shared" si="12"/>
        <v>133638.22292921258</v>
      </c>
      <c r="BH30" s="65">
        <f t="shared" si="12"/>
        <v>141452.03014284107</v>
      </c>
      <c r="BI30" s="65">
        <f t="shared" si="12"/>
        <v>141187.55575379124</v>
      </c>
      <c r="BJ30" s="65">
        <f t="shared" si="12"/>
        <v>138844.55618714474</v>
      </c>
      <c r="BK30" s="65">
        <f t="shared" si="12"/>
        <v>132958.98647197767</v>
      </c>
      <c r="BL30" s="65">
        <f t="shared" si="12"/>
        <v>126679.32089001371</v>
      </c>
      <c r="BM30" s="65">
        <f t="shared" si="12"/>
        <v>122580.77879038939</v>
      </c>
      <c r="BN30" s="65">
        <f t="shared" si="12"/>
        <v>122521.52521525214</v>
      </c>
      <c r="BO30" s="65">
        <f t="shared" si="12"/>
        <v>120168.80211511084</v>
      </c>
      <c r="BP30" s="65">
        <f t="shared" ref="BP30:BV30" si="13">BP3/BP$28</f>
        <v>122435</v>
      </c>
      <c r="BQ30" s="65">
        <f t="shared" si="13"/>
        <v>128171.59068675406</v>
      </c>
      <c r="BR30" s="65">
        <f t="shared" si="13"/>
        <v>130291.03832484873</v>
      </c>
      <c r="BS30" s="65">
        <f t="shared" si="13"/>
        <v>140310.04076988719</v>
      </c>
      <c r="BT30" s="65">
        <f t="shared" si="13"/>
        <v>134975.25206232813</v>
      </c>
      <c r="BU30" s="65">
        <f t="shared" si="13"/>
        <v>140898.65501584855</v>
      </c>
      <c r="BV30" s="65">
        <f t="shared" si="13"/>
        <v>141185.38543458673</v>
      </c>
    </row>
    <row r="31" spans="1:77" s="63" customFormat="1" x14ac:dyDescent="0.25">
      <c r="A31" s="63" t="s">
        <v>315</v>
      </c>
      <c r="B31" s="63" t="s">
        <v>90</v>
      </c>
      <c r="C31" s="64" t="s">
        <v>317</v>
      </c>
      <c r="D31" s="65">
        <f t="shared" ref="D31:AI31" si="14">D4/D$28</f>
        <v>16718.75</v>
      </c>
      <c r="E31" s="65">
        <f t="shared" si="14"/>
        <v>17463.235294117647</v>
      </c>
      <c r="F31" s="65">
        <f t="shared" si="14"/>
        <v>18408.759124087588</v>
      </c>
      <c r="G31" s="65">
        <f t="shared" si="14"/>
        <v>23814.94661921708</v>
      </c>
      <c r="H31" s="65">
        <f t="shared" si="14"/>
        <v>23799.725651577501</v>
      </c>
      <c r="I31" s="65">
        <f t="shared" si="14"/>
        <v>24680.426098535285</v>
      </c>
      <c r="J31" s="65">
        <f t="shared" si="14"/>
        <v>26655.737704918032</v>
      </c>
      <c r="K31" s="65">
        <f t="shared" si="14"/>
        <v>29210.866752910741</v>
      </c>
      <c r="L31" s="65">
        <f t="shared" si="14"/>
        <v>30357.370772176131</v>
      </c>
      <c r="M31" s="65">
        <f t="shared" si="14"/>
        <v>32368.919772583704</v>
      </c>
      <c r="N31" s="65">
        <f t="shared" si="14"/>
        <v>34057.428214731583</v>
      </c>
      <c r="O31" s="65">
        <f t="shared" si="14"/>
        <v>36323.257248611968</v>
      </c>
      <c r="P31" s="65">
        <f t="shared" si="14"/>
        <v>39714.978775015166</v>
      </c>
      <c r="Q31" s="65">
        <f t="shared" si="14"/>
        <v>43507.418397626112</v>
      </c>
      <c r="R31" s="65">
        <f t="shared" si="14"/>
        <v>46923.963133640551</v>
      </c>
      <c r="S31" s="65">
        <f t="shared" si="14"/>
        <v>50127.991096271566</v>
      </c>
      <c r="T31" s="65">
        <f t="shared" si="14"/>
        <v>53278.339542309739</v>
      </c>
      <c r="U31" s="65">
        <f t="shared" si="14"/>
        <v>52799.393633148058</v>
      </c>
      <c r="V31" s="65">
        <f t="shared" si="14"/>
        <v>52038.461538461539</v>
      </c>
      <c r="W31" s="65">
        <f t="shared" si="14"/>
        <v>53763.194125745751</v>
      </c>
      <c r="X31" s="65">
        <f t="shared" si="14"/>
        <v>58508.578970523537</v>
      </c>
      <c r="Y31" s="65">
        <f t="shared" si="14"/>
        <v>61133.47022587269</v>
      </c>
      <c r="Z31" s="65">
        <f t="shared" si="14"/>
        <v>58890.956457015258</v>
      </c>
      <c r="AA31" s="65">
        <f t="shared" si="14"/>
        <v>61593.597773138485</v>
      </c>
      <c r="AB31" s="65">
        <f t="shared" si="14"/>
        <v>63731.343283582093</v>
      </c>
      <c r="AC31" s="65">
        <f t="shared" si="14"/>
        <v>68279.112192155662</v>
      </c>
      <c r="AD31" s="65">
        <f t="shared" si="14"/>
        <v>73409.282700421943</v>
      </c>
      <c r="AE31" s="65">
        <f t="shared" si="14"/>
        <v>80023.285899094437</v>
      </c>
      <c r="AF31" s="65">
        <f t="shared" si="14"/>
        <v>84703.110273327053</v>
      </c>
      <c r="AG31" s="65">
        <f t="shared" si="14"/>
        <v>89649.702577660268</v>
      </c>
      <c r="AH31" s="65">
        <f t="shared" si="14"/>
        <v>95554.148195060159</v>
      </c>
      <c r="AI31" s="65">
        <f t="shared" si="14"/>
        <v>106352.14998981047</v>
      </c>
      <c r="AJ31" s="65">
        <f t="shared" ref="AJ31:BO31" si="15">AJ4/AJ$28</f>
        <v>114300.9268388878</v>
      </c>
      <c r="AK31" s="65">
        <f t="shared" si="15"/>
        <v>117629.70106075218</v>
      </c>
      <c r="AL31" s="65">
        <f t="shared" si="15"/>
        <v>118045.65176381814</v>
      </c>
      <c r="AM31" s="65">
        <f t="shared" si="15"/>
        <v>124204.2755344418</v>
      </c>
      <c r="AN31" s="65">
        <f t="shared" si="15"/>
        <v>131657.88549350193</v>
      </c>
      <c r="AO31" s="65">
        <f t="shared" si="15"/>
        <v>140982.71772280583</v>
      </c>
      <c r="AP31" s="65">
        <f t="shared" si="15"/>
        <v>150989.6940945526</v>
      </c>
      <c r="AQ31" s="65">
        <f t="shared" si="15"/>
        <v>153573.25247366741</v>
      </c>
      <c r="AR31" s="65">
        <f t="shared" si="15"/>
        <v>150552.00374239826</v>
      </c>
      <c r="AS31" s="65">
        <f t="shared" si="15"/>
        <v>151387.15092324128</v>
      </c>
      <c r="AT31" s="65">
        <f t="shared" si="15"/>
        <v>165676.92767483561</v>
      </c>
      <c r="AU31" s="65">
        <f t="shared" si="15"/>
        <v>181016.4271047228</v>
      </c>
      <c r="AV31" s="65">
        <f t="shared" si="15"/>
        <v>196293.41403660472</v>
      </c>
      <c r="AW31" s="65">
        <f t="shared" si="15"/>
        <v>210324.50896669514</v>
      </c>
      <c r="AX31" s="65">
        <f t="shared" si="15"/>
        <v>231329.95922957963</v>
      </c>
      <c r="AY31" s="65">
        <f t="shared" si="15"/>
        <v>256128.6324197769</v>
      </c>
      <c r="AZ31" s="65">
        <f t="shared" si="15"/>
        <v>253338.71184617453</v>
      </c>
      <c r="BA31" s="65">
        <f t="shared" si="15"/>
        <v>239216.30924013769</v>
      </c>
      <c r="BB31" s="65">
        <f t="shared" si="15"/>
        <v>241811.92362644497</v>
      </c>
      <c r="BC31" s="65">
        <f t="shared" si="15"/>
        <v>242609.35717002663</v>
      </c>
      <c r="BD31" s="65">
        <f t="shared" si="15"/>
        <v>255660.14519502892</v>
      </c>
      <c r="BE31" s="65">
        <f t="shared" si="15"/>
        <v>270744.84566797758</v>
      </c>
      <c r="BF31" s="65">
        <f t="shared" si="15"/>
        <v>286261.88819299469</v>
      </c>
      <c r="BG31" s="65">
        <f t="shared" si="15"/>
        <v>293166.68560390867</v>
      </c>
      <c r="BH31" s="65">
        <f t="shared" si="15"/>
        <v>277370.37453604769</v>
      </c>
      <c r="BI31" s="65">
        <f t="shared" si="15"/>
        <v>276677.07404103479</v>
      </c>
      <c r="BJ31" s="65">
        <f t="shared" si="15"/>
        <v>291234.14954088326</v>
      </c>
      <c r="BK31" s="65">
        <f t="shared" si="15"/>
        <v>296024.26454799226</v>
      </c>
      <c r="BL31" s="65">
        <f t="shared" si="15"/>
        <v>313368.13244753768</v>
      </c>
      <c r="BM31" s="65">
        <f t="shared" si="15"/>
        <v>329724.52361226181</v>
      </c>
      <c r="BN31" s="65">
        <f t="shared" si="15"/>
        <v>341577.49077490775</v>
      </c>
      <c r="BO31" s="65">
        <f t="shared" si="15"/>
        <v>366372.78828553995</v>
      </c>
      <c r="BP31" s="65">
        <f t="shared" ref="BP31:BV31" si="16">BP4/BP$28</f>
        <v>386533</v>
      </c>
      <c r="BQ31" s="65">
        <f t="shared" si="16"/>
        <v>417209.93934650754</v>
      </c>
      <c r="BR31" s="65">
        <f t="shared" si="16"/>
        <v>463163.00067236583</v>
      </c>
      <c r="BS31" s="65">
        <f t="shared" si="16"/>
        <v>493338.39006352518</v>
      </c>
      <c r="BT31" s="65">
        <f t="shared" si="16"/>
        <v>541655.3620531623</v>
      </c>
      <c r="BU31" s="65">
        <f t="shared" si="16"/>
        <v>576652.95982181106</v>
      </c>
      <c r="BV31" s="65">
        <f t="shared" si="16"/>
        <v>580946.17842221679</v>
      </c>
    </row>
    <row r="32" spans="1:77" s="63" customFormat="1" x14ac:dyDescent="0.25">
      <c r="A32" s="63" t="s">
        <v>315</v>
      </c>
      <c r="B32" s="63" t="s">
        <v>90</v>
      </c>
      <c r="C32" s="64" t="s">
        <v>318</v>
      </c>
      <c r="D32" s="65">
        <f t="shared" ref="D32:AI32" si="17">D5/D$28</f>
        <v>275.29761904761904</v>
      </c>
      <c r="E32" s="65">
        <f t="shared" si="17"/>
        <v>294.11764705882354</v>
      </c>
      <c r="F32" s="65">
        <f t="shared" si="17"/>
        <v>306.56934306569343</v>
      </c>
      <c r="G32" s="65">
        <f t="shared" si="17"/>
        <v>327.40213523131672</v>
      </c>
      <c r="H32" s="65">
        <f t="shared" si="17"/>
        <v>349.79423868312756</v>
      </c>
      <c r="I32" s="65">
        <f t="shared" si="17"/>
        <v>372.83621837549936</v>
      </c>
      <c r="J32" s="65">
        <f t="shared" si="17"/>
        <v>400</v>
      </c>
      <c r="K32" s="65">
        <f t="shared" si="17"/>
        <v>433.37645536869343</v>
      </c>
      <c r="L32" s="65">
        <f t="shared" si="17"/>
        <v>478.6215698787492</v>
      </c>
      <c r="M32" s="65">
        <f t="shared" si="17"/>
        <v>530.63802905874923</v>
      </c>
      <c r="N32" s="65">
        <f t="shared" si="17"/>
        <v>599.25093632958794</v>
      </c>
      <c r="O32" s="65">
        <f t="shared" si="17"/>
        <v>703.26958667489203</v>
      </c>
      <c r="P32" s="65">
        <f t="shared" si="17"/>
        <v>824.74226804123714</v>
      </c>
      <c r="Q32" s="65">
        <f t="shared" si="17"/>
        <v>979.22848664688422</v>
      </c>
      <c r="R32" s="65">
        <f t="shared" si="17"/>
        <v>1152.073732718894</v>
      </c>
      <c r="S32" s="65">
        <f t="shared" si="17"/>
        <v>1229.8274902615469</v>
      </c>
      <c r="T32" s="65">
        <f t="shared" si="17"/>
        <v>1240.0212879191058</v>
      </c>
      <c r="U32" s="65">
        <f t="shared" si="17"/>
        <v>1308.7417887822132</v>
      </c>
      <c r="V32" s="65">
        <f t="shared" si="17"/>
        <v>1394.2307692307693</v>
      </c>
      <c r="W32" s="65">
        <f t="shared" si="17"/>
        <v>1431.8494722349701</v>
      </c>
      <c r="X32" s="65">
        <f t="shared" si="17"/>
        <v>1513.4183897932248</v>
      </c>
      <c r="Y32" s="65">
        <f t="shared" si="17"/>
        <v>1618.0698151950719</v>
      </c>
      <c r="Z32" s="65">
        <f t="shared" si="17"/>
        <v>1607.7409750651284</v>
      </c>
      <c r="AA32" s="65">
        <f t="shared" si="17"/>
        <v>1670.1461377870564</v>
      </c>
      <c r="AB32" s="65">
        <f t="shared" si="17"/>
        <v>1846.203763789747</v>
      </c>
      <c r="AC32" s="65">
        <f t="shared" si="17"/>
        <v>2064.4572818485858</v>
      </c>
      <c r="AD32" s="65">
        <f t="shared" si="17"/>
        <v>2208.1575246132211</v>
      </c>
      <c r="AE32" s="65">
        <f t="shared" si="17"/>
        <v>2380.3363518758083</v>
      </c>
      <c r="AF32" s="65">
        <f t="shared" si="17"/>
        <v>2492.9311969839773</v>
      </c>
      <c r="AG32" s="65">
        <f t="shared" si="17"/>
        <v>2659.1760299625466</v>
      </c>
      <c r="AH32" s="65">
        <f t="shared" si="17"/>
        <v>2864.6822883681652</v>
      </c>
      <c r="AI32" s="65">
        <f t="shared" si="17"/>
        <v>3085.3882209089056</v>
      </c>
      <c r="AJ32" s="65">
        <f t="shared" ref="AJ32:BO32" si="18">AJ5/AJ$28</f>
        <v>3437.1918753697496</v>
      </c>
      <c r="AK32" s="65">
        <f t="shared" si="18"/>
        <v>3893.9247830279655</v>
      </c>
      <c r="AL32" s="65">
        <f t="shared" si="18"/>
        <v>4267.119411431805</v>
      </c>
      <c r="AM32" s="65">
        <f t="shared" si="18"/>
        <v>4617.211766855472</v>
      </c>
      <c r="AN32" s="65">
        <f t="shared" si="18"/>
        <v>5008.7811731647344</v>
      </c>
      <c r="AO32" s="65">
        <f t="shared" si="18"/>
        <v>5399.8644527278893</v>
      </c>
      <c r="AP32" s="65">
        <f t="shared" si="18"/>
        <v>5656.7969900212665</v>
      </c>
      <c r="AQ32" s="65">
        <f t="shared" si="18"/>
        <v>5695.8187041174588</v>
      </c>
      <c r="AR32" s="65">
        <f t="shared" si="18"/>
        <v>5783.5646343365042</v>
      </c>
      <c r="AS32" s="65">
        <f t="shared" si="18"/>
        <v>6009.4613154280487</v>
      </c>
      <c r="AT32" s="65">
        <f t="shared" si="18"/>
        <v>6141.6616855947395</v>
      </c>
      <c r="AU32" s="65">
        <f t="shared" si="18"/>
        <v>6506.3068348489296</v>
      </c>
      <c r="AV32" s="65">
        <f t="shared" si="18"/>
        <v>6992.3620118172648</v>
      </c>
      <c r="AW32" s="65">
        <f t="shared" si="18"/>
        <v>7391.1187019641329</v>
      </c>
      <c r="AX32" s="65">
        <f t="shared" si="18"/>
        <v>7948.8260930690285</v>
      </c>
      <c r="AY32" s="65">
        <f t="shared" si="18"/>
        <v>8635.1742184272134</v>
      </c>
      <c r="AZ32" s="65">
        <f t="shared" si="18"/>
        <v>9242.9743176011834</v>
      </c>
      <c r="BA32" s="65">
        <f t="shared" si="18"/>
        <v>10157.532433148002</v>
      </c>
      <c r="BB32" s="65">
        <f t="shared" si="18"/>
        <v>10762.436680088324</v>
      </c>
      <c r="BC32" s="65">
        <f t="shared" si="18"/>
        <v>10950.93191327501</v>
      </c>
      <c r="BD32" s="65">
        <f t="shared" si="18"/>
        <v>11508.551741109881</v>
      </c>
      <c r="BE32" s="65">
        <f t="shared" si="18"/>
        <v>12127.279227744011</v>
      </c>
      <c r="BF32" s="65">
        <f t="shared" si="18"/>
        <v>12680.352586406867</v>
      </c>
      <c r="BG32" s="65">
        <f t="shared" si="18"/>
        <v>13337.120781729349</v>
      </c>
      <c r="BH32" s="65">
        <f t="shared" si="18"/>
        <v>13559.779552356315</v>
      </c>
      <c r="BI32" s="65">
        <f t="shared" si="18"/>
        <v>13673.059768064228</v>
      </c>
      <c r="BJ32" s="65">
        <f t="shared" si="18"/>
        <v>14324.442501093135</v>
      </c>
      <c r="BK32" s="65">
        <f t="shared" si="18"/>
        <v>15353.231694223748</v>
      </c>
      <c r="BL32" s="65">
        <f t="shared" si="18"/>
        <v>16216.387219234419</v>
      </c>
      <c r="BM32" s="65">
        <f t="shared" si="18"/>
        <v>16786.45401822701</v>
      </c>
      <c r="BN32" s="65">
        <f t="shared" si="18"/>
        <v>17691.676916769167</v>
      </c>
      <c r="BO32" s="65">
        <f t="shared" si="18"/>
        <v>19045.14948139109</v>
      </c>
      <c r="BP32" s="65">
        <f t="shared" ref="BP32:BV32" si="19">BP5/BP$28</f>
        <v>19878</v>
      </c>
      <c r="BQ32" s="65">
        <f t="shared" si="19"/>
        <v>20531.207200156525</v>
      </c>
      <c r="BR32" s="65">
        <f t="shared" si="19"/>
        <v>21018.153875708387</v>
      </c>
      <c r="BS32" s="65">
        <f t="shared" si="19"/>
        <v>21387.12430074903</v>
      </c>
      <c r="BT32" s="65">
        <f t="shared" si="19"/>
        <v>21802.016498625115</v>
      </c>
      <c r="BU32" s="65">
        <f t="shared" si="19"/>
        <v>22753.362460378652</v>
      </c>
      <c r="BV32" s="65">
        <f t="shared" si="19"/>
        <v>23792.08650774146</v>
      </c>
    </row>
    <row r="33" spans="1:74" s="63" customFormat="1" x14ac:dyDescent="0.25">
      <c r="A33" s="63" t="s">
        <v>315</v>
      </c>
      <c r="B33" s="63" t="s">
        <v>90</v>
      </c>
      <c r="C33" s="64" t="s">
        <v>237</v>
      </c>
      <c r="D33" s="65">
        <f t="shared" ref="D33:AI33" si="20">D6/D$28</f>
        <v>706.84523809523819</v>
      </c>
      <c r="E33" s="65">
        <f t="shared" si="20"/>
        <v>772.05882352941171</v>
      </c>
      <c r="F33" s="65">
        <f t="shared" si="20"/>
        <v>832.11678832116786</v>
      </c>
      <c r="G33" s="65">
        <f t="shared" si="20"/>
        <v>932.38434163701061</v>
      </c>
      <c r="H33" s="65">
        <f t="shared" si="20"/>
        <v>1063.1001371742111</v>
      </c>
      <c r="I33" s="65">
        <f t="shared" si="20"/>
        <v>1191.7443408788283</v>
      </c>
      <c r="J33" s="65">
        <f t="shared" si="20"/>
        <v>1298.360655737705</v>
      </c>
      <c r="K33" s="65">
        <f t="shared" si="20"/>
        <v>1377.7490297542045</v>
      </c>
      <c r="L33" s="65">
        <f t="shared" si="20"/>
        <v>1589.0236119974472</v>
      </c>
      <c r="M33" s="65">
        <f t="shared" si="20"/>
        <v>1838.2817435249526</v>
      </c>
      <c r="N33" s="65">
        <f t="shared" si="20"/>
        <v>2009.9875156054929</v>
      </c>
      <c r="O33" s="65">
        <f t="shared" si="20"/>
        <v>2085.1326341764343</v>
      </c>
      <c r="P33" s="65">
        <f t="shared" si="20"/>
        <v>2274.1055184960583</v>
      </c>
      <c r="Q33" s="65">
        <f t="shared" si="20"/>
        <v>2445.1038575667653</v>
      </c>
      <c r="R33" s="65">
        <f t="shared" si="20"/>
        <v>2528.8018433179723</v>
      </c>
      <c r="S33" s="65">
        <f t="shared" si="20"/>
        <v>2643.2943795214246</v>
      </c>
      <c r="T33" s="65">
        <f t="shared" si="20"/>
        <v>2788.7174028738691</v>
      </c>
      <c r="U33" s="65">
        <f t="shared" si="20"/>
        <v>2930.7731177362307</v>
      </c>
      <c r="V33" s="65">
        <f t="shared" si="20"/>
        <v>3019.2307692307695</v>
      </c>
      <c r="W33" s="65">
        <f t="shared" si="20"/>
        <v>3097.7512620468101</v>
      </c>
      <c r="X33" s="65">
        <f t="shared" si="20"/>
        <v>3176.4188297404312</v>
      </c>
      <c r="Y33" s="65">
        <f t="shared" si="20"/>
        <v>3260.7802874743329</v>
      </c>
      <c r="Z33" s="65">
        <f t="shared" si="20"/>
        <v>3282.4711574246371</v>
      </c>
      <c r="AA33" s="65">
        <f t="shared" si="20"/>
        <v>3343.7717466945028</v>
      </c>
      <c r="AB33" s="65">
        <f t="shared" si="20"/>
        <v>3426.3465282284233</v>
      </c>
      <c r="AC33" s="65">
        <f t="shared" si="20"/>
        <v>3557.3122529644265</v>
      </c>
      <c r="AD33" s="65">
        <f t="shared" si="20"/>
        <v>3580.8720112517581</v>
      </c>
      <c r="AE33" s="65">
        <f t="shared" si="20"/>
        <v>3596.3777490297539</v>
      </c>
      <c r="AF33" s="65">
        <f t="shared" si="20"/>
        <v>3647.502356267672</v>
      </c>
      <c r="AG33" s="65">
        <f t="shared" si="20"/>
        <v>3780.5684071381361</v>
      </c>
      <c r="AH33" s="65">
        <f t="shared" si="20"/>
        <v>3964.5345155161494</v>
      </c>
      <c r="AI33" s="65">
        <f t="shared" si="20"/>
        <v>4222.5392296718974</v>
      </c>
      <c r="AJ33" s="65">
        <f t="shared" ref="AJ33:BO33" si="21">AJ6/AJ$28</f>
        <v>4584.8944981266022</v>
      </c>
      <c r="AK33" s="65">
        <f t="shared" si="21"/>
        <v>5045.323047251688</v>
      </c>
      <c r="AL33" s="65">
        <f t="shared" si="21"/>
        <v>5497.0760233918127</v>
      </c>
      <c r="AM33" s="65">
        <f t="shared" si="21"/>
        <v>5930.9336744016082</v>
      </c>
      <c r="AN33" s="65">
        <f t="shared" si="21"/>
        <v>6334.7383210396911</v>
      </c>
      <c r="AO33" s="65">
        <f t="shared" si="21"/>
        <v>6757.0315147407664</v>
      </c>
      <c r="AP33" s="65">
        <f t="shared" si="21"/>
        <v>7091.444462620645</v>
      </c>
      <c r="AQ33" s="65">
        <f t="shared" si="21"/>
        <v>7401.8512607724224</v>
      </c>
      <c r="AR33" s="65">
        <f t="shared" si="21"/>
        <v>7710.899734913457</v>
      </c>
      <c r="AS33" s="65">
        <f t="shared" si="21"/>
        <v>8069.5864489546775</v>
      </c>
      <c r="AT33" s="65">
        <f t="shared" si="21"/>
        <v>8481.7692767483568</v>
      </c>
      <c r="AU33" s="65">
        <f t="shared" si="21"/>
        <v>8946.9052508066889</v>
      </c>
      <c r="AV33" s="65">
        <f t="shared" si="21"/>
        <v>9328.4334918576169</v>
      </c>
      <c r="AW33" s="65">
        <f t="shared" si="21"/>
        <v>9796.4702533447198</v>
      </c>
      <c r="AX33" s="65">
        <f t="shared" si="21"/>
        <v>10452.692253620131</v>
      </c>
      <c r="AY33" s="65">
        <f t="shared" si="21"/>
        <v>11660.928246797963</v>
      </c>
      <c r="AZ33" s="65">
        <f t="shared" si="21"/>
        <v>12724.2167540675</v>
      </c>
      <c r="BA33" s="65">
        <f t="shared" si="21"/>
        <v>14114.376489277205</v>
      </c>
      <c r="BB33" s="65">
        <f t="shared" si="21"/>
        <v>15295.492921158591</v>
      </c>
      <c r="BC33" s="65">
        <f t="shared" si="21"/>
        <v>15156.586788385952</v>
      </c>
      <c r="BD33" s="65">
        <f t="shared" si="21"/>
        <v>15685.984988310571</v>
      </c>
      <c r="BE33" s="65">
        <f t="shared" si="21"/>
        <v>16223.334525086402</v>
      </c>
      <c r="BF33" s="65">
        <f t="shared" si="21"/>
        <v>17413.593133843657</v>
      </c>
      <c r="BG33" s="65">
        <f t="shared" si="21"/>
        <v>19776.161799795478</v>
      </c>
      <c r="BH33" s="65">
        <f t="shared" si="21"/>
        <v>20807.558204926328</v>
      </c>
      <c r="BI33" s="65">
        <f t="shared" si="21"/>
        <v>21829.839429081178</v>
      </c>
      <c r="BJ33" s="65">
        <f t="shared" si="21"/>
        <v>21448.404022737213</v>
      </c>
      <c r="BK33" s="65">
        <f t="shared" si="21"/>
        <v>21220.742967575694</v>
      </c>
      <c r="BL33" s="65">
        <f t="shared" si="21"/>
        <v>22449.646736264895</v>
      </c>
      <c r="BM33" s="65">
        <f t="shared" si="21"/>
        <v>23264.291632145814</v>
      </c>
      <c r="BN33" s="65">
        <f t="shared" si="21"/>
        <v>25047.150471504716</v>
      </c>
      <c r="BO33" s="65">
        <f t="shared" si="21"/>
        <v>24905.430140329467</v>
      </c>
      <c r="BP33" s="65">
        <f t="shared" ref="BP33:BV33" si="22">BP6/BP$28</f>
        <v>24684</v>
      </c>
      <c r="BQ33" s="65">
        <f t="shared" si="22"/>
        <v>24817.06124046175</v>
      </c>
      <c r="BR33" s="65">
        <f t="shared" si="22"/>
        <v>24531.74526942657</v>
      </c>
      <c r="BS33" s="65">
        <f t="shared" si="22"/>
        <v>24284.630700673177</v>
      </c>
      <c r="BT33" s="65">
        <f t="shared" si="22"/>
        <v>24498.625114573788</v>
      </c>
      <c r="BU33" s="65">
        <f t="shared" si="22"/>
        <v>23709.414889060223</v>
      </c>
      <c r="BV33" s="65">
        <f t="shared" si="22"/>
        <v>23766.691242729583</v>
      </c>
    </row>
    <row r="34" spans="1:74" s="63" customFormat="1" x14ac:dyDescent="0.25">
      <c r="A34" s="63" t="s">
        <v>249</v>
      </c>
      <c r="B34" s="63" t="s">
        <v>90</v>
      </c>
      <c r="C34" s="64" t="s">
        <v>75</v>
      </c>
      <c r="D34" s="65">
        <f t="shared" ref="D34:AI34" si="23">D7/D$28</f>
        <v>3422.6190476190477</v>
      </c>
      <c r="E34" s="65">
        <f t="shared" si="23"/>
        <v>3742.6470588235293</v>
      </c>
      <c r="F34" s="65">
        <f t="shared" si="23"/>
        <v>4160.5839416058388</v>
      </c>
      <c r="G34" s="65">
        <f t="shared" si="23"/>
        <v>5110.3202846975082</v>
      </c>
      <c r="H34" s="65">
        <f t="shared" si="23"/>
        <v>5576.1316872427979</v>
      </c>
      <c r="I34" s="65">
        <f t="shared" si="23"/>
        <v>6278.2956058588552</v>
      </c>
      <c r="J34" s="65">
        <f t="shared" si="23"/>
        <v>7127.8688524590161</v>
      </c>
      <c r="K34" s="65">
        <f t="shared" si="23"/>
        <v>8318.2406209573091</v>
      </c>
      <c r="L34" s="65">
        <f t="shared" si="23"/>
        <v>9642.629227823867</v>
      </c>
      <c r="M34" s="65">
        <f t="shared" si="23"/>
        <v>11522.425773847126</v>
      </c>
      <c r="N34" s="65">
        <f t="shared" si="23"/>
        <v>13202.247191011234</v>
      </c>
      <c r="O34" s="65">
        <f t="shared" si="23"/>
        <v>14780.999383096854</v>
      </c>
      <c r="P34" s="65">
        <f t="shared" si="23"/>
        <v>16155.245603395999</v>
      </c>
      <c r="Q34" s="65">
        <f t="shared" si="23"/>
        <v>17388.724035608306</v>
      </c>
      <c r="R34" s="65">
        <f t="shared" si="23"/>
        <v>18248.847926267281</v>
      </c>
      <c r="S34" s="65">
        <f t="shared" si="23"/>
        <v>18786.867000556482</v>
      </c>
      <c r="T34" s="65">
        <f t="shared" si="23"/>
        <v>18579.03139968068</v>
      </c>
      <c r="U34" s="65">
        <f t="shared" si="23"/>
        <v>18160.687215765538</v>
      </c>
      <c r="V34" s="65">
        <f t="shared" si="23"/>
        <v>17884.615384615387</v>
      </c>
      <c r="W34" s="65">
        <f t="shared" si="23"/>
        <v>17668.655346489213</v>
      </c>
      <c r="X34" s="65">
        <f t="shared" si="23"/>
        <v>18033.435987681478</v>
      </c>
      <c r="Y34" s="65">
        <f t="shared" si="23"/>
        <v>18525.667351129363</v>
      </c>
      <c r="Z34" s="65">
        <f t="shared" si="23"/>
        <v>18142.910308894679</v>
      </c>
      <c r="AA34" s="65">
        <f t="shared" si="23"/>
        <v>18695.198329853862</v>
      </c>
      <c r="AB34" s="65">
        <f t="shared" si="23"/>
        <v>19493.835171966257</v>
      </c>
      <c r="AC34" s="65">
        <f t="shared" si="23"/>
        <v>21158.406810580724</v>
      </c>
      <c r="AD34" s="65">
        <f t="shared" si="23"/>
        <v>22042.194092827005</v>
      </c>
      <c r="AE34" s="65">
        <f t="shared" si="23"/>
        <v>22631.30659767141</v>
      </c>
      <c r="AF34" s="65">
        <f t="shared" si="23"/>
        <v>22756.833176248823</v>
      </c>
      <c r="AG34" s="65">
        <f t="shared" si="23"/>
        <v>23465.521039876625</v>
      </c>
      <c r="AH34" s="65">
        <f t="shared" si="23"/>
        <v>25079.164027865736</v>
      </c>
      <c r="AI34" s="65">
        <f t="shared" si="23"/>
        <v>27169.349908294273</v>
      </c>
      <c r="AJ34" s="65">
        <f t="shared" ref="AJ34:BO34" si="24">AJ7/AJ$28</f>
        <v>29083.021100374681</v>
      </c>
      <c r="AK34" s="65">
        <f t="shared" si="24"/>
        <v>33083.895853423339</v>
      </c>
      <c r="AL34" s="65">
        <f t="shared" si="24"/>
        <v>34863.233352197698</v>
      </c>
      <c r="AM34" s="65">
        <f t="shared" si="24"/>
        <v>36153.846153846156</v>
      </c>
      <c r="AN34" s="65">
        <f t="shared" si="24"/>
        <v>38445.732349841936</v>
      </c>
      <c r="AO34" s="65">
        <f t="shared" si="24"/>
        <v>39018.976618095563</v>
      </c>
      <c r="AP34" s="65">
        <f t="shared" si="24"/>
        <v>44397.186324227063</v>
      </c>
      <c r="AQ34" s="65">
        <f t="shared" si="24"/>
        <v>44053.622725821893</v>
      </c>
      <c r="AR34" s="65">
        <f t="shared" si="24"/>
        <v>44819.897084048025</v>
      </c>
      <c r="AS34" s="65">
        <f t="shared" si="24"/>
        <v>45247.978025331911</v>
      </c>
      <c r="AT34" s="65">
        <f t="shared" si="24"/>
        <v>44246.861924686193</v>
      </c>
      <c r="AU34" s="65">
        <f t="shared" si="24"/>
        <v>48106.48283954239</v>
      </c>
      <c r="AV34" s="65">
        <f t="shared" si="24"/>
        <v>52913.964548205797</v>
      </c>
      <c r="AW34" s="65">
        <f t="shared" si="24"/>
        <v>49590.093936806152</v>
      </c>
      <c r="AX34" s="65">
        <f t="shared" si="24"/>
        <v>53819.766624490367</v>
      </c>
      <c r="AY34" s="65">
        <f t="shared" si="24"/>
        <v>57888.720561906077</v>
      </c>
      <c r="AZ34" s="65">
        <f t="shared" si="24"/>
        <v>62986.419255075969</v>
      </c>
      <c r="BA34" s="65">
        <f t="shared" si="24"/>
        <v>67234.577707175005</v>
      </c>
      <c r="BB34" s="65">
        <f t="shared" si="24"/>
        <v>71207.949084296662</v>
      </c>
      <c r="BC34" s="65">
        <f t="shared" si="24"/>
        <v>71483.453784709025</v>
      </c>
      <c r="BD34" s="65">
        <f t="shared" si="24"/>
        <v>73709.856035437435</v>
      </c>
      <c r="BE34" s="65">
        <f t="shared" si="24"/>
        <v>73371.469431533784</v>
      </c>
      <c r="BF34" s="65">
        <f t="shared" si="24"/>
        <v>74925.771282765025</v>
      </c>
      <c r="BG34" s="65">
        <f t="shared" si="24"/>
        <v>77874.105215316435</v>
      </c>
      <c r="BH34" s="65">
        <f t="shared" si="24"/>
        <v>81721.966033067147</v>
      </c>
      <c r="BI34" s="65">
        <f t="shared" si="24"/>
        <v>84642.060660124887</v>
      </c>
      <c r="BJ34" s="65">
        <f t="shared" si="24"/>
        <v>79819.632706602541</v>
      </c>
      <c r="BK34" s="65">
        <f t="shared" si="24"/>
        <v>78682.628301481644</v>
      </c>
      <c r="BL34" s="65">
        <f t="shared" si="24"/>
        <v>82764.947801328686</v>
      </c>
      <c r="BM34" s="65">
        <f t="shared" si="24"/>
        <v>84977.216238608118</v>
      </c>
      <c r="BN34" s="65">
        <f t="shared" si="24"/>
        <v>86539.565395653961</v>
      </c>
      <c r="BO34" s="65">
        <f t="shared" si="24"/>
        <v>88970.917225950776</v>
      </c>
      <c r="BP34" s="65">
        <f t="shared" ref="BP34:BV34" si="25">BP7/BP$28</f>
        <v>90118</v>
      </c>
      <c r="BQ34" s="65">
        <f t="shared" si="25"/>
        <v>95678.927802778315</v>
      </c>
      <c r="BR34" s="65">
        <f t="shared" si="25"/>
        <v>100739.60234367497</v>
      </c>
      <c r="BS34" s="65">
        <f t="shared" si="25"/>
        <v>105847.16032995164</v>
      </c>
      <c r="BT34" s="65">
        <f t="shared" si="25"/>
        <v>108729.60586617782</v>
      </c>
      <c r="BU34" s="65">
        <f t="shared" si="25"/>
        <v>111583.99725863103</v>
      </c>
      <c r="BV34" s="65">
        <f t="shared" si="25"/>
        <v>113181.78094535923</v>
      </c>
    </row>
    <row r="35" spans="1:74" s="63" customFormat="1" x14ac:dyDescent="0.25">
      <c r="A35" s="63" t="s">
        <v>249</v>
      </c>
      <c r="B35" s="63" t="s">
        <v>90</v>
      </c>
      <c r="C35" s="64" t="s">
        <v>316</v>
      </c>
      <c r="D35" s="65">
        <f t="shared" ref="D35:AI35" si="26">D8/D$28</f>
        <v>1971.7261904761906</v>
      </c>
      <c r="E35" s="65">
        <f t="shared" si="26"/>
        <v>2139.705882352941</v>
      </c>
      <c r="F35" s="65">
        <f t="shared" si="26"/>
        <v>2321.1678832116786</v>
      </c>
      <c r="G35" s="65">
        <f t="shared" si="26"/>
        <v>2790.0355871886118</v>
      </c>
      <c r="H35" s="65">
        <f t="shared" si="26"/>
        <v>3093.2784636488336</v>
      </c>
      <c r="I35" s="65">
        <f t="shared" si="26"/>
        <v>3575.2330226364847</v>
      </c>
      <c r="J35" s="65">
        <f t="shared" si="26"/>
        <v>4360.6557377049185</v>
      </c>
      <c r="K35" s="65">
        <f t="shared" si="26"/>
        <v>5135.8344113842177</v>
      </c>
      <c r="L35" s="65">
        <f t="shared" si="26"/>
        <v>6202.9355456285894</v>
      </c>
      <c r="M35" s="65">
        <f t="shared" si="26"/>
        <v>7694.2514213518634</v>
      </c>
      <c r="N35" s="65">
        <f t="shared" si="26"/>
        <v>9026.2172284644184</v>
      </c>
      <c r="O35" s="65">
        <f t="shared" si="26"/>
        <v>10444.170265268353</v>
      </c>
      <c r="P35" s="65">
        <f t="shared" si="26"/>
        <v>11522.134627046695</v>
      </c>
      <c r="Q35" s="65">
        <f t="shared" si="26"/>
        <v>12314.54005934718</v>
      </c>
      <c r="R35" s="65">
        <f t="shared" si="26"/>
        <v>13133.640552995392</v>
      </c>
      <c r="S35" s="65">
        <f t="shared" si="26"/>
        <v>13350.027824151364</v>
      </c>
      <c r="T35" s="65">
        <f t="shared" si="26"/>
        <v>13076.104310803617</v>
      </c>
      <c r="U35" s="65">
        <f t="shared" si="26"/>
        <v>12637.695805962609</v>
      </c>
      <c r="V35" s="65">
        <f t="shared" si="26"/>
        <v>12302.884615384615</v>
      </c>
      <c r="W35" s="65">
        <f t="shared" si="26"/>
        <v>12189.07755851308</v>
      </c>
      <c r="X35" s="65">
        <f t="shared" si="26"/>
        <v>12525.296964364275</v>
      </c>
      <c r="Y35" s="65">
        <f t="shared" si="26"/>
        <v>12919.917864476387</v>
      </c>
      <c r="Z35" s="65">
        <f t="shared" si="26"/>
        <v>12709.341272794938</v>
      </c>
      <c r="AA35" s="65">
        <f t="shared" si="26"/>
        <v>13197.633959638135</v>
      </c>
      <c r="AB35" s="65">
        <f t="shared" si="26"/>
        <v>13741.07722258274</v>
      </c>
      <c r="AC35" s="65">
        <f t="shared" si="26"/>
        <v>15050.167224080267</v>
      </c>
      <c r="AD35" s="65">
        <f t="shared" si="26"/>
        <v>15634.317862165964</v>
      </c>
      <c r="AE35" s="65">
        <f t="shared" si="26"/>
        <v>15904.269081500646</v>
      </c>
      <c r="AF35" s="65">
        <f t="shared" si="26"/>
        <v>15530.160226201697</v>
      </c>
      <c r="AG35" s="65">
        <f t="shared" si="26"/>
        <v>15688.47763824631</v>
      </c>
      <c r="AH35" s="65">
        <f t="shared" si="26"/>
        <v>16578.002955457039</v>
      </c>
      <c r="AI35" s="65">
        <f t="shared" si="26"/>
        <v>17629.916445893621</v>
      </c>
      <c r="AJ35" s="65">
        <f t="shared" ref="AJ35:BO35" si="27">AJ8/AJ$28</f>
        <v>18550.581739301913</v>
      </c>
      <c r="AK35" s="65">
        <f t="shared" si="27"/>
        <v>19710.703953712633</v>
      </c>
      <c r="AL35" s="65">
        <f t="shared" si="27"/>
        <v>20920.581022448594</v>
      </c>
      <c r="AM35" s="65">
        <f t="shared" si="27"/>
        <v>22103.051342956333</v>
      </c>
      <c r="AN35" s="65">
        <f t="shared" si="27"/>
        <v>23519.494204425711</v>
      </c>
      <c r="AO35" s="65">
        <f t="shared" si="27"/>
        <v>23817.350050830228</v>
      </c>
      <c r="AP35" s="65">
        <f t="shared" si="27"/>
        <v>25000.817929003766</v>
      </c>
      <c r="AQ35" s="65">
        <f t="shared" si="27"/>
        <v>25071.816150654322</v>
      </c>
      <c r="AR35" s="65">
        <f t="shared" si="27"/>
        <v>25571.495399968815</v>
      </c>
      <c r="AS35" s="65">
        <f t="shared" si="27"/>
        <v>25591.332214253012</v>
      </c>
      <c r="AT35" s="65">
        <f t="shared" si="27"/>
        <v>25388.523610280932</v>
      </c>
      <c r="AU35" s="65">
        <f t="shared" si="27"/>
        <v>26493.106482839543</v>
      </c>
      <c r="AV35" s="65">
        <f t="shared" si="27"/>
        <v>27747.514051015998</v>
      </c>
      <c r="AW35" s="65">
        <f t="shared" si="27"/>
        <v>29138.912610304582</v>
      </c>
      <c r="AX35" s="65">
        <f t="shared" si="27"/>
        <v>31441.023478138617</v>
      </c>
      <c r="AY35" s="65">
        <f t="shared" si="27"/>
        <v>33459.578570444843</v>
      </c>
      <c r="AZ35" s="65">
        <f t="shared" si="27"/>
        <v>36038.725292456635</v>
      </c>
      <c r="BA35" s="65">
        <f t="shared" si="27"/>
        <v>39900.714853057987</v>
      </c>
      <c r="BB35" s="65">
        <f t="shared" si="27"/>
        <v>42718.534874659046</v>
      </c>
      <c r="BC35" s="65">
        <f t="shared" si="27"/>
        <v>43285.152783060737</v>
      </c>
      <c r="BD35" s="65">
        <f t="shared" si="27"/>
        <v>43762.766088347482</v>
      </c>
      <c r="BE35" s="65">
        <f t="shared" si="27"/>
        <v>43348.826123227271</v>
      </c>
      <c r="BF35" s="65">
        <f t="shared" si="27"/>
        <v>41861.517049408489</v>
      </c>
      <c r="BG35" s="65">
        <f t="shared" si="27"/>
        <v>40808.998977388932</v>
      </c>
      <c r="BH35" s="65">
        <f t="shared" si="27"/>
        <v>42348.44224496682</v>
      </c>
      <c r="BI35" s="65">
        <f t="shared" si="27"/>
        <v>44442.46208742194</v>
      </c>
      <c r="BJ35" s="65">
        <f t="shared" si="27"/>
        <v>42592.916484477486</v>
      </c>
      <c r="BK35" s="65">
        <f t="shared" si="27"/>
        <v>40695.726862787204</v>
      </c>
      <c r="BL35" s="65">
        <f t="shared" si="27"/>
        <v>37954.2338922282</v>
      </c>
      <c r="BM35" s="65">
        <f t="shared" si="27"/>
        <v>38078.914664457334</v>
      </c>
      <c r="BN35" s="65">
        <f t="shared" si="27"/>
        <v>38171.381713817136</v>
      </c>
      <c r="BO35" s="65">
        <f t="shared" si="27"/>
        <v>39538.336383973969</v>
      </c>
      <c r="BP35" s="65">
        <f t="shared" ref="BP35:BV35" si="28">BP8/BP$28</f>
        <v>39278</v>
      </c>
      <c r="BQ35" s="65">
        <f t="shared" si="28"/>
        <v>41436.118176482094</v>
      </c>
      <c r="BR35" s="65">
        <f t="shared" si="28"/>
        <v>42725.002401306316</v>
      </c>
      <c r="BS35" s="65">
        <f t="shared" si="28"/>
        <v>43568.787332890868</v>
      </c>
      <c r="BT35" s="65">
        <f t="shared" si="28"/>
        <v>43431.714023831351</v>
      </c>
      <c r="BU35" s="65">
        <f t="shared" si="28"/>
        <v>45289.128758673862</v>
      </c>
      <c r="BV35" s="65">
        <f t="shared" si="28"/>
        <v>45873.679036618334</v>
      </c>
    </row>
    <row r="36" spans="1:74" s="63" customFormat="1" x14ac:dyDescent="0.25">
      <c r="A36" s="63" t="s">
        <v>249</v>
      </c>
      <c r="B36" s="63" t="s">
        <v>90</v>
      </c>
      <c r="C36" s="64" t="s">
        <v>317</v>
      </c>
      <c r="D36" s="65">
        <f t="shared" ref="D36:AI36" si="29">D9/D$28</f>
        <v>1145.8333333333335</v>
      </c>
      <c r="E36" s="65">
        <f t="shared" si="29"/>
        <v>1242.6470588235293</v>
      </c>
      <c r="F36" s="65">
        <f t="shared" si="29"/>
        <v>1401.4598540145985</v>
      </c>
      <c r="G36" s="65">
        <f t="shared" si="29"/>
        <v>1786.4768683274019</v>
      </c>
      <c r="H36" s="65">
        <f t="shared" si="29"/>
        <v>1838.1344307270231</v>
      </c>
      <c r="I36" s="65">
        <f t="shared" si="29"/>
        <v>1944.0745672436751</v>
      </c>
      <c r="J36" s="65">
        <f t="shared" si="29"/>
        <v>1901.639344262295</v>
      </c>
      <c r="K36" s="65">
        <f t="shared" si="29"/>
        <v>2218.6287192755499</v>
      </c>
      <c r="L36" s="65">
        <f t="shared" si="29"/>
        <v>2303.7651563497129</v>
      </c>
      <c r="M36" s="65">
        <f t="shared" si="29"/>
        <v>2488.9450410612762</v>
      </c>
      <c r="N36" s="65">
        <f t="shared" si="29"/>
        <v>2652.9338327091136</v>
      </c>
      <c r="O36" s="65">
        <f t="shared" si="29"/>
        <v>2677.3596545342384</v>
      </c>
      <c r="P36" s="65">
        <f t="shared" si="29"/>
        <v>2801.6979987871437</v>
      </c>
      <c r="Q36" s="65">
        <f t="shared" si="29"/>
        <v>3038.5756676557862</v>
      </c>
      <c r="R36" s="65">
        <f t="shared" si="29"/>
        <v>2851.3824884792625</v>
      </c>
      <c r="S36" s="65">
        <f t="shared" si="29"/>
        <v>2988.3138564273791</v>
      </c>
      <c r="T36" s="65">
        <f t="shared" si="29"/>
        <v>2879.1910590739753</v>
      </c>
      <c r="U36" s="65">
        <f t="shared" si="29"/>
        <v>2683.1733198585143</v>
      </c>
      <c r="V36" s="65">
        <f t="shared" si="29"/>
        <v>2649.0384615384614</v>
      </c>
      <c r="W36" s="65">
        <f t="shared" si="29"/>
        <v>2592.9325378614044</v>
      </c>
      <c r="X36" s="65">
        <f t="shared" si="29"/>
        <v>2670.4795424549052</v>
      </c>
      <c r="Y36" s="65">
        <f t="shared" si="29"/>
        <v>2694.0451745379878</v>
      </c>
      <c r="Z36" s="65">
        <f t="shared" si="29"/>
        <v>2620.0223297357647</v>
      </c>
      <c r="AA36" s="65">
        <f t="shared" si="29"/>
        <v>2693.1106471816283</v>
      </c>
      <c r="AB36" s="65">
        <f t="shared" si="29"/>
        <v>2796.8851395197926</v>
      </c>
      <c r="AC36" s="65">
        <f t="shared" si="29"/>
        <v>2949.2246883551229</v>
      </c>
      <c r="AD36" s="65">
        <f t="shared" si="29"/>
        <v>3113.9240506329115</v>
      </c>
      <c r="AE36" s="65">
        <f t="shared" si="29"/>
        <v>3327.2962483829237</v>
      </c>
      <c r="AF36" s="65">
        <f t="shared" si="29"/>
        <v>3770.0282752120643</v>
      </c>
      <c r="AG36" s="65">
        <f t="shared" si="29"/>
        <v>4084.6001321877061</v>
      </c>
      <c r="AH36" s="65">
        <f t="shared" si="29"/>
        <v>4530.2934346632892</v>
      </c>
      <c r="AI36" s="65">
        <f t="shared" si="29"/>
        <v>5265.9466068881184</v>
      </c>
      <c r="AJ36" s="65">
        <f t="shared" ref="AJ36:BO36" si="30">AJ9/AJ$28</f>
        <v>5748.3731019522775</v>
      </c>
      <c r="AK36" s="65">
        <f t="shared" si="30"/>
        <v>7965.2844744455169</v>
      </c>
      <c r="AL36" s="65">
        <f t="shared" si="30"/>
        <v>8077.7211846821356</v>
      </c>
      <c r="AM36" s="65">
        <f t="shared" si="30"/>
        <v>7811.0725379133928</v>
      </c>
      <c r="AN36" s="65">
        <f t="shared" si="30"/>
        <v>8240.2528977871443</v>
      </c>
      <c r="AO36" s="65">
        <f t="shared" si="30"/>
        <v>7980.3456455438845</v>
      </c>
      <c r="AP36" s="65">
        <f t="shared" si="30"/>
        <v>11707.835759856045</v>
      </c>
      <c r="AQ36" s="65">
        <f t="shared" si="30"/>
        <v>11051.707628471113</v>
      </c>
      <c r="AR36" s="65">
        <f t="shared" si="30"/>
        <v>11127.397473881179</v>
      </c>
      <c r="AS36" s="65">
        <f t="shared" si="30"/>
        <v>11175.034335418892</v>
      </c>
      <c r="AT36" s="65">
        <f t="shared" si="30"/>
        <v>10034.369396294082</v>
      </c>
      <c r="AU36" s="65">
        <f t="shared" si="30"/>
        <v>12186.858316221767</v>
      </c>
      <c r="AV36" s="65">
        <f t="shared" si="30"/>
        <v>14953.163280011529</v>
      </c>
      <c r="AW36" s="65">
        <f t="shared" si="30"/>
        <v>9402.2203245089659</v>
      </c>
      <c r="AX36" s="65">
        <f t="shared" si="30"/>
        <v>10444.256994235906</v>
      </c>
      <c r="AY36" s="65">
        <f t="shared" si="30"/>
        <v>11202.313730891063</v>
      </c>
      <c r="AZ36" s="65">
        <f t="shared" si="30"/>
        <v>12639.505176818609</v>
      </c>
      <c r="BA36" s="65">
        <f t="shared" si="30"/>
        <v>11556.791104050835</v>
      </c>
      <c r="BB36" s="65">
        <f t="shared" si="30"/>
        <v>11692.427587998442</v>
      </c>
      <c r="BC36" s="65">
        <f t="shared" si="30"/>
        <v>11248.890579434514</v>
      </c>
      <c r="BD36" s="65">
        <f t="shared" si="30"/>
        <v>12093.023255813954</v>
      </c>
      <c r="BE36" s="65">
        <f t="shared" si="30"/>
        <v>11235.847932308427</v>
      </c>
      <c r="BF36" s="65">
        <f t="shared" si="30"/>
        <v>12988.865692414753</v>
      </c>
      <c r="BG36" s="65">
        <f t="shared" si="30"/>
        <v>15659.584138166118</v>
      </c>
      <c r="BH36" s="65">
        <f t="shared" si="30"/>
        <v>18144.190754695759</v>
      </c>
      <c r="BI36" s="65">
        <f t="shared" si="30"/>
        <v>19420.160570918822</v>
      </c>
      <c r="BJ36" s="65">
        <f t="shared" si="30"/>
        <v>16241.801486663753</v>
      </c>
      <c r="BK36" s="65">
        <f t="shared" si="30"/>
        <v>16381.790852480137</v>
      </c>
      <c r="BL36" s="65">
        <f t="shared" si="30"/>
        <v>22140.672782874615</v>
      </c>
      <c r="BM36" s="65">
        <f t="shared" si="30"/>
        <v>23519.055509527756</v>
      </c>
      <c r="BN36" s="65">
        <f t="shared" si="30"/>
        <v>23140.631406314063</v>
      </c>
      <c r="BO36" s="65">
        <f t="shared" si="30"/>
        <v>26375.838926174496</v>
      </c>
      <c r="BP36" s="65">
        <f t="shared" ref="BP36:BV36" si="31">BP9/BP$28</f>
        <v>26874</v>
      </c>
      <c r="BQ36" s="65">
        <f t="shared" si="31"/>
        <v>29358.246918411271</v>
      </c>
      <c r="BR36" s="65">
        <f t="shared" si="31"/>
        <v>32422.437806166556</v>
      </c>
      <c r="BS36" s="65">
        <f t="shared" si="31"/>
        <v>35561.77111974969</v>
      </c>
      <c r="BT36" s="65">
        <f t="shared" si="31"/>
        <v>38525.206232813936</v>
      </c>
      <c r="BU36" s="65">
        <f t="shared" si="31"/>
        <v>38462.263342756793</v>
      </c>
      <c r="BV36" s="65">
        <f t="shared" si="31"/>
        <v>38889.981158351766</v>
      </c>
    </row>
    <row r="37" spans="1:74" s="63" customFormat="1" x14ac:dyDescent="0.25">
      <c r="A37" s="63" t="s">
        <v>249</v>
      </c>
      <c r="B37" s="63" t="s">
        <v>90</v>
      </c>
      <c r="C37" s="64" t="s">
        <v>318</v>
      </c>
      <c r="D37" s="65">
        <f t="shared" ref="D37:AI37" si="32">D10/D$28</f>
        <v>44.642857142857146</v>
      </c>
      <c r="E37" s="65">
        <f t="shared" si="32"/>
        <v>58.823529411764703</v>
      </c>
      <c r="F37" s="65">
        <f t="shared" si="32"/>
        <v>87.591240875912405</v>
      </c>
      <c r="G37" s="65">
        <f t="shared" si="32"/>
        <v>106.76156583629893</v>
      </c>
      <c r="H37" s="65">
        <f t="shared" si="32"/>
        <v>137.1742112482853</v>
      </c>
      <c r="I37" s="65">
        <f t="shared" si="32"/>
        <v>159.78695073235687</v>
      </c>
      <c r="J37" s="65">
        <f t="shared" si="32"/>
        <v>183.60655737704917</v>
      </c>
      <c r="K37" s="65">
        <f t="shared" si="32"/>
        <v>213.45407503234154</v>
      </c>
      <c r="L37" s="65">
        <f t="shared" si="32"/>
        <v>255.26483726866624</v>
      </c>
      <c r="M37" s="65">
        <f t="shared" si="32"/>
        <v>303.22173089071384</v>
      </c>
      <c r="N37" s="65">
        <f t="shared" si="32"/>
        <v>362.04744069912607</v>
      </c>
      <c r="O37" s="65">
        <f t="shared" si="32"/>
        <v>431.83220234423197</v>
      </c>
      <c r="P37" s="65">
        <f t="shared" si="32"/>
        <v>521.52819890842943</v>
      </c>
      <c r="Q37" s="65">
        <f t="shared" si="32"/>
        <v>629.080118694362</v>
      </c>
      <c r="R37" s="65">
        <f t="shared" si="32"/>
        <v>783.41013824884794</v>
      </c>
      <c r="S37" s="65">
        <f t="shared" si="32"/>
        <v>868.11352253756263</v>
      </c>
      <c r="T37" s="65">
        <f t="shared" si="32"/>
        <v>910.05854177754122</v>
      </c>
      <c r="U37" s="65">
        <f t="shared" si="32"/>
        <v>990.39919151086406</v>
      </c>
      <c r="V37" s="65">
        <f t="shared" si="32"/>
        <v>1028.8461538461538</v>
      </c>
      <c r="W37" s="65">
        <f t="shared" si="32"/>
        <v>991.28040385497934</v>
      </c>
      <c r="X37" s="65">
        <f t="shared" si="32"/>
        <v>981.08227012758471</v>
      </c>
      <c r="Y37" s="65">
        <f t="shared" si="32"/>
        <v>1026.6940451745379</v>
      </c>
      <c r="Z37" s="65">
        <f t="shared" si="32"/>
        <v>982.50837365091184</v>
      </c>
      <c r="AA37" s="65">
        <f t="shared" si="32"/>
        <v>984.69032707028532</v>
      </c>
      <c r="AB37" s="65">
        <f t="shared" si="32"/>
        <v>1083.7118754055809</v>
      </c>
      <c r="AC37" s="65">
        <f t="shared" si="32"/>
        <v>1210.0942535725144</v>
      </c>
      <c r="AD37" s="65">
        <f t="shared" si="32"/>
        <v>1310.8298171589311</v>
      </c>
      <c r="AE37" s="65">
        <f t="shared" si="32"/>
        <v>1407.5032341526519</v>
      </c>
      <c r="AF37" s="65">
        <f t="shared" si="32"/>
        <v>1449.1046182846371</v>
      </c>
      <c r="AG37" s="65">
        <f t="shared" si="32"/>
        <v>1577.4399647499449</v>
      </c>
      <c r="AH37" s="65">
        <f t="shared" si="32"/>
        <v>1722.6092463584546</v>
      </c>
      <c r="AI37" s="65">
        <f t="shared" si="32"/>
        <v>1864.6831057672712</v>
      </c>
      <c r="AJ37" s="65">
        <f t="shared" ref="AJ37:BO37" si="33">AJ10/AJ$28</f>
        <v>2119.8974561230525</v>
      </c>
      <c r="AK37" s="65">
        <f t="shared" si="33"/>
        <v>2433.9440694310515</v>
      </c>
      <c r="AL37" s="65">
        <f t="shared" si="33"/>
        <v>2639.124693454065</v>
      </c>
      <c r="AM37" s="65">
        <f t="shared" si="33"/>
        <v>2795.5417504111092</v>
      </c>
      <c r="AN37" s="65">
        <f t="shared" si="33"/>
        <v>3010.1861608710924</v>
      </c>
      <c r="AO37" s="65">
        <f t="shared" si="33"/>
        <v>3268.3835987800749</v>
      </c>
      <c r="AP37" s="65">
        <f t="shared" si="33"/>
        <v>3479.4699820055621</v>
      </c>
      <c r="AQ37" s="65">
        <f t="shared" si="33"/>
        <v>3515.799553143951</v>
      </c>
      <c r="AR37" s="65">
        <f t="shared" si="33"/>
        <v>3536.5663496023703</v>
      </c>
      <c r="AS37" s="65">
        <f t="shared" si="33"/>
        <v>3671.6007935296811</v>
      </c>
      <c r="AT37" s="65">
        <f t="shared" si="33"/>
        <v>3752.2414823670051</v>
      </c>
      <c r="AU37" s="65">
        <f t="shared" si="33"/>
        <v>4018.7738339689063</v>
      </c>
      <c r="AV37" s="65">
        <f t="shared" si="33"/>
        <v>4539.5590142671854</v>
      </c>
      <c r="AW37" s="65">
        <f t="shared" si="33"/>
        <v>4974.3808710503845</v>
      </c>
      <c r="AX37" s="65">
        <f t="shared" si="33"/>
        <v>5409.8130184169822</v>
      </c>
      <c r="AY37" s="65">
        <f t="shared" si="33"/>
        <v>5941.330395262361</v>
      </c>
      <c r="AZ37" s="65">
        <f t="shared" si="33"/>
        <v>6399.0856528169961</v>
      </c>
      <c r="BA37" s="65">
        <f t="shared" si="33"/>
        <v>7030.7122054540641</v>
      </c>
      <c r="BB37" s="65">
        <f t="shared" si="33"/>
        <v>7393.1679438888168</v>
      </c>
      <c r="BC37" s="65">
        <f t="shared" si="33"/>
        <v>7563.0784835805762</v>
      </c>
      <c r="BD37" s="65">
        <f t="shared" si="33"/>
        <v>8081.7029654238959</v>
      </c>
      <c r="BE37" s="65">
        <f t="shared" si="33"/>
        <v>8685.4963651531416</v>
      </c>
      <c r="BF37" s="65">
        <f t="shared" si="33"/>
        <v>9199.7216423103691</v>
      </c>
      <c r="BG37" s="65">
        <f t="shared" si="33"/>
        <v>9620.4976707192363</v>
      </c>
      <c r="BH37" s="65">
        <f t="shared" si="33"/>
        <v>9221.6848498481613</v>
      </c>
      <c r="BI37" s="65">
        <f t="shared" si="33"/>
        <v>8789.0276538804628</v>
      </c>
      <c r="BJ37" s="65">
        <f t="shared" si="33"/>
        <v>9125.4919108001759</v>
      </c>
      <c r="BK37" s="65">
        <f t="shared" si="33"/>
        <v>9751.9862572471557</v>
      </c>
      <c r="BL37" s="65">
        <f t="shared" si="33"/>
        <v>10297.374248655489</v>
      </c>
      <c r="BM37" s="65">
        <f t="shared" si="33"/>
        <v>10577.87903893952</v>
      </c>
      <c r="BN37" s="65">
        <f t="shared" si="33"/>
        <v>11259.737597375974</v>
      </c>
      <c r="BO37" s="65">
        <f t="shared" si="33"/>
        <v>11801.911734797641</v>
      </c>
      <c r="BP37" s="65">
        <f t="shared" ref="BP37:BV37" si="34">BP10/BP$28</f>
        <v>12278</v>
      </c>
      <c r="BQ37" s="65">
        <f t="shared" si="34"/>
        <v>12718.64605752299</v>
      </c>
      <c r="BR37" s="65">
        <f t="shared" si="34"/>
        <v>13089.040437998272</v>
      </c>
      <c r="BS37" s="65">
        <f t="shared" si="34"/>
        <v>13331.753105148384</v>
      </c>
      <c r="BT37" s="65">
        <f t="shared" si="34"/>
        <v>13615.948670944088</v>
      </c>
      <c r="BU37" s="65">
        <f t="shared" si="34"/>
        <v>14228.56163796796</v>
      </c>
      <c r="BV37" s="65">
        <f t="shared" si="34"/>
        <v>14919.30859343</v>
      </c>
    </row>
    <row r="38" spans="1:74" s="63" customFormat="1" x14ac:dyDescent="0.25">
      <c r="A38" s="63" t="s">
        <v>249</v>
      </c>
      <c r="B38" s="63" t="s">
        <v>90</v>
      </c>
      <c r="C38" s="64" t="s">
        <v>237</v>
      </c>
      <c r="D38" s="65">
        <f t="shared" ref="D38:AI38" si="35">D11/D$28</f>
        <v>260.41666666666669</v>
      </c>
      <c r="E38" s="65">
        <f t="shared" si="35"/>
        <v>301.47058823529409</v>
      </c>
      <c r="F38" s="65">
        <f t="shared" si="35"/>
        <v>357.66423357664229</v>
      </c>
      <c r="G38" s="65">
        <f t="shared" si="35"/>
        <v>427.04626334519571</v>
      </c>
      <c r="H38" s="65">
        <f t="shared" si="35"/>
        <v>514.4032921810699</v>
      </c>
      <c r="I38" s="65">
        <f t="shared" si="35"/>
        <v>599.2010652463382</v>
      </c>
      <c r="J38" s="65">
        <f t="shared" si="35"/>
        <v>681.96721311475414</v>
      </c>
      <c r="K38" s="65">
        <f t="shared" si="35"/>
        <v>750.32341526520054</v>
      </c>
      <c r="L38" s="65">
        <f t="shared" si="35"/>
        <v>887.04530950861511</v>
      </c>
      <c r="M38" s="65">
        <f t="shared" si="35"/>
        <v>1042.3246999368289</v>
      </c>
      <c r="N38" s="65">
        <f t="shared" si="35"/>
        <v>1173.5330836454432</v>
      </c>
      <c r="O38" s="65">
        <f t="shared" si="35"/>
        <v>1227.6372609500308</v>
      </c>
      <c r="P38" s="65">
        <f t="shared" si="35"/>
        <v>1309.8847786537297</v>
      </c>
      <c r="Q38" s="65">
        <f t="shared" si="35"/>
        <v>1406.5281899109791</v>
      </c>
      <c r="R38" s="65">
        <f t="shared" si="35"/>
        <v>1486.1751152073732</v>
      </c>
      <c r="S38" s="65">
        <f t="shared" si="35"/>
        <v>1585.9766277128547</v>
      </c>
      <c r="T38" s="65">
        <f t="shared" si="35"/>
        <v>1718.9994678020223</v>
      </c>
      <c r="U38" s="65">
        <f t="shared" si="35"/>
        <v>1849.4188984335524</v>
      </c>
      <c r="V38" s="65">
        <f t="shared" si="35"/>
        <v>1913.4615384615386</v>
      </c>
      <c r="W38" s="65">
        <f t="shared" si="35"/>
        <v>1895.3648462597521</v>
      </c>
      <c r="X38" s="65">
        <f t="shared" si="35"/>
        <v>1860.9766827980643</v>
      </c>
      <c r="Y38" s="65">
        <f t="shared" si="35"/>
        <v>1880.9034907597536</v>
      </c>
      <c r="Z38" s="65">
        <f t="shared" si="35"/>
        <v>1831.038332713063</v>
      </c>
      <c r="AA38" s="65">
        <f t="shared" si="35"/>
        <v>1819.7633959638135</v>
      </c>
      <c r="AB38" s="65">
        <f t="shared" si="35"/>
        <v>1875.4055807916939</v>
      </c>
      <c r="AC38" s="65">
        <f t="shared" si="35"/>
        <v>1945.8802067497718</v>
      </c>
      <c r="AD38" s="65">
        <f t="shared" si="35"/>
        <v>1983.1223628691985</v>
      </c>
      <c r="AE38" s="65">
        <f t="shared" si="35"/>
        <v>1992.2380336351875</v>
      </c>
      <c r="AF38" s="65">
        <f t="shared" si="35"/>
        <v>2002.8275212064091</v>
      </c>
      <c r="AG38" s="65">
        <f t="shared" si="35"/>
        <v>2112.8001762502754</v>
      </c>
      <c r="AH38" s="65">
        <f t="shared" si="35"/>
        <v>2246.1473506438674</v>
      </c>
      <c r="AI38" s="65">
        <f t="shared" si="35"/>
        <v>2408.8037497452619</v>
      </c>
      <c r="AJ38" s="65">
        <f t="shared" ref="AJ38:BO38" si="36">AJ11/AJ$28</f>
        <v>2664.1688029974366</v>
      </c>
      <c r="AK38" s="65">
        <f t="shared" si="36"/>
        <v>2973.963355834137</v>
      </c>
      <c r="AL38" s="65">
        <f t="shared" si="36"/>
        <v>3227.6928881343142</v>
      </c>
      <c r="AM38" s="65">
        <f t="shared" si="36"/>
        <v>3444.1805225653206</v>
      </c>
      <c r="AN38" s="65">
        <f t="shared" si="36"/>
        <v>3675.7990867579906</v>
      </c>
      <c r="AO38" s="65">
        <f t="shared" si="36"/>
        <v>3952.8973229413764</v>
      </c>
      <c r="AP38" s="65">
        <f t="shared" si="36"/>
        <v>4207.4267953541639</v>
      </c>
      <c r="AQ38" s="65">
        <f t="shared" si="36"/>
        <v>4412.7034790935204</v>
      </c>
      <c r="AR38" s="65">
        <f t="shared" si="36"/>
        <v>4582.8785279900203</v>
      </c>
      <c r="AS38" s="65">
        <f t="shared" si="36"/>
        <v>4810.0106821303216</v>
      </c>
      <c r="AT38" s="65">
        <f t="shared" si="36"/>
        <v>5074.7160789001791</v>
      </c>
      <c r="AU38" s="65">
        <f t="shared" si="36"/>
        <v>5409.2109122909951</v>
      </c>
      <c r="AV38" s="65">
        <f t="shared" si="36"/>
        <v>5673.7282029110829</v>
      </c>
      <c r="AW38" s="65">
        <f t="shared" si="36"/>
        <v>6074.580130942215</v>
      </c>
      <c r="AX38" s="65">
        <f t="shared" si="36"/>
        <v>6524.6731336988605</v>
      </c>
      <c r="AY38" s="65">
        <f t="shared" si="36"/>
        <v>7286.8750860762984</v>
      </c>
      <c r="AZ38" s="65">
        <f t="shared" si="36"/>
        <v>7909.1031329837297</v>
      </c>
      <c r="BA38" s="65">
        <f t="shared" si="36"/>
        <v>8745.035742652899</v>
      </c>
      <c r="BB38" s="65">
        <f t="shared" si="36"/>
        <v>9405.1175477334709</v>
      </c>
      <c r="BC38" s="65">
        <f t="shared" si="36"/>
        <v>9385.0640294154946</v>
      </c>
      <c r="BD38" s="65">
        <f t="shared" si="36"/>
        <v>9771.1332595053536</v>
      </c>
      <c r="BE38" s="65">
        <f t="shared" si="36"/>
        <v>10101.299010844954</v>
      </c>
      <c r="BF38" s="65">
        <f t="shared" si="36"/>
        <v>10875.666898631409</v>
      </c>
      <c r="BG38" s="65">
        <f t="shared" si="36"/>
        <v>11785.024429042154</v>
      </c>
      <c r="BH38" s="65">
        <f t="shared" si="36"/>
        <v>12006.523450680463</v>
      </c>
      <c r="BI38" s="65">
        <f t="shared" si="36"/>
        <v>11991.525423728814</v>
      </c>
      <c r="BJ38" s="65">
        <f t="shared" si="36"/>
        <v>11860.515959772629</v>
      </c>
      <c r="BK38" s="65">
        <f t="shared" si="36"/>
        <v>11853.124328967146</v>
      </c>
      <c r="BL38" s="65">
        <f t="shared" si="36"/>
        <v>12372.666877570389</v>
      </c>
      <c r="BM38" s="65">
        <f t="shared" si="36"/>
        <v>12801.367025683512</v>
      </c>
      <c r="BN38" s="65">
        <f t="shared" si="36"/>
        <v>13967.81467814678</v>
      </c>
      <c r="BO38" s="65">
        <f t="shared" si="36"/>
        <v>11254.830181004678</v>
      </c>
      <c r="BP38" s="65">
        <f t="shared" ref="BP38:BV38" si="37">BP11/BP$28</f>
        <v>11688</v>
      </c>
      <c r="BQ38" s="65">
        <f t="shared" si="37"/>
        <v>12165.916650361964</v>
      </c>
      <c r="BR38" s="65">
        <f t="shared" si="37"/>
        <v>12503.121698203824</v>
      </c>
      <c r="BS38" s="65">
        <f t="shared" si="37"/>
        <v>13384.848772162701</v>
      </c>
      <c r="BT38" s="65">
        <f t="shared" si="37"/>
        <v>13156.736938588452</v>
      </c>
      <c r="BU38" s="65">
        <f t="shared" si="37"/>
        <v>13604.043519232417</v>
      </c>
      <c r="BV38" s="65">
        <f t="shared" si="37"/>
        <v>13498.812156959122</v>
      </c>
    </row>
    <row r="39" spans="1:74" s="63" customFormat="1" x14ac:dyDescent="0.25">
      <c r="A39" s="63" t="s">
        <v>250</v>
      </c>
      <c r="B39" s="63" t="s">
        <v>90</v>
      </c>
      <c r="C39" s="64" t="s">
        <v>75</v>
      </c>
      <c r="D39" s="65">
        <f t="shared" ref="D39:AI39" si="38">D12/D$28</f>
        <v>9590.773809523811</v>
      </c>
      <c r="E39" s="65">
        <f t="shared" si="38"/>
        <v>10132.35294117647</v>
      </c>
      <c r="F39" s="65">
        <f t="shared" si="38"/>
        <v>10963.503649635035</v>
      </c>
      <c r="G39" s="65">
        <f t="shared" si="38"/>
        <v>13729.537366548042</v>
      </c>
      <c r="H39" s="65">
        <f t="shared" si="38"/>
        <v>16550.068587105623</v>
      </c>
      <c r="I39" s="65">
        <f t="shared" si="38"/>
        <v>18368.841544607192</v>
      </c>
      <c r="J39" s="65">
        <f t="shared" si="38"/>
        <v>19278.688524590165</v>
      </c>
      <c r="K39" s="65">
        <f t="shared" si="38"/>
        <v>19825.355756791723</v>
      </c>
      <c r="L39" s="65">
        <f t="shared" si="38"/>
        <v>19929.802169751118</v>
      </c>
      <c r="M39" s="65">
        <f t="shared" si="38"/>
        <v>23360.70751737208</v>
      </c>
      <c r="N39" s="65">
        <f t="shared" si="38"/>
        <v>24119.850187265914</v>
      </c>
      <c r="O39" s="65">
        <f t="shared" si="38"/>
        <v>25916.101172115978</v>
      </c>
      <c r="P39" s="65">
        <f t="shared" si="38"/>
        <v>26525.166767738025</v>
      </c>
      <c r="Q39" s="65">
        <f t="shared" si="38"/>
        <v>27614.243323442133</v>
      </c>
      <c r="R39" s="65">
        <f t="shared" si="38"/>
        <v>27926.267281105989</v>
      </c>
      <c r="S39" s="65">
        <f t="shared" si="38"/>
        <v>28586.533110740122</v>
      </c>
      <c r="T39" s="65">
        <f t="shared" si="38"/>
        <v>29026.077700904734</v>
      </c>
      <c r="U39" s="65">
        <f t="shared" si="38"/>
        <v>29065.184436584135</v>
      </c>
      <c r="V39" s="65">
        <f t="shared" si="38"/>
        <v>28043.26923076923</v>
      </c>
      <c r="W39" s="65">
        <f t="shared" si="38"/>
        <v>28210.188159706286</v>
      </c>
      <c r="X39" s="65">
        <f t="shared" si="38"/>
        <v>29278.486581610206</v>
      </c>
      <c r="Y39" s="65">
        <f t="shared" si="38"/>
        <v>30160.16427104723</v>
      </c>
      <c r="Z39" s="65">
        <f t="shared" si="38"/>
        <v>30111.648678823967</v>
      </c>
      <c r="AA39" s="65">
        <f t="shared" si="38"/>
        <v>31231.732776617955</v>
      </c>
      <c r="AB39" s="65">
        <f t="shared" si="38"/>
        <v>31349.772874756654</v>
      </c>
      <c r="AC39" s="65">
        <f t="shared" si="38"/>
        <v>32544.846457889933</v>
      </c>
      <c r="AD39" s="65">
        <f t="shared" si="38"/>
        <v>34028.129395218006</v>
      </c>
      <c r="AE39" s="65">
        <f t="shared" si="38"/>
        <v>35521.345407503235</v>
      </c>
      <c r="AF39" s="65">
        <f t="shared" si="38"/>
        <v>38475.494816211125</v>
      </c>
      <c r="AG39" s="65">
        <f t="shared" si="38"/>
        <v>40136.593963428066</v>
      </c>
      <c r="AH39" s="65">
        <f t="shared" si="38"/>
        <v>42849.905003166561</v>
      </c>
      <c r="AI39" s="65">
        <f t="shared" si="38"/>
        <v>45753.005909924592</v>
      </c>
      <c r="AJ39" s="65">
        <f t="shared" ref="AJ39:BO39" si="39">AJ12/AJ$28</f>
        <v>50090.711891145729</v>
      </c>
      <c r="AK39" s="65">
        <f t="shared" si="39"/>
        <v>52536.162005785925</v>
      </c>
      <c r="AL39" s="65">
        <f t="shared" si="39"/>
        <v>52727.787209960385</v>
      </c>
      <c r="AM39" s="65">
        <f t="shared" si="39"/>
        <v>53952.128631463551</v>
      </c>
      <c r="AN39" s="65">
        <f t="shared" si="39"/>
        <v>56685.985247629083</v>
      </c>
      <c r="AO39" s="65">
        <f t="shared" si="39"/>
        <v>59127.414435784485</v>
      </c>
      <c r="AP39" s="65">
        <f t="shared" si="39"/>
        <v>63194.830688696224</v>
      </c>
      <c r="AQ39" s="65">
        <f t="shared" si="39"/>
        <v>60542.610916054895</v>
      </c>
      <c r="AR39" s="65">
        <f t="shared" si="39"/>
        <v>58136.597536254485</v>
      </c>
      <c r="AS39" s="65">
        <f t="shared" si="39"/>
        <v>55879.749732946744</v>
      </c>
      <c r="AT39" s="65">
        <f t="shared" si="39"/>
        <v>61171.548117154809</v>
      </c>
      <c r="AU39" s="65">
        <f t="shared" si="39"/>
        <v>63317.688471692585</v>
      </c>
      <c r="AV39" s="65">
        <f t="shared" si="39"/>
        <v>67035.595907191237</v>
      </c>
      <c r="AW39" s="65">
        <f t="shared" si="39"/>
        <v>65822.658696270999</v>
      </c>
      <c r="AX39" s="65">
        <f t="shared" si="39"/>
        <v>72898.917475045688</v>
      </c>
      <c r="AY39" s="65">
        <f t="shared" si="39"/>
        <v>77817.105081944639</v>
      </c>
      <c r="AZ39" s="65">
        <f t="shared" si="39"/>
        <v>85997.041817937337</v>
      </c>
      <c r="BA39" s="65">
        <f t="shared" si="39"/>
        <v>66879.798782102196</v>
      </c>
      <c r="BB39" s="65">
        <f t="shared" si="39"/>
        <v>79307.702298999866</v>
      </c>
      <c r="BC39" s="65">
        <f t="shared" si="39"/>
        <v>87653.100038037286</v>
      </c>
      <c r="BD39" s="65">
        <f t="shared" si="39"/>
        <v>85705.672449858495</v>
      </c>
      <c r="BE39" s="65">
        <f t="shared" si="39"/>
        <v>91316.8871409844</v>
      </c>
      <c r="BF39" s="65">
        <f t="shared" si="39"/>
        <v>98958.478311296683</v>
      </c>
      <c r="BG39" s="65">
        <f t="shared" si="39"/>
        <v>87082.149755709586</v>
      </c>
      <c r="BH39" s="65">
        <f t="shared" si="39"/>
        <v>83495.669778427618</v>
      </c>
      <c r="BI39" s="65">
        <f t="shared" si="39"/>
        <v>88378.679750223004</v>
      </c>
      <c r="BJ39" s="65">
        <f t="shared" si="39"/>
        <v>89796.676869261049</v>
      </c>
      <c r="BK39" s="65">
        <f t="shared" si="39"/>
        <v>93482.928924200125</v>
      </c>
      <c r="BL39" s="65">
        <f t="shared" si="39"/>
        <v>93150.901613413473</v>
      </c>
      <c r="BM39" s="65">
        <f t="shared" si="39"/>
        <v>95163.628831814422</v>
      </c>
      <c r="BN39" s="65">
        <f t="shared" si="39"/>
        <v>99486.469864698651</v>
      </c>
      <c r="BO39" s="65">
        <f t="shared" si="39"/>
        <v>111310.75859263778</v>
      </c>
      <c r="BP39" s="65">
        <f t="shared" ref="BP39:BV39" si="40">BP12/BP$28</f>
        <v>113296</v>
      </c>
      <c r="BQ39" s="65">
        <f t="shared" si="40"/>
        <v>115668.16669927607</v>
      </c>
      <c r="BR39" s="65">
        <f t="shared" si="40"/>
        <v>124962.05936029201</v>
      </c>
      <c r="BS39" s="65">
        <f t="shared" si="40"/>
        <v>125486.86830378306</v>
      </c>
      <c r="BT39" s="65">
        <f t="shared" si="40"/>
        <v>131724.10632447296</v>
      </c>
      <c r="BU39" s="65">
        <f t="shared" si="40"/>
        <v>138463.12002056028</v>
      </c>
      <c r="BV39" s="65">
        <f t="shared" si="40"/>
        <v>139607.60219546163</v>
      </c>
    </row>
    <row r="40" spans="1:74" s="63" customFormat="1" x14ac:dyDescent="0.25">
      <c r="A40" s="63" t="s">
        <v>250</v>
      </c>
      <c r="B40" s="63" t="s">
        <v>90</v>
      </c>
      <c r="C40" s="64" t="s">
        <v>316</v>
      </c>
      <c r="D40" s="65">
        <f t="shared" ref="D40:AI40" si="41">D13/D$28</f>
        <v>5625</v>
      </c>
      <c r="E40" s="65">
        <f t="shared" si="41"/>
        <v>5772.0588235294117</v>
      </c>
      <c r="F40" s="65">
        <f t="shared" si="41"/>
        <v>6116.7883211678827</v>
      </c>
      <c r="G40" s="65">
        <f t="shared" si="41"/>
        <v>7302.4911032028458</v>
      </c>
      <c r="H40" s="65">
        <f t="shared" si="41"/>
        <v>8943.7585733882024</v>
      </c>
      <c r="I40" s="65">
        <f t="shared" si="41"/>
        <v>9966.7110519307589</v>
      </c>
      <c r="J40" s="65">
        <f t="shared" si="41"/>
        <v>10688.524590163935</v>
      </c>
      <c r="K40" s="65">
        <f t="shared" si="41"/>
        <v>11203.104786545926</v>
      </c>
      <c r="L40" s="65">
        <f t="shared" si="41"/>
        <v>11557.115507338864</v>
      </c>
      <c r="M40" s="65">
        <f t="shared" si="41"/>
        <v>13253.316487681617</v>
      </c>
      <c r="N40" s="65">
        <f t="shared" si="41"/>
        <v>14007.490636704119</v>
      </c>
      <c r="O40" s="65">
        <f t="shared" si="41"/>
        <v>15188.155459592845</v>
      </c>
      <c r="P40" s="65">
        <f t="shared" si="41"/>
        <v>15482.110369921165</v>
      </c>
      <c r="Q40" s="65">
        <f t="shared" si="41"/>
        <v>15578.635014836795</v>
      </c>
      <c r="R40" s="65">
        <f t="shared" si="41"/>
        <v>15915.898617511521</v>
      </c>
      <c r="S40" s="65">
        <f t="shared" si="41"/>
        <v>15642.737896494156</v>
      </c>
      <c r="T40" s="65">
        <f t="shared" si="41"/>
        <v>15561.468866418307</v>
      </c>
      <c r="U40" s="65">
        <f t="shared" si="41"/>
        <v>15664.477008590198</v>
      </c>
      <c r="V40" s="65">
        <f t="shared" si="41"/>
        <v>14860.576923076924</v>
      </c>
      <c r="W40" s="65">
        <f t="shared" si="41"/>
        <v>14882.973841211564</v>
      </c>
      <c r="X40" s="65">
        <f t="shared" si="41"/>
        <v>15085.789705235371</v>
      </c>
      <c r="Y40" s="65">
        <f t="shared" si="41"/>
        <v>14924.024640657084</v>
      </c>
      <c r="Z40" s="65">
        <f t="shared" si="41"/>
        <v>15351.693338295498</v>
      </c>
      <c r="AA40" s="65">
        <f t="shared" si="41"/>
        <v>15532.359081419625</v>
      </c>
      <c r="AB40" s="65">
        <f t="shared" si="41"/>
        <v>15194.67878001298</v>
      </c>
      <c r="AC40" s="65">
        <f t="shared" si="41"/>
        <v>15445.424141076313</v>
      </c>
      <c r="AD40" s="65">
        <f t="shared" si="41"/>
        <v>15758.087201125176</v>
      </c>
      <c r="AE40" s="65">
        <f t="shared" si="41"/>
        <v>16175.937904269082</v>
      </c>
      <c r="AF40" s="65">
        <f t="shared" si="41"/>
        <v>16270.028275212064</v>
      </c>
      <c r="AG40" s="65">
        <f t="shared" si="41"/>
        <v>16939.854593522803</v>
      </c>
      <c r="AH40" s="65">
        <f t="shared" si="41"/>
        <v>18446.274013088452</v>
      </c>
      <c r="AI40" s="65">
        <f t="shared" si="41"/>
        <v>19358.059914407986</v>
      </c>
      <c r="AJ40" s="65">
        <f t="shared" ref="AJ40:BO40" si="42">AJ13/AJ$28</f>
        <v>21553.934135279036</v>
      </c>
      <c r="AK40" s="65">
        <f t="shared" si="42"/>
        <v>20075.216972034716</v>
      </c>
      <c r="AL40" s="65">
        <f t="shared" si="42"/>
        <v>20428.221090360308</v>
      </c>
      <c r="AM40" s="65">
        <f t="shared" si="42"/>
        <v>19640.051160241183</v>
      </c>
      <c r="AN40" s="65">
        <f t="shared" si="42"/>
        <v>20641.025641025641</v>
      </c>
      <c r="AO40" s="65">
        <f t="shared" si="42"/>
        <v>23203.998644527281</v>
      </c>
      <c r="AP40" s="65">
        <f t="shared" si="42"/>
        <v>23360.052347456243</v>
      </c>
      <c r="AQ40" s="65">
        <f t="shared" si="42"/>
        <v>21848.068943504626</v>
      </c>
      <c r="AR40" s="65">
        <f t="shared" si="42"/>
        <v>21947.606424450336</v>
      </c>
      <c r="AS40" s="65">
        <f t="shared" si="42"/>
        <v>21059.05692049443</v>
      </c>
      <c r="AT40" s="65">
        <f t="shared" si="42"/>
        <v>20237.59713090257</v>
      </c>
      <c r="AU40" s="65">
        <f t="shared" si="42"/>
        <v>20472.279260780288</v>
      </c>
      <c r="AV40" s="65">
        <f t="shared" si="42"/>
        <v>18521.400778210118</v>
      </c>
      <c r="AW40" s="65">
        <f t="shared" si="42"/>
        <v>18148.306290919441</v>
      </c>
      <c r="AX40" s="65">
        <f t="shared" si="42"/>
        <v>19498.102066638548</v>
      </c>
      <c r="AY40" s="65">
        <f t="shared" si="42"/>
        <v>21278.060873157967</v>
      </c>
      <c r="AZ40" s="65">
        <f t="shared" si="42"/>
        <v>25003.361570525747</v>
      </c>
      <c r="BA40" s="65">
        <f t="shared" si="42"/>
        <v>25135.027799841144</v>
      </c>
      <c r="BB40" s="65">
        <f t="shared" si="42"/>
        <v>28879.075204572022</v>
      </c>
      <c r="BC40" s="65">
        <f t="shared" si="42"/>
        <v>28422.720933181186</v>
      </c>
      <c r="BD40" s="65">
        <f t="shared" si="42"/>
        <v>28705.549403223824</v>
      </c>
      <c r="BE40" s="65">
        <f t="shared" si="42"/>
        <v>29632.940054820643</v>
      </c>
      <c r="BF40" s="65">
        <f t="shared" si="42"/>
        <v>34144.050104384136</v>
      </c>
      <c r="BG40" s="65">
        <f t="shared" si="42"/>
        <v>30840.813543915465</v>
      </c>
      <c r="BH40" s="65">
        <f t="shared" si="42"/>
        <v>36159.037228658191</v>
      </c>
      <c r="BI40" s="65">
        <f t="shared" si="42"/>
        <v>33194.692239072254</v>
      </c>
      <c r="BJ40" s="65">
        <f t="shared" si="42"/>
        <v>32461.740271097511</v>
      </c>
      <c r="BK40" s="65">
        <f t="shared" si="42"/>
        <v>32542.409276358172</v>
      </c>
      <c r="BL40" s="65">
        <f t="shared" si="42"/>
        <v>34304.544975218814</v>
      </c>
      <c r="BM40" s="65">
        <f t="shared" si="42"/>
        <v>34660.314830157411</v>
      </c>
      <c r="BN40" s="65">
        <f t="shared" si="42"/>
        <v>35116.851168511683</v>
      </c>
      <c r="BO40" s="65">
        <f t="shared" si="42"/>
        <v>36475.493186902582</v>
      </c>
      <c r="BP40" s="65">
        <f t="shared" ref="BP40:BV40" si="43">BP13/BP$28</f>
        <v>38041</v>
      </c>
      <c r="BQ40" s="65">
        <f t="shared" si="43"/>
        <v>39071.610252396793</v>
      </c>
      <c r="BR40" s="65">
        <f t="shared" si="43"/>
        <v>40213.236000384211</v>
      </c>
      <c r="BS40" s="65">
        <f t="shared" si="43"/>
        <v>40934.862994216368</v>
      </c>
      <c r="BT40" s="65">
        <f t="shared" si="43"/>
        <v>38270.394133822185</v>
      </c>
      <c r="BU40" s="65">
        <f t="shared" si="43"/>
        <v>40316.114109483424</v>
      </c>
      <c r="BV40" s="65">
        <f t="shared" si="43"/>
        <v>40490.702056197268</v>
      </c>
    </row>
    <row r="41" spans="1:74" s="63" customFormat="1" x14ac:dyDescent="0.25">
      <c r="A41" s="63" t="s">
        <v>250</v>
      </c>
      <c r="B41" s="63" t="s">
        <v>90</v>
      </c>
      <c r="C41" s="64" t="s">
        <v>317</v>
      </c>
      <c r="D41" s="65">
        <f t="shared" ref="D41:AI41" si="44">D14/D$28</f>
        <v>3392.8571428571431</v>
      </c>
      <c r="E41" s="65">
        <f t="shared" si="44"/>
        <v>3772.0588235294117</v>
      </c>
      <c r="F41" s="65">
        <f t="shared" si="44"/>
        <v>4255.4744525547439</v>
      </c>
      <c r="G41" s="65">
        <f t="shared" si="44"/>
        <v>5822.0640569395009</v>
      </c>
      <c r="H41" s="65">
        <f t="shared" si="44"/>
        <v>6982.1673525377219</v>
      </c>
      <c r="I41" s="65">
        <f t="shared" si="44"/>
        <v>7743.0093209054594</v>
      </c>
      <c r="J41" s="65">
        <f t="shared" si="44"/>
        <v>7908.1967213114758</v>
      </c>
      <c r="K41" s="65">
        <f t="shared" si="44"/>
        <v>7930.1423027166893</v>
      </c>
      <c r="L41" s="65">
        <f t="shared" si="44"/>
        <v>7626.0370134014038</v>
      </c>
      <c r="M41" s="65">
        <f t="shared" si="44"/>
        <v>9292.4826279216686</v>
      </c>
      <c r="N41" s="65">
        <f t="shared" si="44"/>
        <v>9257.1785268414478</v>
      </c>
      <c r="O41" s="65">
        <f t="shared" si="44"/>
        <v>9827.2671190623078</v>
      </c>
      <c r="P41" s="65">
        <f t="shared" si="44"/>
        <v>10030.321406913281</v>
      </c>
      <c r="Q41" s="65">
        <f t="shared" si="44"/>
        <v>10931.750741839762</v>
      </c>
      <c r="R41" s="65">
        <f t="shared" si="44"/>
        <v>10887.096774193547</v>
      </c>
      <c r="S41" s="65">
        <f t="shared" si="44"/>
        <v>11825.264329437952</v>
      </c>
      <c r="T41" s="65">
        <f t="shared" si="44"/>
        <v>12346.99308142629</v>
      </c>
      <c r="U41" s="65">
        <f t="shared" si="44"/>
        <v>12273.875694795352</v>
      </c>
      <c r="V41" s="65">
        <f t="shared" si="44"/>
        <v>11990.384615384615</v>
      </c>
      <c r="W41" s="65">
        <f t="shared" si="44"/>
        <v>12014.685635612666</v>
      </c>
      <c r="X41" s="65">
        <f t="shared" si="44"/>
        <v>12732.072151341839</v>
      </c>
      <c r="Y41" s="65">
        <f t="shared" si="44"/>
        <v>13687.88501026694</v>
      </c>
      <c r="Z41" s="65">
        <f t="shared" si="44"/>
        <v>13100.111648678825</v>
      </c>
      <c r="AA41" s="65">
        <f t="shared" si="44"/>
        <v>13921.363952679194</v>
      </c>
      <c r="AB41" s="65">
        <f t="shared" si="44"/>
        <v>14308.890330953927</v>
      </c>
      <c r="AC41" s="65">
        <f t="shared" si="44"/>
        <v>15147.461234417755</v>
      </c>
      <c r="AD41" s="65">
        <f t="shared" si="44"/>
        <v>16306.610407876231</v>
      </c>
      <c r="AE41" s="65">
        <f t="shared" si="44"/>
        <v>17329.883570504528</v>
      </c>
      <c r="AF41" s="65">
        <f t="shared" si="44"/>
        <v>20101.319509896326</v>
      </c>
      <c r="AG41" s="65">
        <f t="shared" si="44"/>
        <v>21046.486010134391</v>
      </c>
      <c r="AH41" s="65">
        <f t="shared" si="44"/>
        <v>22168.038843149672</v>
      </c>
      <c r="AI41" s="65">
        <f t="shared" si="44"/>
        <v>24022.824536376604</v>
      </c>
      <c r="AJ41" s="65">
        <f t="shared" ref="AJ41:BO41" si="45">AJ14/AJ$28</f>
        <v>26012.620784855058</v>
      </c>
      <c r="AK41" s="65">
        <f t="shared" si="45"/>
        <v>29704.918032786889</v>
      </c>
      <c r="AL41" s="65">
        <f t="shared" si="45"/>
        <v>29260.516883606866</v>
      </c>
      <c r="AM41" s="65">
        <f t="shared" si="45"/>
        <v>30948.291613374749</v>
      </c>
      <c r="AN41" s="65">
        <f t="shared" si="45"/>
        <v>32406.041447137337</v>
      </c>
      <c r="AO41" s="65">
        <f t="shared" si="45"/>
        <v>32073.873263300578</v>
      </c>
      <c r="AP41" s="65">
        <f t="shared" si="45"/>
        <v>35900.539833142488</v>
      </c>
      <c r="AQ41" s="65">
        <f t="shared" si="45"/>
        <v>34688.796680497922</v>
      </c>
      <c r="AR41" s="65">
        <f t="shared" si="45"/>
        <v>32039.607048183378</v>
      </c>
      <c r="AS41" s="65">
        <f t="shared" si="45"/>
        <v>30512.742255455516</v>
      </c>
      <c r="AT41" s="65">
        <f t="shared" si="45"/>
        <v>36488.344291691574</v>
      </c>
      <c r="AU41" s="65">
        <f t="shared" si="45"/>
        <v>38245.819888530365</v>
      </c>
      <c r="AV41" s="65">
        <f t="shared" si="45"/>
        <v>43957.342556564348</v>
      </c>
      <c r="AW41" s="65">
        <f t="shared" si="45"/>
        <v>43129.803586678056</v>
      </c>
      <c r="AX41" s="65">
        <f t="shared" si="45"/>
        <v>48623.64684380711</v>
      </c>
      <c r="AY41" s="65">
        <f t="shared" si="45"/>
        <v>51360.694119267318</v>
      </c>
      <c r="AZ41" s="65">
        <f t="shared" si="45"/>
        <v>55449.778136345296</v>
      </c>
      <c r="BA41" s="65">
        <f t="shared" si="45"/>
        <v>35608.948901244374</v>
      </c>
      <c r="BB41" s="65">
        <f t="shared" si="45"/>
        <v>43761.52747110014</v>
      </c>
      <c r="BC41" s="65">
        <f t="shared" si="45"/>
        <v>52611.89298846203</v>
      </c>
      <c r="BD41" s="65">
        <f t="shared" si="45"/>
        <v>50285.46819244494</v>
      </c>
      <c r="BE41" s="65">
        <f t="shared" si="45"/>
        <v>54763.437015850315</v>
      </c>
      <c r="BF41" s="65">
        <f t="shared" si="45"/>
        <v>57558.571097193228</v>
      </c>
      <c r="BG41" s="65">
        <f t="shared" si="45"/>
        <v>48159.300079536413</v>
      </c>
      <c r="BH41" s="65">
        <f t="shared" si="45"/>
        <v>38572.713980429646</v>
      </c>
      <c r="BI41" s="65">
        <f t="shared" si="45"/>
        <v>45888.71543264942</v>
      </c>
      <c r="BJ41" s="65">
        <f t="shared" si="45"/>
        <v>47884.783559247924</v>
      </c>
      <c r="BK41" s="65">
        <f t="shared" si="45"/>
        <v>51257.247154820703</v>
      </c>
      <c r="BL41" s="65">
        <f t="shared" si="45"/>
        <v>48648.107139091</v>
      </c>
      <c r="BM41" s="65">
        <f t="shared" si="45"/>
        <v>49890.223695111847</v>
      </c>
      <c r="BN41" s="65">
        <f t="shared" si="45"/>
        <v>52914.104141041411</v>
      </c>
      <c r="BO41" s="65">
        <f t="shared" si="45"/>
        <v>60337.604230221674</v>
      </c>
      <c r="BP41" s="65">
        <f t="shared" ref="BP41:BV41" si="46">BP14/BP$28</f>
        <v>60664</v>
      </c>
      <c r="BQ41" s="65">
        <f t="shared" si="46"/>
        <v>62055.370768929759</v>
      </c>
      <c r="BR41" s="65">
        <f t="shared" si="46"/>
        <v>70353.472288925186</v>
      </c>
      <c r="BS41" s="65">
        <f t="shared" si="46"/>
        <v>70762.30207641983</v>
      </c>
      <c r="BT41" s="65">
        <f t="shared" si="46"/>
        <v>79920.256645279558</v>
      </c>
      <c r="BU41" s="65">
        <f t="shared" si="46"/>
        <v>85116.936520174757</v>
      </c>
      <c r="BV41" s="65">
        <f t="shared" si="46"/>
        <v>85835.995740149097</v>
      </c>
    </row>
    <row r="42" spans="1:74" s="63" customFormat="1" x14ac:dyDescent="0.25">
      <c r="A42" s="63" t="s">
        <v>250</v>
      </c>
      <c r="B42" s="63" t="s">
        <v>90</v>
      </c>
      <c r="C42" s="64" t="s">
        <v>318</v>
      </c>
      <c r="D42" s="65">
        <f t="shared" ref="D42:AI42" si="47">D15/D$28</f>
        <v>208.33333333333334</v>
      </c>
      <c r="E42" s="65">
        <f t="shared" si="47"/>
        <v>205.88235294117646</v>
      </c>
      <c r="F42" s="65">
        <f t="shared" si="47"/>
        <v>197.0802919708029</v>
      </c>
      <c r="G42" s="65">
        <f t="shared" si="47"/>
        <v>192.17081850533805</v>
      </c>
      <c r="H42" s="65">
        <f t="shared" si="47"/>
        <v>185.18518518518516</v>
      </c>
      <c r="I42" s="65">
        <f t="shared" si="47"/>
        <v>179.76031957390146</v>
      </c>
      <c r="J42" s="65">
        <f t="shared" si="47"/>
        <v>183.60655737704917</v>
      </c>
      <c r="K42" s="65">
        <f t="shared" si="47"/>
        <v>187.58085381630013</v>
      </c>
      <c r="L42" s="65">
        <f t="shared" si="47"/>
        <v>191.44862795149967</v>
      </c>
      <c r="M42" s="65">
        <f t="shared" si="47"/>
        <v>189.51358180669615</v>
      </c>
      <c r="N42" s="65">
        <f t="shared" si="47"/>
        <v>199.75031210986265</v>
      </c>
      <c r="O42" s="65">
        <f t="shared" si="47"/>
        <v>228.25416409623691</v>
      </c>
      <c r="P42" s="65">
        <f t="shared" si="47"/>
        <v>254.69981807155852</v>
      </c>
      <c r="Q42" s="65">
        <f t="shared" si="47"/>
        <v>284.86646884272994</v>
      </c>
      <c r="R42" s="65">
        <f t="shared" si="47"/>
        <v>311.05990783410135</v>
      </c>
      <c r="S42" s="65">
        <f t="shared" si="47"/>
        <v>306.0656649972176</v>
      </c>
      <c r="T42" s="65">
        <f t="shared" si="47"/>
        <v>287.38690792974984</v>
      </c>
      <c r="U42" s="65">
        <f t="shared" si="47"/>
        <v>282.9711975745326</v>
      </c>
      <c r="V42" s="65">
        <f t="shared" si="47"/>
        <v>322.11538461538464</v>
      </c>
      <c r="W42" s="65">
        <f t="shared" si="47"/>
        <v>376.31941257457549</v>
      </c>
      <c r="X42" s="65">
        <f t="shared" si="47"/>
        <v>439.94720633523974</v>
      </c>
      <c r="Y42" s="65">
        <f t="shared" si="47"/>
        <v>484.59958932238192</v>
      </c>
      <c r="Z42" s="65">
        <f t="shared" si="47"/>
        <v>524.74879047264608</v>
      </c>
      <c r="AA42" s="65">
        <f t="shared" si="47"/>
        <v>577.59220598469039</v>
      </c>
      <c r="AB42" s="65">
        <f t="shared" si="47"/>
        <v>629.46138870863081</v>
      </c>
      <c r="AC42" s="65">
        <f t="shared" si="47"/>
        <v>705.38157494679228</v>
      </c>
      <c r="AD42" s="65">
        <f t="shared" si="47"/>
        <v>739.80309423347398</v>
      </c>
      <c r="AE42" s="65">
        <f t="shared" si="47"/>
        <v>796.89521345407502</v>
      </c>
      <c r="AF42" s="65">
        <f t="shared" si="47"/>
        <v>855.32516493873709</v>
      </c>
      <c r="AG42" s="65">
        <f t="shared" si="47"/>
        <v>885.65763384005288</v>
      </c>
      <c r="AH42" s="65">
        <f t="shared" si="47"/>
        <v>935.19104918724929</v>
      </c>
      <c r="AI42" s="65">
        <f t="shared" si="47"/>
        <v>1000.6113715100876</v>
      </c>
      <c r="AJ42" s="65">
        <f t="shared" ref="AJ42:BO42" si="48">AJ15/AJ$28</f>
        <v>1078.6827055807532</v>
      </c>
      <c r="AK42" s="65">
        <f t="shared" si="48"/>
        <v>1195.7569913211187</v>
      </c>
      <c r="AL42" s="65">
        <f t="shared" si="48"/>
        <v>1333.7106206376154</v>
      </c>
      <c r="AM42" s="65">
        <f t="shared" si="48"/>
        <v>1494.609903160972</v>
      </c>
      <c r="AN42" s="65">
        <f t="shared" si="48"/>
        <v>1638.5669125395152</v>
      </c>
      <c r="AO42" s="65">
        <f t="shared" si="48"/>
        <v>1746.8654693324299</v>
      </c>
      <c r="AP42" s="65">
        <f t="shared" si="48"/>
        <v>1784.7210862097172</v>
      </c>
      <c r="AQ42" s="65">
        <f t="shared" si="48"/>
        <v>1787.424194063198</v>
      </c>
      <c r="AR42" s="65">
        <f t="shared" si="48"/>
        <v>1841.5718072664899</v>
      </c>
      <c r="AS42" s="65">
        <f t="shared" si="48"/>
        <v>1916.6793834884786</v>
      </c>
      <c r="AT42" s="65">
        <f t="shared" si="48"/>
        <v>1959.0555887627017</v>
      </c>
      <c r="AU42" s="65">
        <f t="shared" si="48"/>
        <v>2038.7210325608685</v>
      </c>
      <c r="AV42" s="65">
        <f t="shared" si="48"/>
        <v>2011.8172647355527</v>
      </c>
      <c r="AW42" s="65">
        <f t="shared" si="48"/>
        <v>1982.635923711927</v>
      </c>
      <c r="AX42" s="65">
        <f t="shared" si="48"/>
        <v>2080.6973147757626</v>
      </c>
      <c r="AY42" s="65">
        <f t="shared" si="48"/>
        <v>2209.0621126566589</v>
      </c>
      <c r="AZ42" s="65">
        <f t="shared" si="48"/>
        <v>2331.5853166599436</v>
      </c>
      <c r="BA42" s="65">
        <f t="shared" si="48"/>
        <v>2564.2043950225047</v>
      </c>
      <c r="BB42" s="65">
        <f t="shared" si="48"/>
        <v>2762.6964540849458</v>
      </c>
      <c r="BC42" s="65">
        <f t="shared" si="48"/>
        <v>2776.7211867630281</v>
      </c>
      <c r="BD42" s="65">
        <f t="shared" si="48"/>
        <v>2809.1546696197861</v>
      </c>
      <c r="BE42" s="65">
        <f t="shared" si="48"/>
        <v>2822.0712668335123</v>
      </c>
      <c r="BF42" s="65">
        <f t="shared" si="48"/>
        <v>2854.3261424263515</v>
      </c>
      <c r="BG42" s="65">
        <f t="shared" si="48"/>
        <v>3047.3809794341551</v>
      </c>
      <c r="BH42" s="65">
        <f t="shared" si="48"/>
        <v>3308.9641210212576</v>
      </c>
      <c r="BI42" s="65">
        <f t="shared" si="48"/>
        <v>3502.4531668153431</v>
      </c>
      <c r="BJ42" s="65">
        <f t="shared" si="48"/>
        <v>3734.1495408832534</v>
      </c>
      <c r="BK42" s="65">
        <f t="shared" si="48"/>
        <v>3964.998926347434</v>
      </c>
      <c r="BL42" s="65">
        <f t="shared" si="48"/>
        <v>4157.9668881155749</v>
      </c>
      <c r="BM42" s="65">
        <f t="shared" si="48"/>
        <v>4364.1259320629661</v>
      </c>
      <c r="BN42" s="65">
        <f t="shared" si="48"/>
        <v>4535.6703567035665</v>
      </c>
      <c r="BO42" s="65">
        <f t="shared" si="48"/>
        <v>4917.6327028676023</v>
      </c>
      <c r="BP42" s="65">
        <f t="shared" ref="BP42:BV42" si="49">BP15/BP$28</f>
        <v>5184</v>
      </c>
      <c r="BQ42" s="65">
        <f t="shared" si="49"/>
        <v>5356.0946977108197</v>
      </c>
      <c r="BR42" s="65">
        <f t="shared" si="49"/>
        <v>5505.7151090193065</v>
      </c>
      <c r="BS42" s="65">
        <f t="shared" si="49"/>
        <v>5617.7111974969184</v>
      </c>
      <c r="BT42" s="65">
        <f t="shared" si="49"/>
        <v>5706.6911090742442</v>
      </c>
      <c r="BU42" s="65">
        <f t="shared" si="49"/>
        <v>5852.8227533624604</v>
      </c>
      <c r="BV42" s="65">
        <f t="shared" si="49"/>
        <v>6095.6828049479809</v>
      </c>
    </row>
    <row r="43" spans="1:74" s="63" customFormat="1" x14ac:dyDescent="0.25">
      <c r="A43" s="63" t="s">
        <v>250</v>
      </c>
      <c r="B43" s="63" t="s">
        <v>90</v>
      </c>
      <c r="C43" s="64" t="s">
        <v>237</v>
      </c>
      <c r="D43" s="65">
        <f t="shared" ref="D43:AI43" si="50">D16/D$28</f>
        <v>372.02380952380952</v>
      </c>
      <c r="E43" s="65">
        <f t="shared" si="50"/>
        <v>389.70588235294116</v>
      </c>
      <c r="F43" s="65">
        <f t="shared" si="50"/>
        <v>394.16058394160581</v>
      </c>
      <c r="G43" s="65">
        <f t="shared" si="50"/>
        <v>412.81138790035584</v>
      </c>
      <c r="H43" s="65">
        <f t="shared" si="50"/>
        <v>445.81618655692728</v>
      </c>
      <c r="I43" s="65">
        <f t="shared" si="50"/>
        <v>479.36085219707059</v>
      </c>
      <c r="J43" s="65">
        <f t="shared" si="50"/>
        <v>498.36065573770492</v>
      </c>
      <c r="K43" s="65">
        <f t="shared" si="50"/>
        <v>510.99611901681766</v>
      </c>
      <c r="L43" s="65">
        <f t="shared" si="50"/>
        <v>561.58264199106566</v>
      </c>
      <c r="M43" s="65">
        <f t="shared" si="50"/>
        <v>625.39481996209724</v>
      </c>
      <c r="N43" s="65">
        <f t="shared" si="50"/>
        <v>655.43071161048681</v>
      </c>
      <c r="O43" s="65">
        <f t="shared" si="50"/>
        <v>678.59346082665024</v>
      </c>
      <c r="P43" s="65">
        <f t="shared" si="50"/>
        <v>758.0351728320195</v>
      </c>
      <c r="Q43" s="65">
        <f t="shared" si="50"/>
        <v>818.99109792284867</v>
      </c>
      <c r="R43" s="65">
        <f t="shared" si="50"/>
        <v>817.97235023041469</v>
      </c>
      <c r="S43" s="65">
        <f t="shared" si="50"/>
        <v>818.03005008347247</v>
      </c>
      <c r="T43" s="65">
        <f t="shared" si="50"/>
        <v>835.55082490686527</v>
      </c>
      <c r="U43" s="65">
        <f t="shared" si="50"/>
        <v>848.91359272359784</v>
      </c>
      <c r="V43" s="65">
        <f t="shared" si="50"/>
        <v>875</v>
      </c>
      <c r="W43" s="65">
        <f t="shared" si="50"/>
        <v>940.79853143643868</v>
      </c>
      <c r="X43" s="65">
        <f t="shared" si="50"/>
        <v>1025.0769907611086</v>
      </c>
      <c r="Y43" s="65">
        <f t="shared" si="50"/>
        <v>1063.6550308008214</v>
      </c>
      <c r="Z43" s="65">
        <f t="shared" si="50"/>
        <v>1135.0949013770005</v>
      </c>
      <c r="AA43" s="65">
        <f t="shared" si="50"/>
        <v>1200.4175365344468</v>
      </c>
      <c r="AB43" s="65">
        <f t="shared" si="50"/>
        <v>1216.7423750811163</v>
      </c>
      <c r="AC43" s="65">
        <f t="shared" si="50"/>
        <v>1246.5795074490725</v>
      </c>
      <c r="AD43" s="65">
        <f t="shared" si="50"/>
        <v>1220.8157524613221</v>
      </c>
      <c r="AE43" s="65">
        <f t="shared" si="50"/>
        <v>1221.216041397154</v>
      </c>
      <c r="AF43" s="65">
        <f t="shared" si="50"/>
        <v>1251.1781338360038</v>
      </c>
      <c r="AG43" s="65">
        <f t="shared" si="50"/>
        <v>1264.5957259308218</v>
      </c>
      <c r="AH43" s="65">
        <f t="shared" si="50"/>
        <v>1300.4010977411863</v>
      </c>
      <c r="AI43" s="65">
        <f t="shared" si="50"/>
        <v>1369.4721825962908</v>
      </c>
      <c r="AJ43" s="65">
        <f t="shared" ref="AJ43:BO43" si="51">AJ16/AJ$28</f>
        <v>1445.4742654308816</v>
      </c>
      <c r="AK43" s="65">
        <f t="shared" si="51"/>
        <v>1558.3413693346192</v>
      </c>
      <c r="AL43" s="65">
        <f t="shared" si="51"/>
        <v>1705.3386153555932</v>
      </c>
      <c r="AM43" s="65">
        <f t="shared" si="51"/>
        <v>1871.0031061575005</v>
      </c>
      <c r="AN43" s="65">
        <f t="shared" si="51"/>
        <v>2000.3512469265893</v>
      </c>
      <c r="AO43" s="65">
        <f t="shared" si="51"/>
        <v>2102.6770586241955</v>
      </c>
      <c r="AP43" s="65">
        <f t="shared" si="51"/>
        <v>2151.1532798953053</v>
      </c>
      <c r="AQ43" s="65">
        <f t="shared" si="51"/>
        <v>2218.3210979891478</v>
      </c>
      <c r="AR43" s="65">
        <f t="shared" si="51"/>
        <v>2307.8122563542806</v>
      </c>
      <c r="AS43" s="65">
        <f t="shared" si="51"/>
        <v>2389.7451548908898</v>
      </c>
      <c r="AT43" s="65">
        <f t="shared" si="51"/>
        <v>2485.0567842199639</v>
      </c>
      <c r="AU43" s="65">
        <f t="shared" si="51"/>
        <v>2560.8682898210623</v>
      </c>
      <c r="AV43" s="65">
        <f t="shared" si="51"/>
        <v>2546.4764375270215</v>
      </c>
      <c r="AW43" s="65">
        <f t="shared" si="51"/>
        <v>2561.9128949615715</v>
      </c>
      <c r="AX43" s="65">
        <f t="shared" si="51"/>
        <v>2696.4712498242652</v>
      </c>
      <c r="AY43" s="65">
        <f t="shared" si="51"/>
        <v>2969.2879768626913</v>
      </c>
      <c r="AZ43" s="65">
        <f t="shared" si="51"/>
        <v>3210.9721661960466</v>
      </c>
      <c r="BA43" s="65">
        <f t="shared" si="51"/>
        <v>3570.2938840349484</v>
      </c>
      <c r="BB43" s="65">
        <f t="shared" si="51"/>
        <v>3904.4031692427588</v>
      </c>
      <c r="BC43" s="65">
        <f t="shared" si="51"/>
        <v>3840.4970204133388</v>
      </c>
      <c r="BD43" s="65">
        <f t="shared" si="51"/>
        <v>3905.5001845699521</v>
      </c>
      <c r="BE43" s="65">
        <f t="shared" si="51"/>
        <v>4098.4388034799194</v>
      </c>
      <c r="BF43" s="65">
        <f t="shared" si="51"/>
        <v>4400.3711435861751</v>
      </c>
      <c r="BG43" s="65">
        <f t="shared" si="51"/>
        <v>5035.7913873423477</v>
      </c>
      <c r="BH43" s="65">
        <f t="shared" si="51"/>
        <v>5454.9544483185246</v>
      </c>
      <c r="BI43" s="65">
        <f t="shared" si="51"/>
        <v>5792.818911685994</v>
      </c>
      <c r="BJ43" s="65">
        <f t="shared" si="51"/>
        <v>5716.0034980323571</v>
      </c>
      <c r="BK43" s="65">
        <f t="shared" si="51"/>
        <v>5718.2735666738245</v>
      </c>
      <c r="BL43" s="65">
        <f t="shared" si="51"/>
        <v>6040.2826109880834</v>
      </c>
      <c r="BM43" s="65">
        <f t="shared" si="51"/>
        <v>6248.9643744821869</v>
      </c>
      <c r="BN43" s="65">
        <f t="shared" si="51"/>
        <v>6919.8441984419842</v>
      </c>
      <c r="BO43" s="65">
        <f t="shared" si="51"/>
        <v>9580.0284726459213</v>
      </c>
      <c r="BP43" s="65">
        <f t="shared" ref="BP43:BV43" si="52">BP16/BP$28</f>
        <v>9407</v>
      </c>
      <c r="BQ43" s="65">
        <f t="shared" si="52"/>
        <v>9185.0909802387014</v>
      </c>
      <c r="BR43" s="65">
        <f t="shared" si="52"/>
        <v>8889.6359619633095</v>
      </c>
      <c r="BS43" s="65">
        <f t="shared" si="52"/>
        <v>8171.9920356499479</v>
      </c>
      <c r="BT43" s="65">
        <f t="shared" si="52"/>
        <v>7826.7644362969759</v>
      </c>
      <c r="BU43" s="65">
        <f t="shared" si="52"/>
        <v>7177.2466375396216</v>
      </c>
      <c r="BV43" s="65">
        <f t="shared" si="52"/>
        <v>7185.2215941672821</v>
      </c>
    </row>
    <row r="44" spans="1:74" s="63" customFormat="1" x14ac:dyDescent="0.25">
      <c r="A44" s="63" t="s">
        <v>251</v>
      </c>
      <c r="B44" s="63" t="s">
        <v>90</v>
      </c>
      <c r="C44" s="64" t="s">
        <v>75</v>
      </c>
      <c r="D44" s="65">
        <f t="shared" ref="D44:AI44" si="53">D17/D$28</f>
        <v>25386.904761904763</v>
      </c>
      <c r="E44" s="65">
        <f t="shared" si="53"/>
        <v>27455.882352941175</v>
      </c>
      <c r="F44" s="65">
        <f t="shared" si="53"/>
        <v>30021.897810218976</v>
      </c>
      <c r="G44" s="65">
        <f t="shared" si="53"/>
        <v>41665.480427046263</v>
      </c>
      <c r="H44" s="65">
        <f t="shared" si="53"/>
        <v>45823.04526748971</v>
      </c>
      <c r="I44" s="65">
        <f t="shared" si="53"/>
        <v>48022.636484687086</v>
      </c>
      <c r="J44" s="65">
        <f t="shared" si="53"/>
        <v>55495.081967213118</v>
      </c>
      <c r="K44" s="65">
        <f t="shared" si="53"/>
        <v>60543.337645536871</v>
      </c>
      <c r="L44" s="65">
        <f t="shared" si="53"/>
        <v>63369.495851946391</v>
      </c>
      <c r="M44" s="65">
        <f t="shared" si="53"/>
        <v>63891.345546430828</v>
      </c>
      <c r="N44" s="65">
        <f t="shared" si="53"/>
        <v>72028.714107365784</v>
      </c>
      <c r="O44" s="65">
        <f t="shared" si="53"/>
        <v>77149.907464528078</v>
      </c>
      <c r="P44" s="65">
        <f t="shared" si="53"/>
        <v>80139.478471801092</v>
      </c>
      <c r="Q44" s="65">
        <f t="shared" si="53"/>
        <v>85994.065281899108</v>
      </c>
      <c r="R44" s="65">
        <f t="shared" si="53"/>
        <v>88317.972350230411</v>
      </c>
      <c r="S44" s="65">
        <f t="shared" si="53"/>
        <v>89894.268224819141</v>
      </c>
      <c r="T44" s="65">
        <f t="shared" si="53"/>
        <v>90745.077168706746</v>
      </c>
      <c r="U44" s="65">
        <f t="shared" si="53"/>
        <v>85522.99140980294</v>
      </c>
      <c r="V44" s="65">
        <f t="shared" si="53"/>
        <v>83649.038461538468</v>
      </c>
      <c r="W44" s="65">
        <f t="shared" si="53"/>
        <v>86016.521340064239</v>
      </c>
      <c r="X44" s="65">
        <f t="shared" si="53"/>
        <v>88856.137263528377</v>
      </c>
      <c r="Y44" s="65">
        <f t="shared" si="53"/>
        <v>88312.114989733062</v>
      </c>
      <c r="Z44" s="65">
        <f t="shared" si="53"/>
        <v>84503.163379233345</v>
      </c>
      <c r="AA44" s="65">
        <f t="shared" si="53"/>
        <v>87282.533054975647</v>
      </c>
      <c r="AB44" s="65">
        <f t="shared" si="53"/>
        <v>89769.630110317987</v>
      </c>
      <c r="AC44" s="65">
        <f t="shared" si="53"/>
        <v>94423.837032532683</v>
      </c>
      <c r="AD44" s="65">
        <f t="shared" si="53"/>
        <v>99704.641350210979</v>
      </c>
      <c r="AE44" s="65">
        <f t="shared" si="53"/>
        <v>105428.20181112549</v>
      </c>
      <c r="AF44" s="65">
        <f t="shared" si="53"/>
        <v>109106.97455230914</v>
      </c>
      <c r="AG44" s="65">
        <f t="shared" si="53"/>
        <v>114296.10046265696</v>
      </c>
      <c r="AH44" s="65">
        <f t="shared" si="53"/>
        <v>121956.93476884103</v>
      </c>
      <c r="AI44" s="65">
        <f t="shared" si="53"/>
        <v>135441.2064397799</v>
      </c>
      <c r="AJ44" s="65">
        <f t="shared" ref="AJ44:BO44" si="54">AJ17/AJ$28</f>
        <v>146957.20765135082</v>
      </c>
      <c r="AK44" s="65">
        <f t="shared" si="54"/>
        <v>146297.01060752172</v>
      </c>
      <c r="AL44" s="65">
        <f t="shared" si="54"/>
        <v>150780.98471986418</v>
      </c>
      <c r="AM44" s="65">
        <f t="shared" si="54"/>
        <v>154516.71843595835</v>
      </c>
      <c r="AN44" s="65">
        <f t="shared" si="54"/>
        <v>154062.17070600632</v>
      </c>
      <c r="AO44" s="65">
        <f t="shared" si="54"/>
        <v>159381.56557099291</v>
      </c>
      <c r="AP44" s="65">
        <f t="shared" si="54"/>
        <v>155578.27580566009</v>
      </c>
      <c r="AQ44" s="65">
        <f t="shared" si="54"/>
        <v>159289.81806575166</v>
      </c>
      <c r="AR44" s="65">
        <f t="shared" si="54"/>
        <v>155473.25744581319</v>
      </c>
      <c r="AS44" s="65">
        <f t="shared" si="54"/>
        <v>157085.30444071419</v>
      </c>
      <c r="AT44" s="65">
        <f t="shared" si="54"/>
        <v>168976.38971906755</v>
      </c>
      <c r="AU44" s="65">
        <f t="shared" si="54"/>
        <v>178024.34731592843</v>
      </c>
      <c r="AV44" s="65">
        <f t="shared" si="54"/>
        <v>185417.20709035886</v>
      </c>
      <c r="AW44" s="65">
        <f t="shared" si="54"/>
        <v>205905.20922288642</v>
      </c>
      <c r="AX44" s="65">
        <f t="shared" si="54"/>
        <v>216947.84197947418</v>
      </c>
      <c r="AY44" s="65">
        <f t="shared" si="54"/>
        <v>233320.47927282745</v>
      </c>
      <c r="AZ44" s="65">
        <f t="shared" si="54"/>
        <v>225547.93599569719</v>
      </c>
      <c r="BA44" s="65">
        <f t="shared" si="54"/>
        <v>233784.74980142972</v>
      </c>
      <c r="BB44" s="65">
        <f t="shared" si="54"/>
        <v>227929.60124691518</v>
      </c>
      <c r="BC44" s="65">
        <f t="shared" si="54"/>
        <v>224698.87156079625</v>
      </c>
      <c r="BD44" s="65">
        <f t="shared" si="54"/>
        <v>240840.40851482711</v>
      </c>
      <c r="BE44" s="65">
        <f t="shared" si="54"/>
        <v>253508.52103444168</v>
      </c>
      <c r="BF44" s="65">
        <f t="shared" si="54"/>
        <v>264401.53096729296</v>
      </c>
      <c r="BG44" s="65">
        <f t="shared" si="54"/>
        <v>294960.79990910122</v>
      </c>
      <c r="BH44" s="65">
        <f t="shared" si="54"/>
        <v>287972.10662467661</v>
      </c>
      <c r="BI44" s="65">
        <f t="shared" si="54"/>
        <v>280346.78858162352</v>
      </c>
      <c r="BJ44" s="65">
        <f t="shared" si="54"/>
        <v>296234.14954088326</v>
      </c>
      <c r="BK44" s="65">
        <f t="shared" si="54"/>
        <v>293390.59480352158</v>
      </c>
      <c r="BL44" s="65">
        <f t="shared" si="54"/>
        <v>302798.69239692081</v>
      </c>
      <c r="BM44" s="65">
        <f t="shared" si="54"/>
        <v>312214.1673570837</v>
      </c>
      <c r="BN44" s="65">
        <f t="shared" si="54"/>
        <v>320810.78310783108</v>
      </c>
      <c r="BO44" s="65">
        <f t="shared" si="54"/>
        <v>330210.49420378276</v>
      </c>
      <c r="BP44" s="65">
        <f t="shared" ref="BP44:BV44" si="55">BP17/BP$28</f>
        <v>350115</v>
      </c>
      <c r="BQ44" s="65">
        <f t="shared" si="55"/>
        <v>379382.70397182548</v>
      </c>
      <c r="BR44" s="65">
        <f t="shared" si="55"/>
        <v>413304.19748343102</v>
      </c>
      <c r="BS44" s="65">
        <f t="shared" si="55"/>
        <v>447987.10533801082</v>
      </c>
      <c r="BT44" s="65">
        <f t="shared" si="55"/>
        <v>482476.62694775435</v>
      </c>
      <c r="BU44" s="65">
        <f t="shared" si="55"/>
        <v>513971.55829692452</v>
      </c>
      <c r="BV44" s="65">
        <f t="shared" si="55"/>
        <v>516904.23527484236</v>
      </c>
    </row>
    <row r="45" spans="1:74" s="63" customFormat="1" x14ac:dyDescent="0.25">
      <c r="A45" s="63" t="s">
        <v>251</v>
      </c>
      <c r="B45" s="63" t="s">
        <v>90</v>
      </c>
      <c r="C45" s="64" t="s">
        <v>316</v>
      </c>
      <c r="D45" s="65">
        <f t="shared" ref="D45:AI45" si="56">D18/D$28</f>
        <v>13110.119047619048</v>
      </c>
      <c r="E45" s="65">
        <f t="shared" si="56"/>
        <v>14904.411764705881</v>
      </c>
      <c r="F45" s="65">
        <f t="shared" si="56"/>
        <v>17160.583941605837</v>
      </c>
      <c r="G45" s="65">
        <f t="shared" si="56"/>
        <v>25345.195729537365</v>
      </c>
      <c r="H45" s="65">
        <f t="shared" si="56"/>
        <v>30706.447187928668</v>
      </c>
      <c r="I45" s="65">
        <f t="shared" si="56"/>
        <v>32889.480692410121</v>
      </c>
      <c r="J45" s="65">
        <f t="shared" si="56"/>
        <v>38498.360655737706</v>
      </c>
      <c r="K45" s="65">
        <f t="shared" si="56"/>
        <v>41332.470892626137</v>
      </c>
      <c r="L45" s="65">
        <f t="shared" si="56"/>
        <v>42763.241863433308</v>
      </c>
      <c r="M45" s="65">
        <f t="shared" si="56"/>
        <v>43095.388502842703</v>
      </c>
      <c r="N45" s="65">
        <f t="shared" si="56"/>
        <v>49656.679151061173</v>
      </c>
      <c r="O45" s="65">
        <f t="shared" si="56"/>
        <v>53115.360888340532</v>
      </c>
      <c r="P45" s="65">
        <f t="shared" si="56"/>
        <v>53013.947847180112</v>
      </c>
      <c r="Q45" s="65">
        <f t="shared" si="56"/>
        <v>56178.041543026702</v>
      </c>
      <c r="R45" s="65">
        <f t="shared" si="56"/>
        <v>54844.470046082948</v>
      </c>
      <c r="S45" s="65">
        <f t="shared" si="56"/>
        <v>54290.484140233726</v>
      </c>
      <c r="T45" s="65">
        <f t="shared" si="56"/>
        <v>52410.85683874401</v>
      </c>
      <c r="U45" s="65">
        <f t="shared" si="56"/>
        <v>47407.781707933304</v>
      </c>
      <c r="V45" s="65">
        <f t="shared" si="56"/>
        <v>45966.346153846156</v>
      </c>
      <c r="W45" s="65">
        <f t="shared" si="56"/>
        <v>46539.697108765489</v>
      </c>
      <c r="X45" s="65">
        <f t="shared" si="56"/>
        <v>45362.956445226569</v>
      </c>
      <c r="Y45" s="65">
        <f t="shared" si="56"/>
        <v>43145.790554414787</v>
      </c>
      <c r="Z45" s="65">
        <f t="shared" si="56"/>
        <v>40911.797543729066</v>
      </c>
      <c r="AA45" s="65">
        <f t="shared" si="56"/>
        <v>41875.43493389005</v>
      </c>
      <c r="AB45" s="65">
        <f t="shared" si="56"/>
        <v>42676.83322517846</v>
      </c>
      <c r="AC45" s="65">
        <f t="shared" si="56"/>
        <v>43730.617208878073</v>
      </c>
      <c r="AD45" s="65">
        <f t="shared" si="56"/>
        <v>45187.060478199724</v>
      </c>
      <c r="AE45" s="65">
        <f t="shared" si="56"/>
        <v>45503.234152652003</v>
      </c>
      <c r="AF45" s="65">
        <f t="shared" si="56"/>
        <v>47695.570216776629</v>
      </c>
      <c r="AG45" s="65">
        <f t="shared" si="56"/>
        <v>49180.436219431591</v>
      </c>
      <c r="AH45" s="65">
        <f t="shared" si="56"/>
        <v>52478.361832383365</v>
      </c>
      <c r="AI45" s="65">
        <f t="shared" si="56"/>
        <v>57713.470552272258</v>
      </c>
      <c r="AJ45" s="65">
        <f t="shared" ref="AJ45:BO45" si="57">AJ18/AJ$28</f>
        <v>63703.411555906132</v>
      </c>
      <c r="AK45" s="65">
        <f t="shared" si="57"/>
        <v>65560.270009643209</v>
      </c>
      <c r="AL45" s="65">
        <f t="shared" si="57"/>
        <v>69215.242407092999</v>
      </c>
      <c r="AM45" s="65">
        <f t="shared" si="57"/>
        <v>68125.342590900778</v>
      </c>
      <c r="AN45" s="65">
        <f t="shared" si="57"/>
        <v>62030.207235686685</v>
      </c>
      <c r="AO45" s="65">
        <f t="shared" si="57"/>
        <v>57368.688580142327</v>
      </c>
      <c r="AP45" s="65">
        <f t="shared" si="57"/>
        <v>51071.48699492884</v>
      </c>
      <c r="AQ45" s="65">
        <f t="shared" si="57"/>
        <v>50293.648260453236</v>
      </c>
      <c r="AR45" s="65">
        <f t="shared" si="57"/>
        <v>46865.741462653983</v>
      </c>
      <c r="AS45" s="65">
        <f t="shared" si="57"/>
        <v>46097.970395238823</v>
      </c>
      <c r="AT45" s="65">
        <f t="shared" si="57"/>
        <v>48469.814704124328</v>
      </c>
      <c r="AU45" s="65">
        <f t="shared" si="57"/>
        <v>46014.960398943971</v>
      </c>
      <c r="AV45" s="65">
        <f t="shared" si="57"/>
        <v>46485.084306095981</v>
      </c>
      <c r="AW45" s="65">
        <f t="shared" si="57"/>
        <v>46518.645032735556</v>
      </c>
      <c r="AX45" s="65">
        <f t="shared" si="57"/>
        <v>42997.328834528329</v>
      </c>
      <c r="AY45" s="65">
        <f t="shared" si="57"/>
        <v>37863.930588073272</v>
      </c>
      <c r="AZ45" s="65">
        <f t="shared" si="57"/>
        <v>38182.062659674601</v>
      </c>
      <c r="BA45" s="65">
        <f t="shared" si="57"/>
        <v>39376.489277204135</v>
      </c>
      <c r="BB45" s="65">
        <f t="shared" si="57"/>
        <v>38980.387063254966</v>
      </c>
      <c r="BC45" s="65">
        <f t="shared" si="57"/>
        <v>43410.675795613039</v>
      </c>
      <c r="BD45" s="65">
        <f t="shared" si="57"/>
        <v>44932.939584102372</v>
      </c>
      <c r="BE45" s="65">
        <f t="shared" si="57"/>
        <v>46119.65200810392</v>
      </c>
      <c r="BF45" s="65">
        <f t="shared" si="57"/>
        <v>45923.219670610066</v>
      </c>
      <c r="BG45" s="65">
        <f t="shared" si="57"/>
        <v>61988.410407908195</v>
      </c>
      <c r="BH45" s="65">
        <f t="shared" si="57"/>
        <v>62943.425936340122</v>
      </c>
      <c r="BI45" s="65">
        <f t="shared" si="57"/>
        <v>63551.516503122206</v>
      </c>
      <c r="BJ45" s="65">
        <f t="shared" si="57"/>
        <v>63789.899431569749</v>
      </c>
      <c r="BK45" s="65">
        <f t="shared" si="57"/>
        <v>59719.776680266266</v>
      </c>
      <c r="BL45" s="65">
        <f t="shared" si="57"/>
        <v>54419.487503954442</v>
      </c>
      <c r="BM45" s="65">
        <f t="shared" si="57"/>
        <v>49840.513670256834</v>
      </c>
      <c r="BN45" s="65">
        <f t="shared" si="57"/>
        <v>49031.365313653136</v>
      </c>
      <c r="BO45" s="65">
        <f t="shared" si="57"/>
        <v>43943.461460239982</v>
      </c>
      <c r="BP45" s="65">
        <f t="shared" ref="BP45:BV45" si="58">BP18/BP$28</f>
        <v>44910</v>
      </c>
      <c r="BQ45" s="65">
        <f t="shared" si="58"/>
        <v>47452.553316376441</v>
      </c>
      <c r="BR45" s="65">
        <f t="shared" si="58"/>
        <v>47136.682355201236</v>
      </c>
      <c r="BS45" s="65">
        <f t="shared" si="58"/>
        <v>55592.111500900734</v>
      </c>
      <c r="BT45" s="65">
        <f t="shared" si="58"/>
        <v>53061.411549037584</v>
      </c>
      <c r="BU45" s="65">
        <f t="shared" si="58"/>
        <v>55082.669408035639</v>
      </c>
      <c r="BV45" s="65">
        <f t="shared" si="58"/>
        <v>54609.65020070452</v>
      </c>
    </row>
    <row r="46" spans="1:74" s="63" customFormat="1" x14ac:dyDescent="0.25">
      <c r="A46" s="63" t="s">
        <v>251</v>
      </c>
      <c r="B46" s="63" t="s">
        <v>90</v>
      </c>
      <c r="C46" s="64" t="s">
        <v>317</v>
      </c>
      <c r="D46" s="65">
        <f t="shared" ref="D46:AI46" si="59">D19/D$28</f>
        <v>12180.059523809525</v>
      </c>
      <c r="E46" s="65">
        <f t="shared" si="59"/>
        <v>12448.529411764704</v>
      </c>
      <c r="F46" s="65">
        <f t="shared" si="59"/>
        <v>12759.124087591239</v>
      </c>
      <c r="G46" s="65">
        <f t="shared" si="59"/>
        <v>16206.405693950177</v>
      </c>
      <c r="H46" s="65">
        <f t="shared" si="59"/>
        <v>14986.282578875171</v>
      </c>
      <c r="I46" s="65">
        <f t="shared" si="59"/>
        <v>14993.342210386152</v>
      </c>
      <c r="J46" s="65">
        <f t="shared" si="59"/>
        <v>16845.901639344262</v>
      </c>
      <c r="K46" s="65">
        <f t="shared" si="59"/>
        <v>19068.564036222509</v>
      </c>
      <c r="L46" s="65">
        <f t="shared" si="59"/>
        <v>20427.568602425014</v>
      </c>
      <c r="M46" s="65">
        <f t="shared" si="59"/>
        <v>20587.492103600758</v>
      </c>
      <c r="N46" s="65">
        <f t="shared" si="59"/>
        <v>22147.315855181023</v>
      </c>
      <c r="O46" s="65">
        <f t="shared" si="59"/>
        <v>23818.630475015423</v>
      </c>
      <c r="P46" s="65">
        <f t="shared" si="59"/>
        <v>26882.959369314736</v>
      </c>
      <c r="Q46" s="65">
        <f t="shared" si="59"/>
        <v>29537.091988130564</v>
      </c>
      <c r="R46" s="65">
        <f t="shared" si="59"/>
        <v>33191.244239631334</v>
      </c>
      <c r="S46" s="65">
        <f t="shared" si="59"/>
        <v>35314.41291040623</v>
      </c>
      <c r="T46" s="65">
        <f t="shared" si="59"/>
        <v>38052.155401809468</v>
      </c>
      <c r="U46" s="65">
        <f t="shared" si="59"/>
        <v>37842.344618494193</v>
      </c>
      <c r="V46" s="65">
        <f t="shared" si="59"/>
        <v>37403.846153846156</v>
      </c>
      <c r="W46" s="65">
        <f t="shared" si="59"/>
        <v>39160.165213400644</v>
      </c>
      <c r="X46" s="65">
        <f t="shared" si="59"/>
        <v>43106.027276726789</v>
      </c>
      <c r="Y46" s="65">
        <f t="shared" si="59"/>
        <v>44747.433264887062</v>
      </c>
      <c r="Z46" s="65">
        <f t="shared" si="59"/>
        <v>43170.822478600669</v>
      </c>
      <c r="AA46" s="65">
        <f t="shared" si="59"/>
        <v>44979.123173277665</v>
      </c>
      <c r="AB46" s="65">
        <f t="shared" si="59"/>
        <v>46625.567813108377</v>
      </c>
      <c r="AC46" s="65">
        <f t="shared" si="59"/>
        <v>50179.385831559739</v>
      </c>
      <c r="AD46" s="65">
        <f t="shared" si="59"/>
        <v>53988.748241912799</v>
      </c>
      <c r="AE46" s="65">
        <f t="shared" si="59"/>
        <v>59366.106080206984</v>
      </c>
      <c r="AF46" s="65">
        <f t="shared" si="59"/>
        <v>60831.762488218665</v>
      </c>
      <c r="AG46" s="65">
        <f t="shared" si="59"/>
        <v>64520.819563780562</v>
      </c>
      <c r="AH46" s="65">
        <f t="shared" si="59"/>
        <v>68855.815917247208</v>
      </c>
      <c r="AI46" s="65">
        <f t="shared" si="59"/>
        <v>77063.378846545747</v>
      </c>
      <c r="AJ46" s="65">
        <f t="shared" ref="AJ46:BO46" si="60">AJ19/AJ$28</f>
        <v>82541.904949714066</v>
      </c>
      <c r="AK46" s="65">
        <f t="shared" si="60"/>
        <v>79961.427193828364</v>
      </c>
      <c r="AL46" s="65">
        <f t="shared" si="60"/>
        <v>80709.300132050557</v>
      </c>
      <c r="AM46" s="65">
        <f t="shared" si="60"/>
        <v>85446.738534624514</v>
      </c>
      <c r="AN46" s="65">
        <f t="shared" si="60"/>
        <v>91011.591148577441</v>
      </c>
      <c r="AO46" s="65">
        <f t="shared" si="60"/>
        <v>100928.49881396139</v>
      </c>
      <c r="AP46" s="65">
        <f t="shared" si="60"/>
        <v>103381.31850155407</v>
      </c>
      <c r="AQ46" s="65">
        <f t="shared" si="60"/>
        <v>107831.15225023938</v>
      </c>
      <c r="AR46" s="65">
        <f t="shared" si="60"/>
        <v>107384.9992203337</v>
      </c>
      <c r="AS46" s="65">
        <f t="shared" si="60"/>
        <v>109699.37433236686</v>
      </c>
      <c r="AT46" s="65">
        <f t="shared" si="60"/>
        <v>119154.21398684997</v>
      </c>
      <c r="AU46" s="65">
        <f t="shared" si="60"/>
        <v>130583.74889997067</v>
      </c>
      <c r="AV46" s="65">
        <f t="shared" si="60"/>
        <v>137384.34932987462</v>
      </c>
      <c r="AW46" s="65">
        <f t="shared" si="60"/>
        <v>157792.48505550812</v>
      </c>
      <c r="AX46" s="65">
        <f t="shared" si="60"/>
        <v>172262.05539153662</v>
      </c>
      <c r="AY46" s="65">
        <f t="shared" si="60"/>
        <v>193567.001790387</v>
      </c>
      <c r="AZ46" s="65">
        <f t="shared" si="60"/>
        <v>185249.42853301062</v>
      </c>
      <c r="BA46" s="65">
        <f t="shared" si="60"/>
        <v>192049.24543288324</v>
      </c>
      <c r="BB46" s="65">
        <f t="shared" si="60"/>
        <v>186357.9685673464</v>
      </c>
      <c r="BC46" s="65">
        <f t="shared" si="60"/>
        <v>178747.3056929124</v>
      </c>
      <c r="BD46" s="65">
        <f t="shared" si="60"/>
        <v>193281.65374677003</v>
      </c>
      <c r="BE46" s="65">
        <f t="shared" si="60"/>
        <v>204745.56071981887</v>
      </c>
      <c r="BF46" s="65">
        <f t="shared" si="60"/>
        <v>215714.45140338669</v>
      </c>
      <c r="BG46" s="65">
        <f t="shared" si="60"/>
        <v>229346.66515168731</v>
      </c>
      <c r="BH46" s="65">
        <f t="shared" si="60"/>
        <v>220652.34506804633</v>
      </c>
      <c r="BI46" s="65">
        <f t="shared" si="60"/>
        <v>211368.19803746653</v>
      </c>
      <c r="BJ46" s="65">
        <f t="shared" si="60"/>
        <v>227107.56449497159</v>
      </c>
      <c r="BK46" s="65">
        <f t="shared" si="60"/>
        <v>228385.22654069142</v>
      </c>
      <c r="BL46" s="65">
        <f t="shared" si="60"/>
        <v>242580.40704418434</v>
      </c>
      <c r="BM46" s="65">
        <f t="shared" si="60"/>
        <v>256315.2444076222</v>
      </c>
      <c r="BN46" s="65">
        <f t="shared" si="60"/>
        <v>265162.97662976629</v>
      </c>
      <c r="BO46" s="65">
        <f t="shared" si="60"/>
        <v>279513.9312588977</v>
      </c>
      <c r="BP46" s="65">
        <f t="shared" ref="BP46:BV46" si="61">BP19/BP$28</f>
        <v>298755</v>
      </c>
      <c r="BQ46" s="65">
        <f t="shared" si="61"/>
        <v>325456.85775777732</v>
      </c>
      <c r="BR46" s="65">
        <f t="shared" si="61"/>
        <v>359939.48708097206</v>
      </c>
      <c r="BS46" s="65">
        <f t="shared" si="61"/>
        <v>386130.65326633165</v>
      </c>
      <c r="BT46" s="65">
        <f t="shared" si="61"/>
        <v>422501.37488542625</v>
      </c>
      <c r="BU46" s="65">
        <f t="shared" si="61"/>
        <v>452161.3980981753</v>
      </c>
      <c r="BV46" s="65">
        <f t="shared" si="61"/>
        <v>455464.0779880397</v>
      </c>
    </row>
    <row r="47" spans="1:74" s="63" customFormat="1" x14ac:dyDescent="0.25">
      <c r="A47" s="63" t="s">
        <v>251</v>
      </c>
      <c r="B47" s="63" t="s">
        <v>90</v>
      </c>
      <c r="C47" s="64" t="s">
        <v>318</v>
      </c>
      <c r="D47" s="65">
        <f t="shared" ref="D47:AI47" si="62">D20/D$28</f>
        <v>22.321428571428573</v>
      </c>
      <c r="E47" s="65">
        <f t="shared" si="62"/>
        <v>22.058823529411764</v>
      </c>
      <c r="F47" s="65">
        <f t="shared" si="62"/>
        <v>21.897810218978101</v>
      </c>
      <c r="G47" s="65">
        <f t="shared" si="62"/>
        <v>28.469750889679712</v>
      </c>
      <c r="H47" s="65">
        <f t="shared" si="62"/>
        <v>27.434842249657063</v>
      </c>
      <c r="I47" s="65">
        <f t="shared" si="62"/>
        <v>26.631158455392811</v>
      </c>
      <c r="J47" s="65">
        <f t="shared" si="62"/>
        <v>32.786885245901637</v>
      </c>
      <c r="K47" s="65">
        <f t="shared" si="62"/>
        <v>32.341526520051751</v>
      </c>
      <c r="L47" s="65">
        <f t="shared" si="62"/>
        <v>31.90810465858328</v>
      </c>
      <c r="M47" s="65">
        <f t="shared" si="62"/>
        <v>37.90271636133923</v>
      </c>
      <c r="N47" s="65">
        <f t="shared" si="62"/>
        <v>37.453183520599246</v>
      </c>
      <c r="O47" s="65">
        <f t="shared" si="62"/>
        <v>43.183220234423196</v>
      </c>
      <c r="P47" s="65">
        <f t="shared" si="62"/>
        <v>48.514251061249247</v>
      </c>
      <c r="Q47" s="65">
        <f t="shared" si="62"/>
        <v>59.347181008902076</v>
      </c>
      <c r="R47" s="65">
        <f t="shared" si="62"/>
        <v>57.603686635944698</v>
      </c>
      <c r="S47" s="65">
        <f t="shared" si="62"/>
        <v>50.083472454090149</v>
      </c>
      <c r="T47" s="65">
        <f t="shared" si="62"/>
        <v>42.575838211814791</v>
      </c>
      <c r="U47" s="65">
        <f t="shared" si="62"/>
        <v>35.371399696816574</v>
      </c>
      <c r="V47" s="65">
        <f t="shared" si="62"/>
        <v>43.269230769230774</v>
      </c>
      <c r="W47" s="65">
        <f t="shared" si="62"/>
        <v>64.24965580541533</v>
      </c>
      <c r="X47" s="65">
        <f t="shared" si="62"/>
        <v>87.989441267047951</v>
      </c>
      <c r="Y47" s="65">
        <f t="shared" si="62"/>
        <v>102.6694045174538</v>
      </c>
      <c r="Z47" s="65">
        <f t="shared" si="62"/>
        <v>100.48381094157052</v>
      </c>
      <c r="AA47" s="65">
        <f t="shared" si="62"/>
        <v>107.86360473208073</v>
      </c>
      <c r="AB47" s="65">
        <f t="shared" si="62"/>
        <v>129.78585334198573</v>
      </c>
      <c r="AC47" s="65">
        <f t="shared" si="62"/>
        <v>148.98145332927942</v>
      </c>
      <c r="AD47" s="65">
        <f t="shared" si="62"/>
        <v>157.52461322081575</v>
      </c>
      <c r="AE47" s="65">
        <f t="shared" si="62"/>
        <v>175.93790426908149</v>
      </c>
      <c r="AF47" s="65">
        <f t="shared" si="62"/>
        <v>188.50141376060321</v>
      </c>
      <c r="AG47" s="65">
        <f t="shared" si="62"/>
        <v>193.87530293016081</v>
      </c>
      <c r="AH47" s="65">
        <f t="shared" si="62"/>
        <v>204.77095207937512</v>
      </c>
      <c r="AI47" s="65">
        <f t="shared" si="62"/>
        <v>220.09374363154677</v>
      </c>
      <c r="AJ47" s="65">
        <f t="shared" ref="AJ47:BO47" si="63">AJ20/AJ$28</f>
        <v>236.63971603234077</v>
      </c>
      <c r="AK47" s="65">
        <f t="shared" si="63"/>
        <v>262.29508196721315</v>
      </c>
      <c r="AL47" s="65">
        <f t="shared" si="63"/>
        <v>292.39766081871346</v>
      </c>
      <c r="AM47" s="65">
        <f t="shared" si="63"/>
        <v>328.88726475424812</v>
      </c>
      <c r="AN47" s="65">
        <f t="shared" si="63"/>
        <v>360.02809975412714</v>
      </c>
      <c r="AO47" s="65">
        <f t="shared" si="63"/>
        <v>382.92104371399529</v>
      </c>
      <c r="AP47" s="65">
        <f t="shared" si="63"/>
        <v>390.97006379846232</v>
      </c>
      <c r="AQ47" s="65">
        <f t="shared" si="63"/>
        <v>392.59495691030958</v>
      </c>
      <c r="AR47" s="65">
        <f t="shared" si="63"/>
        <v>403.86714486199907</v>
      </c>
      <c r="AS47" s="65">
        <f t="shared" si="63"/>
        <v>421.1811384098886</v>
      </c>
      <c r="AT47" s="65">
        <f t="shared" si="63"/>
        <v>430.36461446503284</v>
      </c>
      <c r="AU47" s="65">
        <f t="shared" si="63"/>
        <v>447.34526254033443</v>
      </c>
      <c r="AV47" s="65">
        <f t="shared" si="63"/>
        <v>440.98573281452661</v>
      </c>
      <c r="AW47" s="65">
        <f t="shared" si="63"/>
        <v>435.52519214346711</v>
      </c>
      <c r="AX47" s="65">
        <f t="shared" si="63"/>
        <v>456.90988331224514</v>
      </c>
      <c r="AY47" s="65">
        <f t="shared" si="63"/>
        <v>484.78171050819446</v>
      </c>
      <c r="AZ47" s="65">
        <f t="shared" si="63"/>
        <v>512.3033481242436</v>
      </c>
      <c r="BA47" s="65">
        <f t="shared" si="63"/>
        <v>562.61583267143237</v>
      </c>
      <c r="BB47" s="65">
        <f t="shared" si="63"/>
        <v>606.57228211456027</v>
      </c>
      <c r="BC47" s="65">
        <f t="shared" si="63"/>
        <v>609.86433371370617</v>
      </c>
      <c r="BD47" s="65">
        <f t="shared" si="63"/>
        <v>616.46363971945368</v>
      </c>
      <c r="BE47" s="65">
        <f t="shared" si="63"/>
        <v>619.71159575735908</v>
      </c>
      <c r="BF47" s="65">
        <f t="shared" si="63"/>
        <v>626.30480167014616</v>
      </c>
      <c r="BG47" s="65">
        <f t="shared" si="63"/>
        <v>669.24213157595727</v>
      </c>
      <c r="BH47" s="65">
        <f t="shared" si="63"/>
        <v>1029.130581486897</v>
      </c>
      <c r="BI47" s="65">
        <f t="shared" si="63"/>
        <v>1382.6940231935771</v>
      </c>
      <c r="BJ47" s="65">
        <f t="shared" si="63"/>
        <v>1464.801049409707</v>
      </c>
      <c r="BK47" s="65">
        <f t="shared" si="63"/>
        <v>1636.2465106291604</v>
      </c>
      <c r="BL47" s="65">
        <f t="shared" si="63"/>
        <v>1761.0460824633553</v>
      </c>
      <c r="BM47" s="65">
        <f t="shared" si="63"/>
        <v>1844.4490472245236</v>
      </c>
      <c r="BN47" s="65">
        <f t="shared" si="63"/>
        <v>1896.268962689627</v>
      </c>
      <c r="BO47" s="65">
        <f t="shared" si="63"/>
        <v>1990.0345739271913</v>
      </c>
      <c r="BP47" s="65">
        <f t="shared" ref="BP47:BV47" si="64">BP20/BP$28</f>
        <v>2091</v>
      </c>
      <c r="BQ47" s="65">
        <f t="shared" si="64"/>
        <v>2143.4161612208959</v>
      </c>
      <c r="BR47" s="65">
        <f t="shared" si="64"/>
        <v>2123.7153011238115</v>
      </c>
      <c r="BS47" s="65">
        <f t="shared" si="64"/>
        <v>2148.4782402578935</v>
      </c>
      <c r="BT47" s="65">
        <f t="shared" si="64"/>
        <v>2226.3978001833179</v>
      </c>
      <c r="BU47" s="65">
        <f t="shared" si="64"/>
        <v>2296.7531911248179</v>
      </c>
      <c r="BV47" s="65">
        <f t="shared" si="64"/>
        <v>2415.8269845170807</v>
      </c>
    </row>
    <row r="48" spans="1:74" s="63" customFormat="1" x14ac:dyDescent="0.25">
      <c r="A48" s="63" t="s">
        <v>251</v>
      </c>
      <c r="B48" s="63" t="s">
        <v>90</v>
      </c>
      <c r="C48" s="64" t="s">
        <v>237</v>
      </c>
      <c r="D48" s="65">
        <f t="shared" ref="D48:AI48" si="65">D21/D$28</f>
        <v>74.404761904761912</v>
      </c>
      <c r="E48" s="65">
        <f t="shared" si="65"/>
        <v>80.882352941176464</v>
      </c>
      <c r="F48" s="65">
        <f t="shared" si="65"/>
        <v>87.591240875912405</v>
      </c>
      <c r="G48" s="65">
        <f t="shared" si="65"/>
        <v>92.52669039145907</v>
      </c>
      <c r="H48" s="65">
        <f t="shared" si="65"/>
        <v>102.88065843621398</v>
      </c>
      <c r="I48" s="65">
        <f t="shared" si="65"/>
        <v>113.18242343541944</v>
      </c>
      <c r="J48" s="65">
        <f t="shared" si="65"/>
        <v>118.0327868852459</v>
      </c>
      <c r="K48" s="65">
        <f t="shared" si="65"/>
        <v>116.4294954721863</v>
      </c>
      <c r="L48" s="65">
        <f t="shared" si="65"/>
        <v>146.77728142948308</v>
      </c>
      <c r="M48" s="65">
        <f t="shared" si="65"/>
        <v>176.87934301958308</v>
      </c>
      <c r="N48" s="65">
        <f t="shared" si="65"/>
        <v>187.26591760299624</v>
      </c>
      <c r="O48" s="65">
        <f t="shared" si="65"/>
        <v>178.90191239975326</v>
      </c>
      <c r="P48" s="65">
        <f t="shared" si="65"/>
        <v>200.12128562765312</v>
      </c>
      <c r="Q48" s="65">
        <f t="shared" si="65"/>
        <v>219.58456973293767</v>
      </c>
      <c r="R48" s="65">
        <f t="shared" si="65"/>
        <v>230.41474654377879</v>
      </c>
      <c r="S48" s="65">
        <f t="shared" si="65"/>
        <v>239.28770172509738</v>
      </c>
      <c r="T48" s="65">
        <f t="shared" si="65"/>
        <v>239.48908994145822</v>
      </c>
      <c r="U48" s="65">
        <f t="shared" si="65"/>
        <v>232.44062657908034</v>
      </c>
      <c r="V48" s="65">
        <f t="shared" si="65"/>
        <v>240.38461538461539</v>
      </c>
      <c r="W48" s="65">
        <f t="shared" si="65"/>
        <v>256.99862322166132</v>
      </c>
      <c r="X48" s="65">
        <f t="shared" si="65"/>
        <v>303.56357237131544</v>
      </c>
      <c r="Y48" s="65">
        <f t="shared" si="65"/>
        <v>316.22176591375774</v>
      </c>
      <c r="Z48" s="65">
        <f t="shared" si="65"/>
        <v>316.33792333457387</v>
      </c>
      <c r="AA48" s="65">
        <f t="shared" si="65"/>
        <v>320.11134307585246</v>
      </c>
      <c r="AB48" s="65">
        <f t="shared" si="65"/>
        <v>337.4432186891629</v>
      </c>
      <c r="AC48" s="65">
        <f t="shared" si="65"/>
        <v>364.85253876558221</v>
      </c>
      <c r="AD48" s="65">
        <f t="shared" si="65"/>
        <v>374.12095639943743</v>
      </c>
      <c r="AE48" s="65">
        <f t="shared" si="65"/>
        <v>382.92367399741266</v>
      </c>
      <c r="AF48" s="65">
        <f t="shared" si="65"/>
        <v>393.49670122525919</v>
      </c>
      <c r="AG48" s="65">
        <f t="shared" si="65"/>
        <v>403.172504957039</v>
      </c>
      <c r="AH48" s="65">
        <f t="shared" si="65"/>
        <v>417.98606713109564</v>
      </c>
      <c r="AI48" s="65">
        <f t="shared" si="65"/>
        <v>444.26329733034436</v>
      </c>
      <c r="AJ48" s="65">
        <f t="shared" ref="AJ48:BO48" si="66">AJ21/AJ$28</f>
        <v>473.27943206468154</v>
      </c>
      <c r="AK48" s="65">
        <f t="shared" si="66"/>
        <v>513.0183220829316</v>
      </c>
      <c r="AL48" s="65">
        <f t="shared" si="66"/>
        <v>564.04451990190523</v>
      </c>
      <c r="AM48" s="65">
        <f t="shared" si="66"/>
        <v>615.75004567878671</v>
      </c>
      <c r="AN48" s="65">
        <f t="shared" si="66"/>
        <v>660.3442219880576</v>
      </c>
      <c r="AO48" s="65">
        <f t="shared" si="66"/>
        <v>701.45713317519494</v>
      </c>
      <c r="AP48" s="65">
        <f t="shared" si="66"/>
        <v>732.86438737117624</v>
      </c>
      <c r="AQ48" s="65">
        <f t="shared" si="66"/>
        <v>770.82668368975419</v>
      </c>
      <c r="AR48" s="65">
        <f t="shared" si="66"/>
        <v>818.64961796351167</v>
      </c>
      <c r="AS48" s="65">
        <f t="shared" si="66"/>
        <v>868.30459331603845</v>
      </c>
      <c r="AT48" s="65">
        <f t="shared" si="66"/>
        <v>923.4907352062163</v>
      </c>
      <c r="AU48" s="65">
        <f t="shared" si="66"/>
        <v>976.82604869463194</v>
      </c>
      <c r="AV48" s="65">
        <f t="shared" si="66"/>
        <v>1106.787721573714</v>
      </c>
      <c r="AW48" s="65">
        <f t="shared" si="66"/>
        <v>1159.9772274409336</v>
      </c>
      <c r="AX48" s="65">
        <f t="shared" si="66"/>
        <v>1231.5478700970054</v>
      </c>
      <c r="AY48" s="65">
        <f t="shared" si="66"/>
        <v>1404.7651838589727</v>
      </c>
      <c r="AZ48" s="65">
        <f t="shared" si="66"/>
        <v>1604.1414548877235</v>
      </c>
      <c r="BA48" s="65">
        <f t="shared" si="66"/>
        <v>1796.399258670903</v>
      </c>
      <c r="BB48" s="65">
        <f t="shared" si="66"/>
        <v>1985.9722041823613</v>
      </c>
      <c r="BC48" s="65">
        <f t="shared" si="66"/>
        <v>1929.7578293394195</v>
      </c>
      <c r="BD48" s="65">
        <f t="shared" si="66"/>
        <v>2008.1210778885197</v>
      </c>
      <c r="BE48" s="65">
        <f t="shared" si="66"/>
        <v>2023.5967107615304</v>
      </c>
      <c r="BF48" s="65">
        <f t="shared" si="66"/>
        <v>2136.3952679192762</v>
      </c>
      <c r="BG48" s="65">
        <f t="shared" si="66"/>
        <v>2956.4822179297807</v>
      </c>
      <c r="BH48" s="65">
        <f t="shared" si="66"/>
        <v>3348.3297716792263</v>
      </c>
      <c r="BI48" s="65">
        <f t="shared" si="66"/>
        <v>4044.380017841213</v>
      </c>
      <c r="BJ48" s="65">
        <f t="shared" si="66"/>
        <v>3872.9777000437257</v>
      </c>
      <c r="BK48" s="65">
        <f t="shared" si="66"/>
        <v>3649.345071934722</v>
      </c>
      <c r="BL48" s="65">
        <f t="shared" si="66"/>
        <v>4037.7517663186754</v>
      </c>
      <c r="BM48" s="65">
        <f t="shared" si="66"/>
        <v>4213.9602319801161</v>
      </c>
      <c r="BN48" s="65">
        <f t="shared" si="66"/>
        <v>4720.1722017220172</v>
      </c>
      <c r="BO48" s="65">
        <f t="shared" si="66"/>
        <v>4763.0669107179174</v>
      </c>
      <c r="BP48" s="65">
        <f t="shared" ref="BP48:BV48" si="67">BP21/BP$28</f>
        <v>4359</v>
      </c>
      <c r="BQ48" s="65">
        <f t="shared" si="67"/>
        <v>4329.8767364507921</v>
      </c>
      <c r="BR48" s="65">
        <f t="shared" si="67"/>
        <v>4104.3127461338972</v>
      </c>
      <c r="BS48" s="65">
        <f t="shared" si="67"/>
        <v>4115.8623305205274</v>
      </c>
      <c r="BT48" s="65">
        <f t="shared" si="67"/>
        <v>4687.4427131072416</v>
      </c>
      <c r="BU48" s="65">
        <f t="shared" si="67"/>
        <v>4430.7375995887951</v>
      </c>
      <c r="BV48" s="65">
        <f t="shared" si="67"/>
        <v>4414.6801015810606</v>
      </c>
    </row>
    <row r="49" spans="1:74" s="63" customFormat="1" x14ac:dyDescent="0.25">
      <c r="A49" s="63" t="s">
        <v>319</v>
      </c>
      <c r="B49" s="63" t="s">
        <v>90</v>
      </c>
      <c r="C49" s="64" t="s">
        <v>75</v>
      </c>
      <c r="D49" s="65">
        <f t="shared" ref="D49:AI49" si="68">D22/D$28</f>
        <v>11562.5</v>
      </c>
      <c r="E49" s="65">
        <f t="shared" si="68"/>
        <v>12272.058823529411</v>
      </c>
      <c r="F49" s="65">
        <f t="shared" si="68"/>
        <v>13284.671532846714</v>
      </c>
      <c r="G49" s="65">
        <f t="shared" si="68"/>
        <v>16519.572953736653</v>
      </c>
      <c r="H49" s="65">
        <f t="shared" si="68"/>
        <v>19643.347050754455</v>
      </c>
      <c r="I49" s="65">
        <f t="shared" si="68"/>
        <v>21944.074567243675</v>
      </c>
      <c r="J49" s="65">
        <f t="shared" si="68"/>
        <v>23639.344262295082</v>
      </c>
      <c r="K49" s="65">
        <f t="shared" si="68"/>
        <v>24961.190168175941</v>
      </c>
      <c r="L49" s="65">
        <f t="shared" si="68"/>
        <v>26132.737715379706</v>
      </c>
      <c r="M49" s="65">
        <f t="shared" si="68"/>
        <v>31054.958938723943</v>
      </c>
      <c r="N49" s="65">
        <f t="shared" si="68"/>
        <v>33146.067415730337</v>
      </c>
      <c r="O49" s="65">
        <f t="shared" si="68"/>
        <v>36360.271437384334</v>
      </c>
      <c r="P49" s="65">
        <f t="shared" si="68"/>
        <v>38047.301394784721</v>
      </c>
      <c r="Q49" s="65">
        <f t="shared" si="68"/>
        <v>39928.783382789312</v>
      </c>
      <c r="R49" s="65">
        <f t="shared" si="68"/>
        <v>41059.907834101381</v>
      </c>
      <c r="S49" s="65">
        <f t="shared" si="68"/>
        <v>41936.560934891488</v>
      </c>
      <c r="T49" s="65">
        <f t="shared" si="68"/>
        <v>42102.182011708355</v>
      </c>
      <c r="U49" s="65">
        <f t="shared" si="68"/>
        <v>41702.880242546744</v>
      </c>
      <c r="V49" s="65">
        <f t="shared" si="68"/>
        <v>40346.153846153851</v>
      </c>
      <c r="W49" s="65">
        <f t="shared" si="68"/>
        <v>40399.265718219365</v>
      </c>
      <c r="X49" s="65">
        <f t="shared" si="68"/>
        <v>41803.783545974482</v>
      </c>
      <c r="Y49" s="65">
        <f t="shared" si="68"/>
        <v>43080.082135523618</v>
      </c>
      <c r="Z49" s="65">
        <f t="shared" si="68"/>
        <v>42820.989951618903</v>
      </c>
      <c r="AA49" s="65">
        <f t="shared" si="68"/>
        <v>44429.366736256088</v>
      </c>
      <c r="AB49" s="65">
        <f t="shared" si="68"/>
        <v>45090.850097339397</v>
      </c>
      <c r="AC49" s="65">
        <f t="shared" si="68"/>
        <v>47595.013681970202</v>
      </c>
      <c r="AD49" s="65">
        <f t="shared" si="68"/>
        <v>49662.447257383967</v>
      </c>
      <c r="AE49" s="65">
        <f t="shared" si="68"/>
        <v>51425.614489003878</v>
      </c>
      <c r="AF49" s="65">
        <f t="shared" si="68"/>
        <v>54005.655042412822</v>
      </c>
      <c r="AG49" s="65">
        <f t="shared" si="68"/>
        <v>55825.071601674375</v>
      </c>
      <c r="AH49" s="65">
        <f t="shared" si="68"/>
        <v>59427.907958623597</v>
      </c>
      <c r="AI49" s="65">
        <f t="shared" si="68"/>
        <v>63382.922355818213</v>
      </c>
      <c r="AJ49" s="65">
        <f t="shared" ref="AJ49:BO49" si="69">AJ22/AJ$28</f>
        <v>68641.293630447646</v>
      </c>
      <c r="AK49" s="65">
        <f t="shared" si="69"/>
        <v>72246.865959498566</v>
      </c>
      <c r="AL49" s="65">
        <f t="shared" si="69"/>
        <v>73648.368232408975</v>
      </c>
      <c r="AM49" s="65">
        <f t="shared" si="69"/>
        <v>76055.17997441988</v>
      </c>
      <c r="AN49" s="65">
        <f t="shared" si="69"/>
        <v>80205.479452054788</v>
      </c>
      <c r="AO49" s="65">
        <f t="shared" si="69"/>
        <v>82944.764486614717</v>
      </c>
      <c r="AP49" s="65">
        <f t="shared" si="69"/>
        <v>88195.64861769999</v>
      </c>
      <c r="AQ49" s="65">
        <f t="shared" si="69"/>
        <v>85614.427066709221</v>
      </c>
      <c r="AR49" s="65">
        <f t="shared" si="69"/>
        <v>83708.0929362233</v>
      </c>
      <c r="AS49" s="65">
        <f t="shared" si="69"/>
        <v>81471.081947199753</v>
      </c>
      <c r="AT49" s="65">
        <f t="shared" si="69"/>
        <v>86560.071727435745</v>
      </c>
      <c r="AU49" s="65">
        <f t="shared" si="69"/>
        <v>89810.794954532132</v>
      </c>
      <c r="AV49" s="65">
        <f t="shared" si="69"/>
        <v>94783.109958207235</v>
      </c>
      <c r="AW49" s="65">
        <f t="shared" si="69"/>
        <v>94961.57130657557</v>
      </c>
      <c r="AX49" s="65">
        <f t="shared" si="69"/>
        <v>104339.9409531843</v>
      </c>
      <c r="AY49" s="65">
        <f t="shared" si="69"/>
        <v>111276.68365238949</v>
      </c>
      <c r="AZ49" s="65">
        <f t="shared" si="69"/>
        <v>122035.76711039396</v>
      </c>
      <c r="BA49" s="65">
        <f t="shared" si="69"/>
        <v>106780.51363516018</v>
      </c>
      <c r="BB49" s="65">
        <f t="shared" si="69"/>
        <v>122026.23717365891</v>
      </c>
      <c r="BC49" s="65">
        <f t="shared" si="69"/>
        <v>130938.25282109802</v>
      </c>
      <c r="BD49" s="65">
        <f t="shared" si="69"/>
        <v>129468.43853820598</v>
      </c>
      <c r="BE49" s="65">
        <f t="shared" si="69"/>
        <v>134665.71326421166</v>
      </c>
      <c r="BF49" s="65">
        <f t="shared" si="69"/>
        <v>140819.99536070519</v>
      </c>
      <c r="BG49" s="65">
        <f t="shared" si="69"/>
        <v>127891.14873309851</v>
      </c>
      <c r="BH49" s="65">
        <f t="shared" si="69"/>
        <v>125844.11202339444</v>
      </c>
      <c r="BI49" s="65">
        <f t="shared" si="69"/>
        <v>132821.14183764494</v>
      </c>
      <c r="BJ49" s="65">
        <f t="shared" si="69"/>
        <v>132389.59335373854</v>
      </c>
      <c r="BK49" s="65">
        <f t="shared" si="69"/>
        <v>134178.65578698734</v>
      </c>
      <c r="BL49" s="65">
        <f t="shared" si="69"/>
        <v>131105.13550564167</v>
      </c>
      <c r="BM49" s="65">
        <f t="shared" si="69"/>
        <v>133242.54349627174</v>
      </c>
      <c r="BN49" s="65">
        <f t="shared" si="69"/>
        <v>137657.85157851578</v>
      </c>
      <c r="BO49" s="65">
        <f t="shared" si="69"/>
        <v>150849.09497661176</v>
      </c>
      <c r="BP49" s="65">
        <f t="shared" ref="BP49:BV49" si="70">BP22/BP$28</f>
        <v>152574</v>
      </c>
      <c r="BQ49" s="65">
        <f t="shared" si="70"/>
        <v>157104.28487575817</v>
      </c>
      <c r="BR49" s="65">
        <f t="shared" si="70"/>
        <v>167687.06176159834</v>
      </c>
      <c r="BS49" s="65">
        <f t="shared" si="70"/>
        <v>169055.65563667394</v>
      </c>
      <c r="BT49" s="65">
        <f t="shared" si="70"/>
        <v>175155.82034830432</v>
      </c>
      <c r="BU49" s="65">
        <f t="shared" si="70"/>
        <v>183752.24877923413</v>
      </c>
      <c r="BV49" s="65">
        <f t="shared" si="70"/>
        <v>185481.28123207996</v>
      </c>
    </row>
    <row r="50" spans="1:74" s="63" customFormat="1" x14ac:dyDescent="0.25">
      <c r="A50" s="63" t="s">
        <v>319</v>
      </c>
      <c r="B50" s="63" t="s">
        <v>90</v>
      </c>
      <c r="C50" s="64" t="s">
        <v>316</v>
      </c>
      <c r="D50" s="65">
        <f t="shared" ref="D50:AI50" si="71">D23/D$28</f>
        <v>6770.8333333333339</v>
      </c>
      <c r="E50" s="65">
        <f t="shared" si="71"/>
        <v>7014.7058823529405</v>
      </c>
      <c r="F50" s="65">
        <f t="shared" si="71"/>
        <v>7518.2481751824807</v>
      </c>
      <c r="G50" s="65">
        <f t="shared" si="71"/>
        <v>9088.9679715302482</v>
      </c>
      <c r="H50" s="65">
        <f t="shared" si="71"/>
        <v>10781.893004115225</v>
      </c>
      <c r="I50" s="65">
        <f t="shared" si="71"/>
        <v>11910.785619174434</v>
      </c>
      <c r="J50" s="65">
        <f t="shared" si="71"/>
        <v>12590.163934426229</v>
      </c>
      <c r="K50" s="65">
        <f t="shared" si="71"/>
        <v>13421.733505821476</v>
      </c>
      <c r="L50" s="65">
        <f t="shared" si="71"/>
        <v>13860.880663688577</v>
      </c>
      <c r="M50" s="65">
        <f t="shared" si="71"/>
        <v>15742.261528742894</v>
      </c>
      <c r="N50" s="65">
        <f t="shared" si="71"/>
        <v>16660.424469413232</v>
      </c>
      <c r="O50" s="65">
        <f t="shared" si="71"/>
        <v>17865.515114127084</v>
      </c>
      <c r="P50" s="65">
        <f t="shared" si="71"/>
        <v>18283.808368708309</v>
      </c>
      <c r="Q50" s="65">
        <f t="shared" si="71"/>
        <v>18617.21068249258</v>
      </c>
      <c r="R50" s="65">
        <f t="shared" si="71"/>
        <v>18767.281105990784</v>
      </c>
      <c r="S50" s="65">
        <f t="shared" si="71"/>
        <v>18631.051752921536</v>
      </c>
      <c r="T50" s="65">
        <f t="shared" si="71"/>
        <v>18440.65992549228</v>
      </c>
      <c r="U50" s="65">
        <f t="shared" si="71"/>
        <v>18347.650328448712</v>
      </c>
      <c r="V50" s="65">
        <f t="shared" si="71"/>
        <v>17509.615384615387</v>
      </c>
      <c r="W50" s="65">
        <f t="shared" si="71"/>
        <v>17475.906379072967</v>
      </c>
      <c r="X50" s="65">
        <f t="shared" si="71"/>
        <v>17756.269247690278</v>
      </c>
      <c r="Y50" s="65">
        <f t="shared" si="71"/>
        <v>17618.069815195071</v>
      </c>
      <c r="Z50" s="65">
        <f t="shared" si="71"/>
        <v>17971.715668031262</v>
      </c>
      <c r="AA50" s="65">
        <f t="shared" si="71"/>
        <v>18225.469728601252</v>
      </c>
      <c r="AB50" s="65">
        <f t="shared" si="71"/>
        <v>17991.563919532771</v>
      </c>
      <c r="AC50" s="65">
        <f t="shared" si="71"/>
        <v>18394.648829431437</v>
      </c>
      <c r="AD50" s="65">
        <f t="shared" si="71"/>
        <v>18872.011251758089</v>
      </c>
      <c r="AE50" s="65">
        <f t="shared" si="71"/>
        <v>19503.234152652003</v>
      </c>
      <c r="AF50" s="65">
        <f t="shared" si="71"/>
        <v>20040.056550424128</v>
      </c>
      <c r="AG50" s="65">
        <f t="shared" si="71"/>
        <v>21024.454725710508</v>
      </c>
      <c r="AH50" s="65">
        <f t="shared" si="71"/>
        <v>22976.567447751742</v>
      </c>
      <c r="AI50" s="65">
        <f t="shared" si="71"/>
        <v>24624.006521296105</v>
      </c>
      <c r="AJ50" s="65">
        <f t="shared" ref="AJ50:BO50" si="72">AJ23/AJ$28</f>
        <v>27302.307237231315</v>
      </c>
      <c r="AK50" s="65">
        <f t="shared" si="72"/>
        <v>28040.501446480233</v>
      </c>
      <c r="AL50" s="65">
        <f t="shared" si="72"/>
        <v>28505.942275042446</v>
      </c>
      <c r="AM50" s="65">
        <f t="shared" si="72"/>
        <v>27451.123698154577</v>
      </c>
      <c r="AN50" s="65">
        <f t="shared" si="72"/>
        <v>28881.278538812785</v>
      </c>
      <c r="AO50" s="65">
        <f t="shared" si="72"/>
        <v>31184.344290071163</v>
      </c>
      <c r="AP50" s="65">
        <f t="shared" si="72"/>
        <v>35067.88810731229</v>
      </c>
      <c r="AQ50" s="65">
        <f t="shared" si="72"/>
        <v>32899.776571975737</v>
      </c>
      <c r="AR50" s="65">
        <f t="shared" si="72"/>
        <v>33075.003898331517</v>
      </c>
      <c r="AS50" s="65">
        <f t="shared" si="72"/>
        <v>32234.091255913321</v>
      </c>
      <c r="AT50" s="65">
        <f t="shared" si="72"/>
        <v>30271.966527196651</v>
      </c>
      <c r="AU50" s="65">
        <f t="shared" si="72"/>
        <v>32659.137577002057</v>
      </c>
      <c r="AV50" s="65">
        <f t="shared" si="72"/>
        <v>33474.564058221651</v>
      </c>
      <c r="AW50" s="65">
        <f t="shared" si="72"/>
        <v>27550.526615428407</v>
      </c>
      <c r="AX50" s="65">
        <f t="shared" si="72"/>
        <v>29942.359060874453</v>
      </c>
      <c r="AY50" s="65">
        <f t="shared" si="72"/>
        <v>32480.37460404903</v>
      </c>
      <c r="AZ50" s="65">
        <f t="shared" si="72"/>
        <v>37642.866747344357</v>
      </c>
      <c r="BA50" s="65">
        <f t="shared" si="72"/>
        <v>36691.818903891981</v>
      </c>
      <c r="BB50" s="65">
        <f t="shared" si="72"/>
        <v>40571.502792570463</v>
      </c>
      <c r="BC50" s="65">
        <f t="shared" si="72"/>
        <v>39671.611512615702</v>
      </c>
      <c r="BD50" s="65">
        <f t="shared" si="72"/>
        <v>40798.572659037774</v>
      </c>
      <c r="BE50" s="65">
        <f t="shared" si="72"/>
        <v>40868.787987129072</v>
      </c>
      <c r="BF50" s="65">
        <f t="shared" si="72"/>
        <v>47132.915796798887</v>
      </c>
      <c r="BG50" s="65">
        <f t="shared" si="72"/>
        <v>46500.397682081581</v>
      </c>
      <c r="BH50" s="65">
        <f t="shared" si="72"/>
        <v>54303.227983353951</v>
      </c>
      <c r="BI50" s="65">
        <f t="shared" si="72"/>
        <v>52614.852809991076</v>
      </c>
      <c r="BJ50" s="65">
        <f t="shared" si="72"/>
        <v>48703.541757761261</v>
      </c>
      <c r="BK50" s="65">
        <f t="shared" si="72"/>
        <v>48924.200128838311</v>
      </c>
      <c r="BL50" s="65">
        <f t="shared" si="72"/>
        <v>56445.217758093429</v>
      </c>
      <c r="BM50" s="65">
        <f t="shared" si="72"/>
        <v>58179.370339685171</v>
      </c>
      <c r="BN50" s="65">
        <f t="shared" si="72"/>
        <v>58257.48257482575</v>
      </c>
      <c r="BO50" s="65">
        <f t="shared" si="72"/>
        <v>62851.332113077078</v>
      </c>
      <c r="BP50" s="65">
        <f t="shared" ref="BP50:BV50" si="73">BP23/BP$28</f>
        <v>64915</v>
      </c>
      <c r="BQ50" s="65">
        <f t="shared" si="73"/>
        <v>68429.857170808056</v>
      </c>
      <c r="BR50" s="65">
        <f t="shared" si="73"/>
        <v>72635.673806550767</v>
      </c>
      <c r="BS50" s="65">
        <f t="shared" si="73"/>
        <v>76496.634113966065</v>
      </c>
      <c r="BT50" s="65">
        <f t="shared" si="73"/>
        <v>76795.600366636121</v>
      </c>
      <c r="BU50" s="65">
        <f t="shared" si="73"/>
        <v>78778.377452240209</v>
      </c>
      <c r="BV50" s="65">
        <f t="shared" si="73"/>
        <v>79380.683214549033</v>
      </c>
    </row>
    <row r="51" spans="1:74" s="63" customFormat="1" x14ac:dyDescent="0.25">
      <c r="A51" s="63" t="s">
        <v>319</v>
      </c>
      <c r="B51" s="63" t="s">
        <v>90</v>
      </c>
      <c r="C51" s="64" t="s">
        <v>317</v>
      </c>
      <c r="D51" s="65">
        <f t="shared" ref="D51:AI51" si="74">D24/D$28</f>
        <v>3437.5</v>
      </c>
      <c r="E51" s="65">
        <f t="shared" si="74"/>
        <v>3830.8823529411761</v>
      </c>
      <c r="F51" s="65">
        <f t="shared" si="74"/>
        <v>4343.0656934306562</v>
      </c>
      <c r="G51" s="65">
        <f t="shared" si="74"/>
        <v>5928.8256227758002</v>
      </c>
      <c r="H51" s="65">
        <f t="shared" si="74"/>
        <v>7119.341563786008</v>
      </c>
      <c r="I51" s="65">
        <f t="shared" si="74"/>
        <v>7902.7962716378161</v>
      </c>
      <c r="J51" s="65">
        <f t="shared" si="74"/>
        <v>8091.8032786885251</v>
      </c>
      <c r="K51" s="65">
        <f t="shared" si="74"/>
        <v>8143.5963777490306</v>
      </c>
      <c r="L51" s="65">
        <f t="shared" si="74"/>
        <v>7881.3018506700701</v>
      </c>
      <c r="M51" s="65">
        <f t="shared" si="74"/>
        <v>9595.7043588123815</v>
      </c>
      <c r="N51" s="65">
        <f t="shared" si="74"/>
        <v>9619.225967540573</v>
      </c>
      <c r="O51" s="65">
        <f t="shared" si="74"/>
        <v>10259.09932140654</v>
      </c>
      <c r="P51" s="65">
        <f t="shared" si="74"/>
        <v>10551.849605821712</v>
      </c>
      <c r="Q51" s="65">
        <f t="shared" si="74"/>
        <v>11560.830860534124</v>
      </c>
      <c r="R51" s="65">
        <f t="shared" si="74"/>
        <v>11670.506912442395</v>
      </c>
      <c r="S51" s="65">
        <f t="shared" si="74"/>
        <v>12693.377851975514</v>
      </c>
      <c r="T51" s="65">
        <f t="shared" si="74"/>
        <v>13257.051623203832</v>
      </c>
      <c r="U51" s="65">
        <f t="shared" si="74"/>
        <v>13264.274886306215</v>
      </c>
      <c r="V51" s="65">
        <f t="shared" si="74"/>
        <v>13019.23076923077</v>
      </c>
      <c r="W51" s="65">
        <f t="shared" si="74"/>
        <v>13005.966039467645</v>
      </c>
      <c r="X51" s="65">
        <f t="shared" si="74"/>
        <v>13713.154421469424</v>
      </c>
      <c r="Y51" s="65">
        <f t="shared" si="74"/>
        <v>14714.579055441478</v>
      </c>
      <c r="Z51" s="65">
        <f t="shared" si="74"/>
        <v>14082.620022329736</v>
      </c>
      <c r="AA51" s="65">
        <f t="shared" si="74"/>
        <v>14906.054279749478</v>
      </c>
      <c r="AB51" s="65">
        <f t="shared" si="74"/>
        <v>15392.602206359508</v>
      </c>
      <c r="AC51" s="65">
        <f t="shared" si="74"/>
        <v>16357.55548799027</v>
      </c>
      <c r="AD51" s="65">
        <f t="shared" si="74"/>
        <v>17617.440225035163</v>
      </c>
      <c r="AE51" s="65">
        <f t="shared" si="74"/>
        <v>18737.386804657181</v>
      </c>
      <c r="AF51" s="65">
        <f t="shared" si="74"/>
        <v>21550.424128180963</v>
      </c>
      <c r="AG51" s="65">
        <f t="shared" si="74"/>
        <v>22623.925974884336</v>
      </c>
      <c r="AH51" s="65">
        <f t="shared" si="74"/>
        <v>23890.648089508126</v>
      </c>
      <c r="AI51" s="65">
        <f t="shared" si="74"/>
        <v>25887.507642143875</v>
      </c>
      <c r="AJ51" s="65">
        <f t="shared" ref="AJ51:BO51" si="75">AJ24/AJ$28</f>
        <v>28132.518240978112</v>
      </c>
      <c r="AK51" s="65">
        <f t="shared" si="75"/>
        <v>32138.86210221794</v>
      </c>
      <c r="AL51" s="65">
        <f t="shared" si="75"/>
        <v>31899.641577060931</v>
      </c>
      <c r="AM51" s="65">
        <f t="shared" si="75"/>
        <v>33743.83336378586</v>
      </c>
      <c r="AN51" s="65">
        <f t="shared" si="75"/>
        <v>35416.227608008427</v>
      </c>
      <c r="AO51" s="65">
        <f t="shared" si="75"/>
        <v>35342.256862080656</v>
      </c>
      <c r="AP51" s="65">
        <f t="shared" si="75"/>
        <v>39380.009815148049</v>
      </c>
      <c r="AQ51" s="65">
        <f t="shared" si="75"/>
        <v>38204.596233641874</v>
      </c>
      <c r="AR51" s="65">
        <f t="shared" si="75"/>
        <v>35576.173397785751</v>
      </c>
      <c r="AS51" s="65">
        <f t="shared" si="75"/>
        <v>34184.343048985196</v>
      </c>
      <c r="AT51" s="65">
        <f t="shared" si="75"/>
        <v>40240.585774058578</v>
      </c>
      <c r="AU51" s="65">
        <f t="shared" si="75"/>
        <v>42264.593722499267</v>
      </c>
      <c r="AV51" s="65">
        <f t="shared" si="75"/>
        <v>48496.901570831535</v>
      </c>
      <c r="AW51" s="65">
        <f t="shared" si="75"/>
        <v>48104.184457728436</v>
      </c>
      <c r="AX51" s="65">
        <f t="shared" si="75"/>
        <v>54033.459862224096</v>
      </c>
      <c r="AY51" s="65">
        <f t="shared" si="75"/>
        <v>57302.024514529679</v>
      </c>
      <c r="AZ51" s="65">
        <f t="shared" si="75"/>
        <v>61848.863789162293</v>
      </c>
      <c r="BA51" s="65">
        <f t="shared" si="75"/>
        <v>42639.661106698441</v>
      </c>
      <c r="BB51" s="65">
        <f t="shared" si="75"/>
        <v>51154.695414988957</v>
      </c>
      <c r="BC51" s="65">
        <f t="shared" si="75"/>
        <v>60174.971472042605</v>
      </c>
      <c r="BD51" s="65">
        <f t="shared" si="75"/>
        <v>58367.171157868834</v>
      </c>
      <c r="BE51" s="65">
        <f t="shared" si="75"/>
        <v>63448.933381003459</v>
      </c>
      <c r="BF51" s="65">
        <f t="shared" si="75"/>
        <v>66758.292739503595</v>
      </c>
      <c r="BG51" s="65">
        <f t="shared" si="75"/>
        <v>57779.797750255653</v>
      </c>
      <c r="BH51" s="65">
        <f t="shared" si="75"/>
        <v>47794.398830277809</v>
      </c>
      <c r="BI51" s="65">
        <f t="shared" si="75"/>
        <v>54677.743086529881</v>
      </c>
      <c r="BJ51" s="65">
        <f t="shared" si="75"/>
        <v>57010.275470048102</v>
      </c>
      <c r="BK51" s="65">
        <f t="shared" si="75"/>
        <v>61009.233412067857</v>
      </c>
      <c r="BL51" s="65">
        <f t="shared" si="75"/>
        <v>58945.481387746491</v>
      </c>
      <c r="BM51" s="65">
        <f t="shared" si="75"/>
        <v>60468.102734051368</v>
      </c>
      <c r="BN51" s="65">
        <f t="shared" si="75"/>
        <v>64173.841738417381</v>
      </c>
      <c r="BO51" s="65">
        <f t="shared" si="75"/>
        <v>72139.515965019324</v>
      </c>
      <c r="BP51" s="65">
        <f t="shared" ref="BP51:BV51" si="76">BP24/BP$28</f>
        <v>72942</v>
      </c>
      <c r="BQ51" s="65">
        <f t="shared" si="76"/>
        <v>74774.016826452746</v>
      </c>
      <c r="BR51" s="65">
        <f t="shared" si="76"/>
        <v>83442.512726923451</v>
      </c>
      <c r="BS51" s="65">
        <f t="shared" si="76"/>
        <v>84094.055181568227</v>
      </c>
      <c r="BT51" s="65">
        <f t="shared" si="76"/>
        <v>93536.205316223655</v>
      </c>
      <c r="BU51" s="65">
        <f t="shared" si="76"/>
        <v>99345.498158142727</v>
      </c>
      <c r="BV51" s="65">
        <f t="shared" si="76"/>
        <v>100755.3043335791</v>
      </c>
    </row>
    <row r="52" spans="1:74" s="63" customFormat="1" x14ac:dyDescent="0.25">
      <c r="A52" s="63" t="s">
        <v>319</v>
      </c>
      <c r="B52" s="63" t="s">
        <v>90</v>
      </c>
      <c r="C52" s="64" t="s">
        <v>318</v>
      </c>
      <c r="D52" s="65">
        <f t="shared" ref="D52:AI52" si="77">D25/D$28</f>
        <v>468.75000000000006</v>
      </c>
      <c r="E52" s="65">
        <f t="shared" si="77"/>
        <v>507.35294117647055</v>
      </c>
      <c r="F52" s="65">
        <f t="shared" si="77"/>
        <v>554.74452554744516</v>
      </c>
      <c r="G52" s="65">
        <f t="shared" si="77"/>
        <v>619.21708185053376</v>
      </c>
      <c r="H52" s="65">
        <f t="shared" si="77"/>
        <v>699.58847736625512</v>
      </c>
      <c r="I52" s="65">
        <f t="shared" si="77"/>
        <v>778.96138482023969</v>
      </c>
      <c r="J52" s="65">
        <f t="shared" si="77"/>
        <v>865.57377049180332</v>
      </c>
      <c r="K52" s="65">
        <f t="shared" si="77"/>
        <v>937.90426908150073</v>
      </c>
      <c r="L52" s="65">
        <f t="shared" si="77"/>
        <v>1078.4939374601149</v>
      </c>
      <c r="M52" s="65">
        <f t="shared" si="77"/>
        <v>1231.8382817435249</v>
      </c>
      <c r="N52" s="65">
        <f t="shared" si="77"/>
        <v>1373.2833957553057</v>
      </c>
      <c r="O52" s="65">
        <f t="shared" si="77"/>
        <v>1455.8914250462678</v>
      </c>
      <c r="P52" s="65">
        <f t="shared" si="77"/>
        <v>1564.5845967252881</v>
      </c>
      <c r="Q52" s="65">
        <f t="shared" si="77"/>
        <v>1691.3946587537091</v>
      </c>
      <c r="R52" s="65">
        <f t="shared" si="77"/>
        <v>1797.2350230414745</v>
      </c>
      <c r="S52" s="65">
        <f t="shared" si="77"/>
        <v>1892.0422927100724</v>
      </c>
      <c r="T52" s="65">
        <f t="shared" si="77"/>
        <v>2006.3863757317722</v>
      </c>
      <c r="U52" s="65">
        <f t="shared" si="77"/>
        <v>2132.390096008085</v>
      </c>
      <c r="V52" s="65">
        <f t="shared" si="77"/>
        <v>2235.5769230769233</v>
      </c>
      <c r="W52" s="65">
        <f t="shared" si="77"/>
        <v>2271.6842588343275</v>
      </c>
      <c r="X52" s="65">
        <f t="shared" si="77"/>
        <v>2300.9238891333039</v>
      </c>
      <c r="Y52" s="65">
        <f t="shared" si="77"/>
        <v>2365.5030800821355</v>
      </c>
      <c r="Z52" s="65">
        <f t="shared" si="77"/>
        <v>2355.7871231857089</v>
      </c>
      <c r="AA52" s="65">
        <f t="shared" si="77"/>
        <v>2397.355601948504</v>
      </c>
      <c r="AB52" s="65">
        <f t="shared" si="77"/>
        <v>2504.8669695003246</v>
      </c>
      <c r="AC52" s="65">
        <f t="shared" si="77"/>
        <v>2651.261781696564</v>
      </c>
      <c r="AD52" s="65">
        <f t="shared" si="77"/>
        <v>2722.9254571026722</v>
      </c>
      <c r="AE52" s="65">
        <f t="shared" si="77"/>
        <v>2789.1332470892626</v>
      </c>
      <c r="AF52" s="65">
        <f t="shared" si="77"/>
        <v>2858.1526861451462</v>
      </c>
      <c r="AG52" s="65">
        <f t="shared" si="77"/>
        <v>2998.4578100903282</v>
      </c>
      <c r="AH52" s="65">
        <f t="shared" si="77"/>
        <v>3181.3383998311165</v>
      </c>
      <c r="AI52" s="65">
        <f t="shared" si="77"/>
        <v>3409.4151212553493</v>
      </c>
      <c r="AJ52" s="65">
        <f t="shared" ref="AJ52:BO52" si="78">AJ25/AJ$28</f>
        <v>3742.8515085781896</v>
      </c>
      <c r="AK52" s="65">
        <f t="shared" si="78"/>
        <v>4169.7203471552557</v>
      </c>
      <c r="AL52" s="65">
        <f t="shared" si="78"/>
        <v>4561.4035087719294</v>
      </c>
      <c r="AM52" s="65">
        <f t="shared" si="78"/>
        <v>4938.7904257262926</v>
      </c>
      <c r="AN52" s="65">
        <f t="shared" si="78"/>
        <v>5314.3659992975063</v>
      </c>
      <c r="AO52" s="65">
        <f t="shared" si="78"/>
        <v>5699.7627922738056</v>
      </c>
      <c r="AP52" s="65">
        <f t="shared" si="78"/>
        <v>5992.1478815638811</v>
      </c>
      <c r="AQ52" s="65">
        <f t="shared" si="78"/>
        <v>6200.1276731567186</v>
      </c>
      <c r="AR52" s="65">
        <f t="shared" si="78"/>
        <v>6424.4503352565107</v>
      </c>
      <c r="AS52" s="65">
        <f t="shared" si="78"/>
        <v>6726.6900656188009</v>
      </c>
      <c r="AT52" s="65">
        <f t="shared" si="78"/>
        <v>7033.7716676628806</v>
      </c>
      <c r="AU52" s="65">
        <f t="shared" si="78"/>
        <v>7447.9319448518627</v>
      </c>
      <c r="AV52" s="65">
        <f t="shared" si="78"/>
        <v>7685.5454676466352</v>
      </c>
      <c r="AW52" s="65">
        <f t="shared" si="78"/>
        <v>8057.2160546541418</v>
      </c>
      <c r="AX52" s="65">
        <f t="shared" si="78"/>
        <v>8605.3704484746231</v>
      </c>
      <c r="AY52" s="65">
        <f t="shared" si="78"/>
        <v>9495.9371987329578</v>
      </c>
      <c r="AZ52" s="65">
        <f t="shared" si="78"/>
        <v>10240.688449643672</v>
      </c>
      <c r="BA52" s="65">
        <f t="shared" si="78"/>
        <v>11309.240137675404</v>
      </c>
      <c r="BB52" s="65">
        <f t="shared" si="78"/>
        <v>12167.814001818417</v>
      </c>
      <c r="BC52" s="65">
        <f t="shared" si="78"/>
        <v>12161.785216178523</v>
      </c>
      <c r="BD52" s="65">
        <f t="shared" si="78"/>
        <v>12580.287929125139</v>
      </c>
      <c r="BE52" s="65">
        <f t="shared" si="78"/>
        <v>12923.370277678465</v>
      </c>
      <c r="BF52" s="65">
        <f t="shared" si="78"/>
        <v>13729.99304105776</v>
      </c>
      <c r="BG52" s="65">
        <f t="shared" si="78"/>
        <v>14832.40540847631</v>
      </c>
      <c r="BH52" s="65">
        <f t="shared" si="78"/>
        <v>15315.48757170172</v>
      </c>
      <c r="BI52" s="65">
        <f t="shared" si="78"/>
        <v>15493.978590544157</v>
      </c>
      <c r="BJ52" s="65">
        <f t="shared" si="78"/>
        <v>15594.665500655881</v>
      </c>
      <c r="BK52" s="65">
        <f t="shared" si="78"/>
        <v>15818.12325531458</v>
      </c>
      <c r="BL52" s="65">
        <f t="shared" si="78"/>
        <v>16530.633765685965</v>
      </c>
      <c r="BM52" s="65">
        <f t="shared" si="78"/>
        <v>17165.492957746479</v>
      </c>
      <c r="BN52" s="65">
        <f t="shared" si="78"/>
        <v>18503.48503485035</v>
      </c>
      <c r="BO52" s="65">
        <f t="shared" si="78"/>
        <v>16172.462883872278</v>
      </c>
      <c r="BP52" s="65">
        <f t="shared" ref="BP52:BV52" si="79">BP25/BP$28</f>
        <v>16872</v>
      </c>
      <c r="BQ52" s="65">
        <f t="shared" si="79"/>
        <v>17522.011348072785</v>
      </c>
      <c r="BR52" s="65">
        <f t="shared" si="79"/>
        <v>18008.836807223131</v>
      </c>
      <c r="BS52" s="65">
        <f t="shared" si="79"/>
        <v>19002.559969659618</v>
      </c>
      <c r="BT52" s="65">
        <f t="shared" si="79"/>
        <v>18863.428047662695</v>
      </c>
      <c r="BU52" s="65">
        <f t="shared" si="79"/>
        <v>19456.866272594878</v>
      </c>
      <c r="BV52" s="65">
        <f t="shared" si="79"/>
        <v>19594.494961907105</v>
      </c>
    </row>
    <row r="53" spans="1:74" s="63" customFormat="1" x14ac:dyDescent="0.25">
      <c r="A53" s="63" t="s">
        <v>319</v>
      </c>
      <c r="B53" s="63" t="s">
        <v>90</v>
      </c>
      <c r="C53" s="64" t="s">
        <v>237</v>
      </c>
      <c r="D53" s="65">
        <f t="shared" ref="D53:AI53" si="80">D26/D$28</f>
        <v>9962.7976190476202</v>
      </c>
      <c r="E53" s="65">
        <f t="shared" si="80"/>
        <v>10522.058823529411</v>
      </c>
      <c r="F53" s="65">
        <f t="shared" si="80"/>
        <v>11357.664233576641</v>
      </c>
      <c r="G53" s="65">
        <f t="shared" si="80"/>
        <v>14142.348754448398</v>
      </c>
      <c r="H53" s="65">
        <f t="shared" si="80"/>
        <v>16995.88477366255</v>
      </c>
      <c r="I53" s="65">
        <f t="shared" si="80"/>
        <v>18848.202396804259</v>
      </c>
      <c r="J53" s="65">
        <f t="shared" si="80"/>
        <v>19777.049180327871</v>
      </c>
      <c r="K53" s="65">
        <f t="shared" si="80"/>
        <v>20336.351875808541</v>
      </c>
      <c r="L53" s="65">
        <f t="shared" si="80"/>
        <v>20491.38481174218</v>
      </c>
      <c r="M53" s="65">
        <f t="shared" si="80"/>
        <v>23986.102337334178</v>
      </c>
      <c r="N53" s="65">
        <f t="shared" si="80"/>
        <v>24775.280898876405</v>
      </c>
      <c r="O53" s="65">
        <f t="shared" si="80"/>
        <v>26594.694632942628</v>
      </c>
      <c r="P53" s="65">
        <f t="shared" si="80"/>
        <v>27283.201940570045</v>
      </c>
      <c r="Q53" s="65">
        <f t="shared" si="80"/>
        <v>28433.234421364985</v>
      </c>
      <c r="R53" s="65">
        <f t="shared" si="80"/>
        <v>28744.239631336404</v>
      </c>
      <c r="S53" s="65">
        <f t="shared" si="80"/>
        <v>29404.563160823596</v>
      </c>
      <c r="T53" s="65">
        <f t="shared" si="80"/>
        <v>29861.6285258116</v>
      </c>
      <c r="U53" s="65">
        <f t="shared" si="80"/>
        <v>29914.098029307734</v>
      </c>
      <c r="V53" s="65">
        <f t="shared" si="80"/>
        <v>28918.26923076923</v>
      </c>
      <c r="W53" s="65">
        <f t="shared" si="80"/>
        <v>29150.986691142723</v>
      </c>
      <c r="X53" s="65">
        <f t="shared" si="80"/>
        <v>30303.563572371317</v>
      </c>
      <c r="Y53" s="65">
        <f t="shared" si="80"/>
        <v>31223.819301848049</v>
      </c>
      <c r="Z53" s="65">
        <f t="shared" si="80"/>
        <v>31246.743580200968</v>
      </c>
      <c r="AA53" s="65">
        <f t="shared" si="80"/>
        <v>32432.1503131524</v>
      </c>
      <c r="AB53" s="65">
        <f t="shared" si="80"/>
        <v>32566.515249837772</v>
      </c>
      <c r="AC53" s="65">
        <f t="shared" si="80"/>
        <v>33791.425965339004</v>
      </c>
      <c r="AD53" s="65">
        <f t="shared" si="80"/>
        <v>35248.945147679326</v>
      </c>
      <c r="AE53" s="65">
        <f t="shared" si="80"/>
        <v>36742.561448900386</v>
      </c>
      <c r="AF53" s="65">
        <f t="shared" si="80"/>
        <v>39726.672950047127</v>
      </c>
      <c r="AG53" s="65">
        <f t="shared" si="80"/>
        <v>41401.189689358886</v>
      </c>
      <c r="AH53" s="65">
        <f t="shared" si="80"/>
        <v>44150.30610090775</v>
      </c>
      <c r="AI53" s="65">
        <f t="shared" si="80"/>
        <v>47122.478092520883</v>
      </c>
      <c r="AJ53" s="65">
        <f t="shared" ref="AJ53:BO53" si="81">AJ26/AJ$28</f>
        <v>51536.186156576616</v>
      </c>
      <c r="AK53" s="65">
        <f t="shared" si="81"/>
        <v>54094.503375120541</v>
      </c>
      <c r="AL53" s="65">
        <f t="shared" si="81"/>
        <v>54433.125825315976</v>
      </c>
      <c r="AM53" s="65">
        <f t="shared" si="81"/>
        <v>55823.13173762105</v>
      </c>
      <c r="AN53" s="65">
        <f t="shared" si="81"/>
        <v>58686.336494555668</v>
      </c>
      <c r="AO53" s="65">
        <f t="shared" si="81"/>
        <v>61230.091494408684</v>
      </c>
      <c r="AP53" s="65">
        <f t="shared" si="81"/>
        <v>65345.983968591529</v>
      </c>
      <c r="AQ53" s="65">
        <f t="shared" si="81"/>
        <v>62760.93201404404</v>
      </c>
      <c r="AR53" s="65">
        <f t="shared" si="81"/>
        <v>60444.409792608763</v>
      </c>
      <c r="AS53" s="65">
        <f t="shared" si="81"/>
        <v>58269.494887837631</v>
      </c>
      <c r="AT53" s="65">
        <f t="shared" si="81"/>
        <v>63656.604901374776</v>
      </c>
      <c r="AU53" s="65">
        <f t="shared" si="81"/>
        <v>65878.556761513639</v>
      </c>
      <c r="AV53" s="65">
        <f t="shared" si="81"/>
        <v>69582.072344718268</v>
      </c>
      <c r="AW53" s="65">
        <f t="shared" si="81"/>
        <v>68384.571591232569</v>
      </c>
      <c r="AX53" s="65">
        <f t="shared" si="81"/>
        <v>75595.388724869947</v>
      </c>
      <c r="AY53" s="65">
        <f t="shared" si="81"/>
        <v>80786.393058807327</v>
      </c>
      <c r="AZ53" s="65">
        <f t="shared" si="81"/>
        <v>89208.013984133388</v>
      </c>
      <c r="BA53" s="65">
        <f t="shared" si="81"/>
        <v>70450.092666137149</v>
      </c>
      <c r="BB53" s="65">
        <f t="shared" si="81"/>
        <v>83212.105468242633</v>
      </c>
      <c r="BC53" s="65">
        <f t="shared" si="81"/>
        <v>91493.597058450614</v>
      </c>
      <c r="BD53" s="65">
        <f t="shared" si="81"/>
        <v>89611.172634428454</v>
      </c>
      <c r="BE53" s="65">
        <f t="shared" si="81"/>
        <v>95415.325944464319</v>
      </c>
      <c r="BF53" s="65">
        <f t="shared" si="81"/>
        <v>103358.84945488286</v>
      </c>
      <c r="BG53" s="65">
        <f t="shared" si="81"/>
        <v>92117.941143051925</v>
      </c>
      <c r="BH53" s="65">
        <f t="shared" si="81"/>
        <v>88950.624226746149</v>
      </c>
      <c r="BI53" s="65">
        <f t="shared" si="81"/>
        <v>94171.498661909005</v>
      </c>
      <c r="BJ53" s="65">
        <f t="shared" si="81"/>
        <v>95512.680367293404</v>
      </c>
      <c r="BK53" s="65">
        <f t="shared" si="81"/>
        <v>99201.202490873955</v>
      </c>
      <c r="BL53" s="65">
        <f t="shared" si="81"/>
        <v>99191.184224401557</v>
      </c>
      <c r="BM53" s="65">
        <f t="shared" si="81"/>
        <v>101412.5932062966</v>
      </c>
      <c r="BN53" s="65">
        <f t="shared" si="81"/>
        <v>106406.31406314063</v>
      </c>
      <c r="BO53" s="65">
        <f t="shared" si="81"/>
        <v>120890.7870652837</v>
      </c>
      <c r="BP53" s="65">
        <f t="shared" ref="BP53:BV53" si="82">BP26/BP$28</f>
        <v>122703</v>
      </c>
      <c r="BQ53" s="65">
        <f t="shared" si="82"/>
        <v>124853.25767951478</v>
      </c>
      <c r="BR53" s="65">
        <f t="shared" si="82"/>
        <v>133851.69532225531</v>
      </c>
      <c r="BS53" s="65">
        <f t="shared" si="82"/>
        <v>133658.86033943301</v>
      </c>
      <c r="BT53" s="65">
        <f t="shared" si="82"/>
        <v>139550.87076076993</v>
      </c>
      <c r="BU53" s="65">
        <f t="shared" si="82"/>
        <v>145640.3666580999</v>
      </c>
      <c r="BV53" s="65">
        <f t="shared" si="82"/>
        <v>146792.82378962892</v>
      </c>
    </row>
    <row r="54" spans="1:74" s="63" customFormat="1" x14ac:dyDescent="0.25">
      <c r="A54" s="63" t="s">
        <v>315</v>
      </c>
      <c r="B54" s="63" t="s">
        <v>244</v>
      </c>
      <c r="C54" s="64" t="s">
        <v>75</v>
      </c>
      <c r="D54" s="66">
        <f t="shared" ref="D54:AI54" si="83">D2/(D$27*1000)</f>
        <v>1.3506085590891245E-2</v>
      </c>
      <c r="E54" s="66">
        <f t="shared" si="83"/>
        <v>1.4518920315123337E-2</v>
      </c>
      <c r="F54" s="66">
        <f t="shared" si="83"/>
        <v>1.5221805205192887E-2</v>
      </c>
      <c r="G54" s="66">
        <f t="shared" si="83"/>
        <v>1.9397604107244722E-2</v>
      </c>
      <c r="H54" s="66">
        <f t="shared" si="83"/>
        <v>2.1382249797680063E-2</v>
      </c>
      <c r="I54" s="66">
        <f t="shared" si="83"/>
        <v>2.3052959501557634E-2</v>
      </c>
      <c r="J54" s="66">
        <f t="shared" si="83"/>
        <v>2.4752279032897343E-2</v>
      </c>
      <c r="K54" s="66">
        <f t="shared" si="83"/>
        <v>2.5660412670191361E-2</v>
      </c>
      <c r="L54" s="66">
        <f t="shared" si="83"/>
        <v>2.6645931482413211E-2</v>
      </c>
      <c r="M54" s="66">
        <f t="shared" si="83"/>
        <v>2.6697400435395056E-2</v>
      </c>
      <c r="N54" s="66">
        <f t="shared" si="83"/>
        <v>2.8338725331607893E-2</v>
      </c>
      <c r="O54" s="66">
        <f t="shared" si="83"/>
        <v>2.8869578358772859E-2</v>
      </c>
      <c r="P54" s="66">
        <f t="shared" si="83"/>
        <v>2.8552497092306065E-2</v>
      </c>
      <c r="Q54" s="66">
        <f t="shared" si="83"/>
        <v>2.8280213972260482E-2</v>
      </c>
      <c r="R54" s="66">
        <f t="shared" si="83"/>
        <v>2.7909506589761216E-2</v>
      </c>
      <c r="S54" s="66">
        <f t="shared" si="83"/>
        <v>2.7481826031250871E-2</v>
      </c>
      <c r="T54" s="66">
        <f t="shared" si="83"/>
        <v>2.6519089031139222E-2</v>
      </c>
      <c r="U54" s="66">
        <f t="shared" si="83"/>
        <v>2.5099481692024746E-2</v>
      </c>
      <c r="V54" s="66">
        <f t="shared" si="83"/>
        <v>2.4138641350588866E-2</v>
      </c>
      <c r="W54" s="66">
        <f t="shared" si="83"/>
        <v>2.3630010277492293E-2</v>
      </c>
      <c r="X54" s="66">
        <f t="shared" si="83"/>
        <v>2.2881221238610951E-2</v>
      </c>
      <c r="Y54" s="66">
        <f t="shared" si="83"/>
        <v>2.2496543817648446E-2</v>
      </c>
      <c r="Z54" s="66">
        <f t="shared" si="83"/>
        <v>2.2198297991505515E-2</v>
      </c>
      <c r="AA54" s="66">
        <f t="shared" si="83"/>
        <v>2.2078830972509938E-2</v>
      </c>
      <c r="AB54" s="66">
        <f t="shared" si="83"/>
        <v>2.1408617687377274E-2</v>
      </c>
      <c r="AC54" s="66">
        <f t="shared" si="83"/>
        <v>2.1429545404561351E-2</v>
      </c>
      <c r="AD54" s="66">
        <f t="shared" si="83"/>
        <v>2.1585414575679914E-2</v>
      </c>
      <c r="AE54" s="66">
        <f t="shared" si="83"/>
        <v>2.2645510226010961E-2</v>
      </c>
      <c r="AF54" s="66">
        <f t="shared" si="83"/>
        <v>2.3072712620383153E-2</v>
      </c>
      <c r="AG54" s="66">
        <f t="shared" si="83"/>
        <v>2.4370501154420753E-2</v>
      </c>
      <c r="AH54" s="66">
        <f t="shared" si="83"/>
        <v>2.543806561085973E-2</v>
      </c>
      <c r="AI54" s="66">
        <f t="shared" si="83"/>
        <v>2.5889964359644736E-2</v>
      </c>
      <c r="AJ54" s="66">
        <f t="shared" ref="AJ54:BO54" si="84">AJ2/(AJ$27*1000)</f>
        <v>2.6885730195480788E-2</v>
      </c>
      <c r="AK54" s="66">
        <f t="shared" si="84"/>
        <v>2.6567025683512841E-2</v>
      </c>
      <c r="AL54" s="66">
        <f t="shared" si="84"/>
        <v>2.6503623378393969E-2</v>
      </c>
      <c r="AM54" s="66">
        <f t="shared" si="84"/>
        <v>2.6054237090229734E-2</v>
      </c>
      <c r="AN54" s="66">
        <f t="shared" si="84"/>
        <v>2.5544428791963527E-2</v>
      </c>
      <c r="AO54" s="66">
        <f t="shared" si="84"/>
        <v>2.5766984530620894E-2</v>
      </c>
      <c r="AP54" s="66">
        <f t="shared" si="84"/>
        <v>2.6402655430050836E-2</v>
      </c>
      <c r="AQ54" s="66">
        <f t="shared" si="84"/>
        <v>2.5770504578219364E-2</v>
      </c>
      <c r="AR54" s="66">
        <f t="shared" si="84"/>
        <v>2.4460819222694115E-2</v>
      </c>
      <c r="AS54" s="66">
        <f t="shared" si="84"/>
        <v>2.3576778112960422E-2</v>
      </c>
      <c r="AT54" s="66">
        <f t="shared" si="84"/>
        <v>2.4287655786546392E-2</v>
      </c>
      <c r="AU54" s="66">
        <f t="shared" si="84"/>
        <v>2.4819259683134573E-2</v>
      </c>
      <c r="AV54" s="66">
        <f t="shared" si="84"/>
        <v>2.5073171597528112E-2</v>
      </c>
      <c r="AW54" s="66">
        <f t="shared" si="84"/>
        <v>2.5278698436870157E-2</v>
      </c>
      <c r="AX54" s="66">
        <f t="shared" si="84"/>
        <v>2.5786990519139734E-2</v>
      </c>
      <c r="AY54" s="66">
        <f t="shared" si="84"/>
        <v>2.6484927708848655E-2</v>
      </c>
      <c r="AZ54" s="66">
        <f t="shared" si="84"/>
        <v>2.6462690218488513E-2</v>
      </c>
      <c r="BA54" s="66">
        <f t="shared" si="84"/>
        <v>2.566388475257125E-2</v>
      </c>
      <c r="BB54" s="66">
        <f t="shared" si="84"/>
        <v>2.5833093206250692E-2</v>
      </c>
      <c r="BC54" s="66">
        <f t="shared" si="84"/>
        <v>2.5167966712183847E-2</v>
      </c>
      <c r="BD54" s="66">
        <f t="shared" si="84"/>
        <v>2.5334055039155139E-2</v>
      </c>
      <c r="BE54" s="66">
        <f t="shared" si="84"/>
        <v>2.5732524245146389E-2</v>
      </c>
      <c r="BF54" s="66">
        <f t="shared" si="84"/>
        <v>2.6415945055617208E-2</v>
      </c>
      <c r="BG54" s="66">
        <f t="shared" si="84"/>
        <v>2.7355857690039755E-2</v>
      </c>
      <c r="BH54" s="66">
        <f t="shared" si="84"/>
        <v>2.7851153981738128E-2</v>
      </c>
      <c r="BI54" s="66">
        <f t="shared" si="84"/>
        <v>2.7315847464459433E-2</v>
      </c>
      <c r="BJ54" s="66">
        <f t="shared" si="84"/>
        <v>2.7553765309272768E-2</v>
      </c>
      <c r="BK54" s="66">
        <f t="shared" si="84"/>
        <v>2.6917099772338242E-2</v>
      </c>
      <c r="BL54" s="66">
        <f t="shared" si="84"/>
        <v>2.7203386910477877E-2</v>
      </c>
      <c r="BM54" s="66">
        <f t="shared" si="84"/>
        <v>2.7278819836930014E-2</v>
      </c>
      <c r="BN54" s="66">
        <f t="shared" si="84"/>
        <v>2.7222208458923435E-2</v>
      </c>
      <c r="BO54" s="66">
        <f t="shared" si="84"/>
        <v>2.7985457042350798E-2</v>
      </c>
      <c r="BP54" s="66">
        <f t="shared" ref="BP54:BV54" si="85">BP2/(BP$27*1000)</f>
        <v>2.8569032279708442E-2</v>
      </c>
      <c r="BQ54" s="66">
        <f t="shared" si="85"/>
        <v>2.954758255214673E-2</v>
      </c>
      <c r="BR54" s="66">
        <f t="shared" si="85"/>
        <v>3.1253514609264711E-2</v>
      </c>
      <c r="BS54" s="66">
        <f t="shared" si="85"/>
        <v>3.3605602192284555E-2</v>
      </c>
      <c r="BT54" s="66">
        <f t="shared" si="85"/>
        <v>3.4285937848103326E-2</v>
      </c>
      <c r="BU54" s="66">
        <f t="shared" si="85"/>
        <v>3.4949794406404215E-2</v>
      </c>
      <c r="BV54" s="66">
        <f t="shared" si="85"/>
        <v>3.4378312516808424E-2</v>
      </c>
    </row>
    <row r="55" spans="1:74" s="63" customFormat="1" x14ac:dyDescent="0.25">
      <c r="A55" s="63" t="s">
        <v>315</v>
      </c>
      <c r="B55" s="63" t="s">
        <v>244</v>
      </c>
      <c r="C55" s="64" t="s">
        <v>316</v>
      </c>
      <c r="D55" s="66">
        <f t="shared" ref="D55:AI55" si="86">D3/(D$27*1000)</f>
        <v>7.284386860358592E-3</v>
      </c>
      <c r="E55" s="66">
        <f t="shared" si="86"/>
        <v>8.0123982952344051E-3</v>
      </c>
      <c r="F55" s="66">
        <f t="shared" si="86"/>
        <v>8.631021965175659E-3</v>
      </c>
      <c r="G55" s="66">
        <f t="shared" si="86"/>
        <v>1.1361095265259556E-2</v>
      </c>
      <c r="H55" s="66">
        <f t="shared" si="86"/>
        <v>1.3451308335581332E-2</v>
      </c>
      <c r="I55" s="66">
        <f t="shared" si="86"/>
        <v>1.4729394371402926E-2</v>
      </c>
      <c r="J55" s="66">
        <f t="shared" si="86"/>
        <v>1.6185097106619105E-2</v>
      </c>
      <c r="K55" s="66">
        <f t="shared" si="86"/>
        <v>1.6684602068029759E-2</v>
      </c>
      <c r="L55" s="66">
        <f t="shared" si="86"/>
        <v>1.7351690069981246E-2</v>
      </c>
      <c r="M55" s="66">
        <f t="shared" si="86"/>
        <v>1.7309941520467838E-2</v>
      </c>
      <c r="N55" s="66">
        <f t="shared" si="86"/>
        <v>1.8838563571659656E-2</v>
      </c>
      <c r="O55" s="66">
        <f t="shared" si="86"/>
        <v>1.9291219585915068E-2</v>
      </c>
      <c r="P55" s="66">
        <f t="shared" si="86"/>
        <v>1.8600782434004159E-2</v>
      </c>
      <c r="Q55" s="66">
        <f t="shared" si="86"/>
        <v>1.8149204010378294E-2</v>
      </c>
      <c r="R55" s="66">
        <f t="shared" si="86"/>
        <v>1.7410119243298168E-2</v>
      </c>
      <c r="S55" s="66">
        <f t="shared" si="86"/>
        <v>1.6672701445561652E-2</v>
      </c>
      <c r="T55" s="66">
        <f t="shared" si="86"/>
        <v>1.5534416362755349E-2</v>
      </c>
      <c r="U55" s="66">
        <f t="shared" si="86"/>
        <v>1.4315809587503284E-2</v>
      </c>
      <c r="V55" s="66">
        <f t="shared" si="86"/>
        <v>1.3622318749720121E-2</v>
      </c>
      <c r="W55" s="66">
        <f t="shared" si="86"/>
        <v>1.3187255909558068E-2</v>
      </c>
      <c r="X55" s="66">
        <f t="shared" si="86"/>
        <v>1.2261915762627289E-2</v>
      </c>
      <c r="Y55" s="66">
        <f t="shared" si="86"/>
        <v>1.1657955963179013E-2</v>
      </c>
      <c r="Z55" s="66">
        <f t="shared" si="86"/>
        <v>1.1533207834839835E-2</v>
      </c>
      <c r="AA55" s="66">
        <f t="shared" si="86"/>
        <v>1.1361066009741896E-2</v>
      </c>
      <c r="AB55" s="66">
        <f t="shared" si="86"/>
        <v>1.090289355711163E-2</v>
      </c>
      <c r="AC55" s="66">
        <f t="shared" si="86"/>
        <v>1.0738745079064858E-2</v>
      </c>
      <c r="AD55" s="66">
        <f t="shared" si="86"/>
        <v>1.0611656256394765E-2</v>
      </c>
      <c r="AE55" s="66">
        <f t="shared" si="86"/>
        <v>1.0740356029943766E-2</v>
      </c>
      <c r="AF55" s="66">
        <f t="shared" si="86"/>
        <v>1.0768138260099418E-2</v>
      </c>
      <c r="AG55" s="66">
        <f t="shared" si="86"/>
        <v>1.1207086483468394E-2</v>
      </c>
      <c r="AH55" s="66">
        <f t="shared" si="86"/>
        <v>1.1722567873303167E-2</v>
      </c>
      <c r="AI55" s="66">
        <f t="shared" si="86"/>
        <v>1.1767014629637836E-2</v>
      </c>
      <c r="AJ55" s="66">
        <f t="shared" ref="AJ55:BO55" si="87">AJ3/(AJ$27*1000)</f>
        <v>1.2342193956800798E-2</v>
      </c>
      <c r="AK55" s="66">
        <f t="shared" si="87"/>
        <v>1.2067826567246616E-2</v>
      </c>
      <c r="AL55" s="66">
        <f t="shared" si="87"/>
        <v>1.2293058425010226E-2</v>
      </c>
      <c r="AM55" s="66">
        <f t="shared" si="87"/>
        <v>1.170193926302167E-2</v>
      </c>
      <c r="AN55" s="66">
        <f t="shared" si="87"/>
        <v>1.0885425339916377E-2</v>
      </c>
      <c r="AO55" s="66">
        <f t="shared" si="87"/>
        <v>1.044458571731299E-2</v>
      </c>
      <c r="AP55" s="66">
        <f t="shared" si="87"/>
        <v>9.9755874400456242E-3</v>
      </c>
      <c r="AQ55" s="66">
        <f t="shared" si="87"/>
        <v>9.4938632378725896E-3</v>
      </c>
      <c r="AR55" s="66">
        <f t="shared" si="87"/>
        <v>8.9335935914513324E-3</v>
      </c>
      <c r="AS55" s="66">
        <f t="shared" si="87"/>
        <v>8.4684785107672581E-3</v>
      </c>
      <c r="AT55" s="66">
        <f t="shared" si="87"/>
        <v>8.328764586646914E-3</v>
      </c>
      <c r="AU55" s="66">
        <f t="shared" si="87"/>
        <v>7.9727592571049478E-3</v>
      </c>
      <c r="AV55" s="66">
        <f t="shared" si="87"/>
        <v>7.6158809138536449E-3</v>
      </c>
      <c r="AW55" s="66">
        <f t="shared" si="87"/>
        <v>7.3798539884444838E-3</v>
      </c>
      <c r="AX55" s="66">
        <f t="shared" si="87"/>
        <v>7.0484855677307914E-3</v>
      </c>
      <c r="AY55" s="66">
        <f t="shared" si="87"/>
        <v>6.6459920480969057E-3</v>
      </c>
      <c r="AZ55" s="66">
        <f t="shared" si="87"/>
        <v>7.0107284771357796E-3</v>
      </c>
      <c r="BA55" s="66">
        <f t="shared" si="87"/>
        <v>7.2835820895522391E-3</v>
      </c>
      <c r="BB55" s="66">
        <f t="shared" si="87"/>
        <v>7.5480882189958992E-3</v>
      </c>
      <c r="BC55" s="66">
        <f t="shared" si="87"/>
        <v>7.5483697990385273E-3</v>
      </c>
      <c r="BD55" s="66">
        <f t="shared" si="87"/>
        <v>7.4309479398284263E-3</v>
      </c>
      <c r="BE55" s="66">
        <f t="shared" si="87"/>
        <v>7.3285790235943313E-3</v>
      </c>
      <c r="BF55" s="66">
        <f t="shared" si="87"/>
        <v>7.3488461504853941E-3</v>
      </c>
      <c r="BG55" s="66">
        <f t="shared" si="87"/>
        <v>7.948798961921931E-3</v>
      </c>
      <c r="BH55" s="66">
        <f t="shared" si="87"/>
        <v>8.6930526082959498E-3</v>
      </c>
      <c r="BI55" s="66">
        <f t="shared" si="87"/>
        <v>8.5066915696971317E-3</v>
      </c>
      <c r="BJ55" s="66">
        <f t="shared" si="87"/>
        <v>8.2122519441180219E-3</v>
      </c>
      <c r="BK55" s="66">
        <f t="shared" si="87"/>
        <v>7.6873010675427584E-3</v>
      </c>
      <c r="BL55" s="66">
        <f t="shared" si="87"/>
        <v>7.1986828681474902E-3</v>
      </c>
      <c r="BM55" s="66">
        <f t="shared" si="87"/>
        <v>6.7915607553319067E-3</v>
      </c>
      <c r="BN55" s="66">
        <f t="shared" si="87"/>
        <v>6.5806185226475085E-3</v>
      </c>
      <c r="BO55" s="66">
        <f t="shared" si="87"/>
        <v>6.3393562421126181E-3</v>
      </c>
      <c r="BP55" s="66">
        <f t="shared" ref="BP55:BV55" si="88">BP3/(BP$27*1000)</f>
        <v>6.3191687300888895E-3</v>
      </c>
      <c r="BQ55" s="66">
        <f t="shared" si="88"/>
        <v>6.4109863197027838E-3</v>
      </c>
      <c r="BR55" s="66">
        <f t="shared" si="88"/>
        <v>6.3725004286824998E-3</v>
      </c>
      <c r="BS55" s="66">
        <f t="shared" si="88"/>
        <v>6.9410618321335731E-3</v>
      </c>
      <c r="BT55" s="66">
        <f t="shared" si="88"/>
        <v>6.4013736666793455E-3</v>
      </c>
      <c r="BU55" s="66">
        <f t="shared" si="88"/>
        <v>6.4454008658738141E-3</v>
      </c>
      <c r="BV55" s="66">
        <f t="shared" si="88"/>
        <v>6.3060623745657251E-3</v>
      </c>
    </row>
    <row r="56" spans="1:74" s="63" customFormat="1" x14ac:dyDescent="0.25">
      <c r="A56" s="63" t="s">
        <v>315</v>
      </c>
      <c r="B56" s="63" t="s">
        <v>244</v>
      </c>
      <c r="C56" s="64" t="s">
        <v>317</v>
      </c>
      <c r="D56" s="66">
        <f t="shared" ref="D56:AI56" si="89">D4/(D$27*1000)</f>
        <v>5.8814291323125243E-3</v>
      </c>
      <c r="E56" s="66">
        <f t="shared" si="89"/>
        <v>6.134573162856774E-3</v>
      </c>
      <c r="F56" s="66">
        <f t="shared" si="89"/>
        <v>6.2068541192395249E-3</v>
      </c>
      <c r="G56" s="66">
        <f t="shared" si="89"/>
        <v>7.6349115801483168E-3</v>
      </c>
      <c r="H56" s="66">
        <f t="shared" si="89"/>
        <v>7.4885352036687348E-3</v>
      </c>
      <c r="I56" s="66">
        <f t="shared" si="89"/>
        <v>7.829346850414488E-3</v>
      </c>
      <c r="J56" s="66">
        <f t="shared" si="89"/>
        <v>8.0558858501783587E-3</v>
      </c>
      <c r="K56" s="66">
        <f t="shared" si="89"/>
        <v>8.4517849623356577E-3</v>
      </c>
      <c r="L56" s="66">
        <f t="shared" si="89"/>
        <v>8.7032886612084335E-3</v>
      </c>
      <c r="M56" s="66">
        <f t="shared" si="89"/>
        <v>8.7488794980151111E-3</v>
      </c>
      <c r="N56" s="66">
        <f t="shared" si="89"/>
        <v>8.8256227758007118E-3</v>
      </c>
      <c r="O56" s="66">
        <f t="shared" si="89"/>
        <v>8.8982922774671295E-3</v>
      </c>
      <c r="P56" s="66">
        <f t="shared" si="89"/>
        <v>9.2327212490748243E-3</v>
      </c>
      <c r="Q56" s="66">
        <f t="shared" si="89"/>
        <v>9.39299785387104E-3</v>
      </c>
      <c r="R56" s="66">
        <f t="shared" si="89"/>
        <v>9.7379038283374672E-3</v>
      </c>
      <c r="S56" s="66">
        <f t="shared" si="89"/>
        <v>1.0035930145113222E-2</v>
      </c>
      <c r="T56" s="66">
        <f t="shared" si="89"/>
        <v>1.0212440386626201E-2</v>
      </c>
      <c r="U56" s="66">
        <f t="shared" si="89"/>
        <v>9.9830415362935007E-3</v>
      </c>
      <c r="V56" s="66">
        <f t="shared" si="89"/>
        <v>9.6941471497022074E-3</v>
      </c>
      <c r="W56" s="66">
        <f t="shared" si="89"/>
        <v>9.6320657759506687E-3</v>
      </c>
      <c r="X56" s="66">
        <f t="shared" si="89"/>
        <v>9.8312665175848742E-3</v>
      </c>
      <c r="Y56" s="66">
        <f t="shared" si="89"/>
        <v>1.0038776680041812E-2</v>
      </c>
      <c r="Z56" s="66">
        <f t="shared" si="89"/>
        <v>9.8473793114177699E-3</v>
      </c>
      <c r="AA56" s="66">
        <f t="shared" si="89"/>
        <v>9.9109792284866466E-3</v>
      </c>
      <c r="AB56" s="66">
        <f t="shared" si="89"/>
        <v>9.7029874155582733E-3</v>
      </c>
      <c r="AC56" s="66">
        <f t="shared" si="89"/>
        <v>9.8779388154566841E-3</v>
      </c>
      <c r="AD56" s="66">
        <f t="shared" si="89"/>
        <v>1.0171988735468656E-2</v>
      </c>
      <c r="AE56" s="66">
        <f t="shared" si="89"/>
        <v>1.107811884379813E-2</v>
      </c>
      <c r="AF56" s="66">
        <f t="shared" si="89"/>
        <v>1.14731626359422E-2</v>
      </c>
      <c r="AG56" s="66">
        <f t="shared" si="89"/>
        <v>1.2281225949567659E-2</v>
      </c>
      <c r="AH56" s="66">
        <f t="shared" si="89"/>
        <v>1.2800904977375566E-2</v>
      </c>
      <c r="AI56" s="66">
        <f t="shared" si="89"/>
        <v>1.3214658757841828E-2</v>
      </c>
      <c r="AJ56" s="66">
        <f t="shared" ref="AJ56:BO56" si="90">AJ4/(AJ$27*1000)</f>
        <v>1.3589754110371912E-2</v>
      </c>
      <c r="AK56" s="66">
        <f t="shared" si="90"/>
        <v>1.3474951670809169E-2</v>
      </c>
      <c r="AL56" s="66">
        <f t="shared" si="90"/>
        <v>1.3125124537245812E-2</v>
      </c>
      <c r="AM56" s="66">
        <f t="shared" si="90"/>
        <v>1.3228829144408443E-2</v>
      </c>
      <c r="AN56" s="66">
        <f t="shared" si="90"/>
        <v>1.3496019119030367E-2</v>
      </c>
      <c r="AO56" s="66">
        <f t="shared" si="90"/>
        <v>1.4106039415130325E-2</v>
      </c>
      <c r="AP56" s="66">
        <f t="shared" si="90"/>
        <v>1.5148096025471122E-2</v>
      </c>
      <c r="AQ56" s="66">
        <f t="shared" si="90"/>
        <v>1.4997701149425287E-2</v>
      </c>
      <c r="AR56" s="66">
        <f t="shared" si="90"/>
        <v>1.4250091324032427E-2</v>
      </c>
      <c r="AS56" s="66">
        <f t="shared" si="90"/>
        <v>1.3822777402342253E-2</v>
      </c>
      <c r="AT56" s="66">
        <f t="shared" si="90"/>
        <v>1.4664651788755262E-2</v>
      </c>
      <c r="AU56" s="66">
        <f t="shared" si="90"/>
        <v>1.5521564016060217E-2</v>
      </c>
      <c r="AV56" s="66">
        <f t="shared" si="90"/>
        <v>1.6117334879496865E-2</v>
      </c>
      <c r="AW56" s="66">
        <f t="shared" si="90"/>
        <v>1.654655797912841E-2</v>
      </c>
      <c r="AX56" s="66">
        <f t="shared" si="90"/>
        <v>1.735775413056951E-2</v>
      </c>
      <c r="AY56" s="66">
        <f t="shared" si="90"/>
        <v>1.838228934746456E-2</v>
      </c>
      <c r="AZ56" s="66">
        <f t="shared" si="90"/>
        <v>1.7899764624289539E-2</v>
      </c>
      <c r="BA56" s="66">
        <f t="shared" si="90"/>
        <v>1.6687236670475926E-2</v>
      </c>
      <c r="BB56" s="66">
        <f t="shared" si="90"/>
        <v>1.6506350437770143E-2</v>
      </c>
      <c r="BC56" s="66">
        <f t="shared" si="90"/>
        <v>1.5907818355270952E-2</v>
      </c>
      <c r="BD56" s="66">
        <f t="shared" si="90"/>
        <v>1.6181916596248427E-2</v>
      </c>
      <c r="BE56" s="66">
        <f t="shared" si="90"/>
        <v>1.6659541312996132E-2</v>
      </c>
      <c r="BF56" s="66">
        <f t="shared" si="90"/>
        <v>1.7253305138802723E-2</v>
      </c>
      <c r="BG56" s="66">
        <f t="shared" si="90"/>
        <v>1.7437548892226748E-2</v>
      </c>
      <c r="BH56" s="66">
        <f t="shared" si="90"/>
        <v>1.7046027938869036E-2</v>
      </c>
      <c r="BI56" s="66">
        <f t="shared" si="90"/>
        <v>1.6670070678025315E-2</v>
      </c>
      <c r="BJ56" s="66">
        <f t="shared" si="90"/>
        <v>1.7225653467731115E-2</v>
      </c>
      <c r="BK56" s="66">
        <f t="shared" si="90"/>
        <v>1.7115260166020822E-2</v>
      </c>
      <c r="BL56" s="66">
        <f t="shared" si="90"/>
        <v>1.7807466843243032E-2</v>
      </c>
      <c r="BM56" s="66">
        <f t="shared" si="90"/>
        <v>1.8268313815045817E-2</v>
      </c>
      <c r="BN56" s="66">
        <f t="shared" si="90"/>
        <v>1.8346091911309304E-2</v>
      </c>
      <c r="BO56" s="66">
        <f t="shared" si="90"/>
        <v>1.9327542435958817E-2</v>
      </c>
      <c r="BP56" s="66">
        <f t="shared" ref="BP56:BV56" si="91">BP4/(BP$27*1000)</f>
        <v>1.9949910129843988E-2</v>
      </c>
      <c r="BQ56" s="66">
        <f t="shared" si="91"/>
        <v>2.0868331267975038E-2</v>
      </c>
      <c r="BR56" s="66">
        <f t="shared" si="91"/>
        <v>2.2653180589256396E-2</v>
      </c>
      <c r="BS56" s="66">
        <f t="shared" si="91"/>
        <v>2.4405183341170179E-2</v>
      </c>
      <c r="BT56" s="66">
        <f t="shared" si="91"/>
        <v>2.5688697135839766E-2</v>
      </c>
      <c r="BU56" s="66">
        <f t="shared" si="91"/>
        <v>2.63789564643192E-2</v>
      </c>
      <c r="BV56" s="66">
        <f t="shared" si="91"/>
        <v>2.5948031562327913E-2</v>
      </c>
    </row>
    <row r="57" spans="1:74" s="63" customFormat="1" x14ac:dyDescent="0.25">
      <c r="A57" s="63" t="s">
        <v>315</v>
      </c>
      <c r="B57" s="63" t="s">
        <v>244</v>
      </c>
      <c r="C57" s="64" t="s">
        <v>318</v>
      </c>
      <c r="D57" s="66">
        <f t="shared" ref="D57:AI57" si="92">D5/(D$27*1000)</f>
        <v>9.684596257034419E-5</v>
      </c>
      <c r="E57" s="66">
        <f t="shared" si="92"/>
        <v>1.0331912695337725E-4</v>
      </c>
      <c r="F57" s="66">
        <f t="shared" si="92"/>
        <v>1.0336553251707377E-4</v>
      </c>
      <c r="G57" s="66">
        <f t="shared" si="92"/>
        <v>1.0496292070735881E-4</v>
      </c>
      <c r="H57" s="66">
        <f t="shared" si="92"/>
        <v>1.1006204478014567E-4</v>
      </c>
      <c r="I57" s="66">
        <f t="shared" si="92"/>
        <v>1.1827446010877026E-4</v>
      </c>
      <c r="J57" s="66">
        <f t="shared" si="92"/>
        <v>1.2088783194609591E-4</v>
      </c>
      <c r="K57" s="66">
        <f t="shared" si="92"/>
        <v>1.2539184952978057E-4</v>
      </c>
      <c r="L57" s="66">
        <f t="shared" si="92"/>
        <v>1.3721813108905456E-4</v>
      </c>
      <c r="M57" s="66">
        <f t="shared" si="92"/>
        <v>1.4342425406582148E-4</v>
      </c>
      <c r="N57" s="66">
        <f t="shared" si="92"/>
        <v>1.5528955030734391E-4</v>
      </c>
      <c r="O57" s="66">
        <f t="shared" si="92"/>
        <v>1.7228351216563398E-4</v>
      </c>
      <c r="P57" s="66">
        <f t="shared" si="92"/>
        <v>1.9173157579388856E-4</v>
      </c>
      <c r="Q57" s="66">
        <f t="shared" si="92"/>
        <v>2.1140971844069316E-4</v>
      </c>
      <c r="R57" s="66">
        <f t="shared" si="92"/>
        <v>2.3908430710379249E-4</v>
      </c>
      <c r="S57" s="66">
        <f t="shared" si="92"/>
        <v>2.4621897891541095E-4</v>
      </c>
      <c r="T57" s="66">
        <f t="shared" si="92"/>
        <v>2.3768840376424982E-4</v>
      </c>
      <c r="U57" s="66">
        <f t="shared" si="92"/>
        <v>2.4745025915398763E-4</v>
      </c>
      <c r="V57" s="66">
        <f t="shared" si="92"/>
        <v>2.5972862836415745E-4</v>
      </c>
      <c r="W57" s="66">
        <f t="shared" si="92"/>
        <v>2.565262076053443E-4</v>
      </c>
      <c r="X57" s="66">
        <f t="shared" si="92"/>
        <v>2.543015025226857E-4</v>
      </c>
      <c r="Y57" s="66">
        <f t="shared" si="92"/>
        <v>2.657045554169336E-4</v>
      </c>
      <c r="Z57" s="66">
        <f t="shared" si="92"/>
        <v>2.6883644227328592E-4</v>
      </c>
      <c r="AA57" s="66">
        <f t="shared" si="92"/>
        <v>2.6874195173842447E-4</v>
      </c>
      <c r="AB57" s="66">
        <f t="shared" si="92"/>
        <v>2.8108134810368886E-4</v>
      </c>
      <c r="AC57" s="66">
        <f t="shared" si="92"/>
        <v>2.9866502452220196E-4</v>
      </c>
      <c r="AD57" s="66">
        <f t="shared" si="92"/>
        <v>3.059742942615203E-4</v>
      </c>
      <c r="AE57" s="66">
        <f t="shared" si="92"/>
        <v>3.2952469644328237E-4</v>
      </c>
      <c r="AF57" s="66">
        <f t="shared" si="92"/>
        <v>3.3767124927191631E-4</v>
      </c>
      <c r="AG57" s="66">
        <f t="shared" si="92"/>
        <v>3.6428388187182157E-4</v>
      </c>
      <c r="AH57" s="66">
        <f t="shared" si="92"/>
        <v>3.8376696832579185E-4</v>
      </c>
      <c r="AI57" s="66">
        <f t="shared" si="92"/>
        <v>3.8337121044268739E-4</v>
      </c>
      <c r="AJ57" s="66">
        <f t="shared" ref="AJ57:BO57" si="93">AJ5/(AJ$27*1000)</f>
        <v>4.086632865390815E-4</v>
      </c>
      <c r="AK57" s="66">
        <f t="shared" si="93"/>
        <v>4.4606462303231154E-4</v>
      </c>
      <c r="AL57" s="66">
        <f t="shared" si="93"/>
        <v>4.7444757899594138E-4</v>
      </c>
      <c r="AM57" s="66">
        <f t="shared" si="93"/>
        <v>4.9177297097430207E-4</v>
      </c>
      <c r="AN57" s="66">
        <f t="shared" si="93"/>
        <v>5.1344138045880271E-4</v>
      </c>
      <c r="AO57" s="66">
        <f t="shared" si="93"/>
        <v>5.402839584657766E-4</v>
      </c>
      <c r="AP57" s="66">
        <f t="shared" si="93"/>
        <v>5.6752021729229837E-4</v>
      </c>
      <c r="AQ57" s="66">
        <f t="shared" si="93"/>
        <v>5.5624391194233392E-4</v>
      </c>
      <c r="AR57" s="66">
        <f t="shared" si="93"/>
        <v>5.474276141734898E-4</v>
      </c>
      <c r="AS57" s="66">
        <f t="shared" si="93"/>
        <v>5.4870869531897695E-4</v>
      </c>
      <c r="AT57" s="66">
        <f t="shared" si="93"/>
        <v>5.4362023298954755E-4</v>
      </c>
      <c r="AU57" s="66">
        <f t="shared" si="93"/>
        <v>5.5789443897715158E-4</v>
      </c>
      <c r="AV57" s="66">
        <f t="shared" si="93"/>
        <v>5.7413154025695112E-4</v>
      </c>
      <c r="AW57" s="66">
        <f t="shared" si="93"/>
        <v>5.8147086487212796E-4</v>
      </c>
      <c r="AX57" s="66">
        <f t="shared" si="93"/>
        <v>5.9643709534923589E-4</v>
      </c>
      <c r="AY57" s="66">
        <f t="shared" si="93"/>
        <v>6.1974434310312022E-4</v>
      </c>
      <c r="AZ57" s="66">
        <f t="shared" si="93"/>
        <v>6.5306665336592018E-4</v>
      </c>
      <c r="BA57" s="66">
        <f t="shared" si="93"/>
        <v>7.0856852627812212E-4</v>
      </c>
      <c r="BB57" s="66">
        <f t="shared" si="93"/>
        <v>7.3465587941926188E-4</v>
      </c>
      <c r="BC57" s="66">
        <f t="shared" si="93"/>
        <v>7.1804912114428949E-4</v>
      </c>
      <c r="BD57" s="66">
        <f t="shared" si="93"/>
        <v>7.2842962784122991E-4</v>
      </c>
      <c r="BE57" s="66">
        <f t="shared" si="93"/>
        <v>7.4621885713238123E-4</v>
      </c>
      <c r="BF57" s="66">
        <f t="shared" si="93"/>
        <v>7.6425818966647152E-4</v>
      </c>
      <c r="BG57" s="66">
        <f t="shared" si="93"/>
        <v>7.9329169081358353E-4</v>
      </c>
      <c r="BH57" s="66">
        <f t="shared" si="93"/>
        <v>8.3332757321684077E-4</v>
      </c>
      <c r="BI57" s="66">
        <f t="shared" si="93"/>
        <v>8.2381553841605977E-4</v>
      </c>
      <c r="BJ57" s="66">
        <f t="shared" si="93"/>
        <v>8.4724913967423193E-4</v>
      </c>
      <c r="BK57" s="66">
        <f t="shared" si="93"/>
        <v>8.8767910710655404E-4</v>
      </c>
      <c r="BL57" s="66">
        <f t="shared" si="93"/>
        <v>9.2151290390720146E-4</v>
      </c>
      <c r="BM57" s="66">
        <f t="shared" si="93"/>
        <v>9.3004974724726164E-4</v>
      </c>
      <c r="BN57" s="66">
        <f t="shared" si="93"/>
        <v>9.5021814828578118E-4</v>
      </c>
      <c r="BO57" s="66">
        <f t="shared" si="93"/>
        <v>1.0047032600955135E-3</v>
      </c>
      <c r="BP57" s="66">
        <f t="shared" ref="BP57:BV57" si="94">BP5/(BP$27*1000)</f>
        <v>1.0259520236591412E-3</v>
      </c>
      <c r="BQ57" s="66">
        <f t="shared" si="94"/>
        <v>1.026945891690409E-3</v>
      </c>
      <c r="BR57" s="66">
        <f t="shared" si="94"/>
        <v>1.0279923800217512E-3</v>
      </c>
      <c r="BS57" s="66">
        <f t="shared" si="94"/>
        <v>1.0580094722264892E-3</v>
      </c>
      <c r="BT57" s="66">
        <f t="shared" si="94"/>
        <v>1.0339884694592818E-3</v>
      </c>
      <c r="BU57" s="66">
        <f t="shared" si="94"/>
        <v>1.0408512564379648E-3</v>
      </c>
      <c r="BV57" s="66">
        <f t="shared" si="94"/>
        <v>1.0626764312542422E-3</v>
      </c>
    </row>
    <row r="58" spans="1:74" s="63" customFormat="1" x14ac:dyDescent="0.25">
      <c r="A58" s="63" t="s">
        <v>315</v>
      </c>
      <c r="B58" s="63" t="s">
        <v>244</v>
      </c>
      <c r="C58" s="64" t="s">
        <v>237</v>
      </c>
      <c r="D58" s="66">
        <f t="shared" ref="D58:AI58" si="95">D6/(D$27*1000)</f>
        <v>2.4865855254547836E-4</v>
      </c>
      <c r="E58" s="66">
        <f t="shared" si="95"/>
        <v>2.7121270825261525E-4</v>
      </c>
      <c r="F58" s="66">
        <f t="shared" si="95"/>
        <v>2.805635882606288E-4</v>
      </c>
      <c r="G58" s="66">
        <f t="shared" si="95"/>
        <v>2.9891614375356529E-4</v>
      </c>
      <c r="H58" s="66">
        <f t="shared" si="95"/>
        <v>3.3450229295926625E-4</v>
      </c>
      <c r="I58" s="66">
        <f t="shared" si="95"/>
        <v>3.7805586356196209E-4</v>
      </c>
      <c r="J58" s="66">
        <f t="shared" si="95"/>
        <v>3.9239001189060639E-4</v>
      </c>
      <c r="K58" s="66">
        <f t="shared" si="95"/>
        <v>3.9863379029616804E-4</v>
      </c>
      <c r="L58" s="66">
        <f t="shared" si="95"/>
        <v>4.5556419521566117E-4</v>
      </c>
      <c r="M58" s="66">
        <f t="shared" si="95"/>
        <v>4.968625944423102E-4</v>
      </c>
      <c r="N58" s="66">
        <f t="shared" si="95"/>
        <v>5.2086703332254931E-4</v>
      </c>
      <c r="O58" s="66">
        <f t="shared" si="95"/>
        <v>5.1080550098231826E-4</v>
      </c>
      <c r="P58" s="66">
        <f t="shared" si="95"/>
        <v>5.28671624431678E-4</v>
      </c>
      <c r="Q58" s="66">
        <f t="shared" si="95"/>
        <v>5.2788366059130652E-4</v>
      </c>
      <c r="R58" s="66">
        <f t="shared" si="95"/>
        <v>5.2479005409282453E-4</v>
      </c>
      <c r="S58" s="66">
        <f t="shared" si="95"/>
        <v>5.2920368771411863E-4</v>
      </c>
      <c r="T58" s="66">
        <f t="shared" si="95"/>
        <v>5.3454387799342022E-4</v>
      </c>
      <c r="U58" s="66">
        <f t="shared" si="95"/>
        <v>5.5413571547997234E-4</v>
      </c>
      <c r="V58" s="66">
        <f t="shared" si="95"/>
        <v>5.624468228023823E-4</v>
      </c>
      <c r="W58" s="66">
        <f t="shared" si="95"/>
        <v>5.5498458376156221E-4</v>
      </c>
      <c r="X58" s="66">
        <f t="shared" si="95"/>
        <v>5.337374558761019E-4</v>
      </c>
      <c r="Y58" s="66">
        <f t="shared" si="95"/>
        <v>5.3545537309909969E-4</v>
      </c>
      <c r="Z58" s="66">
        <f t="shared" si="95"/>
        <v>5.4887440297462543E-4</v>
      </c>
      <c r="AA58" s="66">
        <f t="shared" si="95"/>
        <v>5.3804378254297073E-4</v>
      </c>
      <c r="AB58" s="66">
        <f t="shared" si="95"/>
        <v>5.2165536660368273E-4</v>
      </c>
      <c r="AC58" s="66">
        <f t="shared" si="95"/>
        <v>5.1463634564208576E-4</v>
      </c>
      <c r="AD58" s="66">
        <f t="shared" si="95"/>
        <v>4.9618506572600689E-4</v>
      </c>
      <c r="AE58" s="66">
        <f t="shared" si="95"/>
        <v>4.9786883484365487E-4</v>
      </c>
      <c r="AF58" s="66">
        <f t="shared" si="95"/>
        <v>4.9405963504057322E-4</v>
      </c>
      <c r="AG58" s="66">
        <f t="shared" si="95"/>
        <v>5.179048395128797E-4</v>
      </c>
      <c r="AH58" s="66">
        <f t="shared" si="95"/>
        <v>5.3110859728506784E-4</v>
      </c>
      <c r="AI58" s="66">
        <f t="shared" si="95"/>
        <v>5.2466654427823535E-4</v>
      </c>
      <c r="AJ58" s="66">
        <f t="shared" ref="AJ58:BO58" si="96">AJ6/(AJ$27*1000)</f>
        <v>5.4511884176899862E-4</v>
      </c>
      <c r="AK58" s="66">
        <f t="shared" si="96"/>
        <v>5.7796188898094451E-4</v>
      </c>
      <c r="AL58" s="66">
        <f t="shared" si="96"/>
        <v>6.1120258408230469E-4</v>
      </c>
      <c r="AM58" s="66">
        <f t="shared" si="96"/>
        <v>6.3169571182532041E-4</v>
      </c>
      <c r="AN58" s="66">
        <f t="shared" si="96"/>
        <v>6.4936292402345769E-4</v>
      </c>
      <c r="AO58" s="66">
        <f t="shared" si="96"/>
        <v>6.7607543971180337E-4</v>
      </c>
      <c r="AP58" s="66">
        <f t="shared" si="96"/>
        <v>7.11451747241791E-4</v>
      </c>
      <c r="AQ58" s="66">
        <f t="shared" si="96"/>
        <v>7.2285213325540623E-4</v>
      </c>
      <c r="AR58" s="66">
        <f t="shared" si="96"/>
        <v>7.2985428743270616E-4</v>
      </c>
      <c r="AS58" s="66">
        <f t="shared" si="96"/>
        <v>7.3681350453193252E-4</v>
      </c>
      <c r="AT58" s="66">
        <f t="shared" si="96"/>
        <v>7.5075144585125839E-4</v>
      </c>
      <c r="AU58" s="66">
        <f t="shared" si="96"/>
        <v>7.6716773619491094E-4</v>
      </c>
      <c r="AV58" s="66">
        <f t="shared" si="96"/>
        <v>7.6594259276241644E-4</v>
      </c>
      <c r="AW58" s="66">
        <f t="shared" si="96"/>
        <v>7.7070363237335959E-4</v>
      </c>
      <c r="AX58" s="66">
        <f t="shared" si="96"/>
        <v>7.8431372549019605E-4</v>
      </c>
      <c r="AY58" s="66">
        <f t="shared" si="96"/>
        <v>8.3690197018407005E-4</v>
      </c>
      <c r="AZ58" s="66">
        <f t="shared" si="96"/>
        <v>8.9903545836510072E-4</v>
      </c>
      <c r="BA58" s="66">
        <f t="shared" si="96"/>
        <v>9.8458981196107619E-4</v>
      </c>
      <c r="BB58" s="66">
        <f t="shared" si="96"/>
        <v>1.044087332372825E-3</v>
      </c>
      <c r="BC58" s="66">
        <f t="shared" si="96"/>
        <v>9.9381257313405536E-4</v>
      </c>
      <c r="BD58" s="66">
        <f t="shared" si="96"/>
        <v>9.9283875716026939E-4</v>
      </c>
      <c r="BE58" s="66">
        <f t="shared" si="96"/>
        <v>9.9825838267915737E-4</v>
      </c>
      <c r="BF58" s="66">
        <f t="shared" si="96"/>
        <v>1.0495355766626181E-3</v>
      </c>
      <c r="BG58" s="66">
        <f t="shared" si="96"/>
        <v>1.176285728285093E-3</v>
      </c>
      <c r="BH58" s="66">
        <f t="shared" si="96"/>
        <v>1.2787458613563001E-3</v>
      </c>
      <c r="BI58" s="66">
        <f t="shared" si="96"/>
        <v>1.3152696783209265E-3</v>
      </c>
      <c r="BJ58" s="66">
        <f t="shared" si="96"/>
        <v>1.2686107577493974E-3</v>
      </c>
      <c r="BK58" s="66">
        <f t="shared" si="96"/>
        <v>1.2269215071301427E-3</v>
      </c>
      <c r="BL58" s="66">
        <f t="shared" si="96"/>
        <v>1.2757242951801542E-3</v>
      </c>
      <c r="BM58" s="66">
        <f t="shared" si="96"/>
        <v>1.2889528979062549E-3</v>
      </c>
      <c r="BN58" s="66">
        <f t="shared" si="96"/>
        <v>1.3452798766808429E-3</v>
      </c>
      <c r="BO58" s="66">
        <f t="shared" si="96"/>
        <v>1.3138551041838495E-3</v>
      </c>
      <c r="BP58" s="66">
        <f t="shared" ref="BP58:BV58" si="97">BP6/(BP$27*1000)</f>
        <v>1.2740013961164221E-3</v>
      </c>
      <c r="BQ58" s="66">
        <f t="shared" si="97"/>
        <v>1.2413190727784962E-3</v>
      </c>
      <c r="BR58" s="66">
        <f t="shared" si="97"/>
        <v>1.199841211304064E-3</v>
      </c>
      <c r="BS58" s="66">
        <f t="shared" si="97"/>
        <v>1.2013475467543143E-3</v>
      </c>
      <c r="BT58" s="66">
        <f t="shared" si="97"/>
        <v>1.1618785761249341E-3</v>
      </c>
      <c r="BU58" s="66">
        <f t="shared" si="97"/>
        <v>1.0845858197732346E-3</v>
      </c>
      <c r="BV58" s="66">
        <f t="shared" si="97"/>
        <v>1.0615421486605404E-3</v>
      </c>
    </row>
    <row r="59" spans="1:74" s="63" customFormat="1" x14ac:dyDescent="0.25">
      <c r="A59" s="63" t="s">
        <v>249</v>
      </c>
      <c r="B59" s="63" t="s">
        <v>244</v>
      </c>
      <c r="C59" s="64" t="s">
        <v>75</v>
      </c>
      <c r="D59" s="66">
        <f t="shared" ref="D59:AI59" si="98">D7/(D$27*1000)</f>
        <v>1.2040308860096847E-3</v>
      </c>
      <c r="E59" s="66">
        <f t="shared" si="98"/>
        <v>1.3147358904817255E-3</v>
      </c>
      <c r="F59" s="66">
        <f t="shared" si="98"/>
        <v>1.4028179413031439E-3</v>
      </c>
      <c r="G59" s="66">
        <f t="shared" si="98"/>
        <v>1.6383342840844267E-3</v>
      </c>
      <c r="H59" s="66">
        <f t="shared" si="98"/>
        <v>1.7545184785540868E-3</v>
      </c>
      <c r="I59" s="66">
        <f t="shared" si="98"/>
        <v>1.9916574264744707E-3</v>
      </c>
      <c r="J59" s="66">
        <f t="shared" si="98"/>
        <v>2.1541815299246929E-3</v>
      </c>
      <c r="K59" s="66">
        <f t="shared" si="98"/>
        <v>2.4067749029148926E-3</v>
      </c>
      <c r="L59" s="66">
        <f t="shared" si="98"/>
        <v>2.7644879476741526E-3</v>
      </c>
      <c r="M59" s="66">
        <f t="shared" si="98"/>
        <v>3.1143552311435523E-3</v>
      </c>
      <c r="N59" s="66">
        <f t="shared" si="98"/>
        <v>3.4212229052086704E-3</v>
      </c>
      <c r="O59" s="66">
        <f t="shared" si="98"/>
        <v>3.6209762732356053E-3</v>
      </c>
      <c r="P59" s="66">
        <f t="shared" si="98"/>
        <v>3.7556832199626407E-3</v>
      </c>
      <c r="Q59" s="66">
        <f t="shared" si="98"/>
        <v>3.7541240910983695E-3</v>
      </c>
      <c r="R59" s="66">
        <f t="shared" si="98"/>
        <v>3.7870954245240729E-3</v>
      </c>
      <c r="S59" s="66">
        <f t="shared" si="98"/>
        <v>3.7612455783639252E-3</v>
      </c>
      <c r="T59" s="66">
        <f t="shared" si="98"/>
        <v>3.561245568845477E-3</v>
      </c>
      <c r="U59" s="66">
        <f t="shared" si="98"/>
        <v>3.4337306231638281E-3</v>
      </c>
      <c r="V59" s="66">
        <f t="shared" si="98"/>
        <v>3.3316913707402266E-3</v>
      </c>
      <c r="W59" s="66">
        <f t="shared" si="98"/>
        <v>3.1654676258992807E-3</v>
      </c>
      <c r="X59" s="66">
        <f t="shared" si="98"/>
        <v>3.0301798222107227E-3</v>
      </c>
      <c r="Y59" s="66">
        <f t="shared" si="98"/>
        <v>3.0421148464106281E-3</v>
      </c>
      <c r="Z59" s="66">
        <f t="shared" si="98"/>
        <v>3.0337445742645115E-3</v>
      </c>
      <c r="AA59" s="66">
        <f t="shared" si="98"/>
        <v>3.0082302222719892E-3</v>
      </c>
      <c r="AB59" s="66">
        <f t="shared" si="98"/>
        <v>2.967902881207316E-3</v>
      </c>
      <c r="AC59" s="66">
        <f t="shared" si="98"/>
        <v>3.0609866062592094E-3</v>
      </c>
      <c r="AD59" s="66">
        <f t="shared" si="98"/>
        <v>3.0542860762207301E-3</v>
      </c>
      <c r="AE59" s="66">
        <f t="shared" si="98"/>
        <v>3.1329918693362943E-3</v>
      </c>
      <c r="AF59" s="66">
        <f t="shared" si="98"/>
        <v>3.082446999497323E-3</v>
      </c>
      <c r="AG59" s="66">
        <f t="shared" si="98"/>
        <v>3.2145713552748727E-3</v>
      </c>
      <c r="AH59" s="66">
        <f t="shared" si="98"/>
        <v>3.3597285067873302E-3</v>
      </c>
      <c r="AI59" s="66">
        <f t="shared" si="98"/>
        <v>3.3758949654041667E-3</v>
      </c>
      <c r="AJ59" s="66">
        <f t="shared" ref="AJ59:BO59" si="99">AJ7/(AJ$27*1000)</f>
        <v>3.4578119046921249E-3</v>
      </c>
      <c r="AK59" s="66">
        <f t="shared" si="99"/>
        <v>3.7898922949461474E-3</v>
      </c>
      <c r="AL59" s="66">
        <f t="shared" si="99"/>
        <v>3.8763332039893866E-3</v>
      </c>
      <c r="AM59" s="66">
        <f t="shared" si="99"/>
        <v>3.8506971811114029E-3</v>
      </c>
      <c r="AN59" s="66">
        <f t="shared" si="99"/>
        <v>3.9410046492369044E-3</v>
      </c>
      <c r="AO59" s="66">
        <f t="shared" si="99"/>
        <v>3.9040474676838312E-3</v>
      </c>
      <c r="AP59" s="66">
        <f t="shared" si="99"/>
        <v>4.4541638800789408E-3</v>
      </c>
      <c r="AQ59" s="66">
        <f t="shared" si="99"/>
        <v>4.3022014416520555E-3</v>
      </c>
      <c r="AR59" s="66">
        <f t="shared" si="99"/>
        <v>4.2423057196518251E-3</v>
      </c>
      <c r="AS59" s="66">
        <f t="shared" si="99"/>
        <v>4.1314782947950704E-3</v>
      </c>
      <c r="AT59" s="66">
        <f t="shared" si="99"/>
        <v>3.9164464960633827E-3</v>
      </c>
      <c r="AU59" s="66">
        <f t="shared" si="99"/>
        <v>4.1249728818781774E-3</v>
      </c>
      <c r="AV59" s="66">
        <f t="shared" si="99"/>
        <v>4.3446800831851758E-3</v>
      </c>
      <c r="AW59" s="66">
        <f t="shared" si="99"/>
        <v>3.9013302279750973E-3</v>
      </c>
      <c r="AX59" s="66">
        <f t="shared" si="99"/>
        <v>4.0383453986840194E-3</v>
      </c>
      <c r="AY59" s="66">
        <f t="shared" si="99"/>
        <v>4.1546593259415392E-3</v>
      </c>
      <c r="AZ59" s="66">
        <f t="shared" si="99"/>
        <v>4.4503347750392492E-3</v>
      </c>
      <c r="BA59" s="66">
        <f t="shared" si="99"/>
        <v>4.6901455599034992E-3</v>
      </c>
      <c r="BB59" s="66">
        <f t="shared" si="99"/>
        <v>4.8607336805940376E-3</v>
      </c>
      <c r="BC59" s="66">
        <f t="shared" si="99"/>
        <v>4.6871473197862565E-3</v>
      </c>
      <c r="BD59" s="66">
        <f t="shared" si="99"/>
        <v>4.6654387283439581E-3</v>
      </c>
      <c r="BE59" s="66">
        <f t="shared" si="99"/>
        <v>4.5147120831576437E-3</v>
      </c>
      <c r="BF59" s="66">
        <f t="shared" si="99"/>
        <v>4.5158550544812702E-3</v>
      </c>
      <c r="BG59" s="66">
        <f t="shared" si="99"/>
        <v>4.6319502993091306E-3</v>
      </c>
      <c r="BH59" s="66">
        <f t="shared" si="99"/>
        <v>5.0222916508263467E-3</v>
      </c>
      <c r="BI59" s="66">
        <f t="shared" si="99"/>
        <v>5.099768885544597E-3</v>
      </c>
      <c r="BJ59" s="66">
        <f t="shared" si="99"/>
        <v>4.7210992773101907E-3</v>
      </c>
      <c r="BK59" s="66">
        <f t="shared" si="99"/>
        <v>4.5492002352660009E-3</v>
      </c>
      <c r="BL59" s="66">
        <f t="shared" si="99"/>
        <v>4.7032033929028877E-3</v>
      </c>
      <c r="BM59" s="66">
        <f t="shared" si="99"/>
        <v>4.7081437448717872E-3</v>
      </c>
      <c r="BN59" s="66">
        <f t="shared" si="99"/>
        <v>4.6480311601084547E-3</v>
      </c>
      <c r="BO59" s="66">
        <f t="shared" si="99"/>
        <v>4.6935504852793457E-3</v>
      </c>
      <c r="BP59" s="66">
        <f t="shared" ref="BP59:BV59" si="100">BP7/(BP$27*1000)</f>
        <v>4.6512096019777887E-3</v>
      </c>
      <c r="BQ59" s="66">
        <f t="shared" si="100"/>
        <v>4.7857430335444366E-3</v>
      </c>
      <c r="BR59" s="66">
        <f t="shared" si="100"/>
        <v>4.9271474644310975E-3</v>
      </c>
      <c r="BS59" s="66">
        <f t="shared" si="100"/>
        <v>5.2362017755441135E-3</v>
      </c>
      <c r="BT59" s="66">
        <f t="shared" si="100"/>
        <v>5.1566403851483157E-3</v>
      </c>
      <c r="BU59" s="66">
        <f t="shared" si="100"/>
        <v>5.1044035336429896E-3</v>
      </c>
      <c r="BV59" s="66">
        <f t="shared" si="100"/>
        <v>5.0552779815624194E-3</v>
      </c>
    </row>
    <row r="60" spans="1:74" s="63" customFormat="1" x14ac:dyDescent="0.25">
      <c r="A60" s="63" t="s">
        <v>249</v>
      </c>
      <c r="B60" s="63" t="s">
        <v>244</v>
      </c>
      <c r="C60" s="64" t="s">
        <v>316</v>
      </c>
      <c r="D60" s="66">
        <f t="shared" ref="D60:AI60" si="101">D8/(D$27*1000)</f>
        <v>6.9362648867949219E-4</v>
      </c>
      <c r="E60" s="66">
        <f t="shared" si="101"/>
        <v>7.516466485858194E-4</v>
      </c>
      <c r="F60" s="66">
        <f t="shared" si="101"/>
        <v>7.8262474620070137E-4</v>
      </c>
      <c r="G60" s="66">
        <f t="shared" si="101"/>
        <v>8.9446662863662291E-4</v>
      </c>
      <c r="H60" s="66">
        <f t="shared" si="101"/>
        <v>9.7329376854599406E-4</v>
      </c>
      <c r="I60" s="66">
        <f t="shared" si="101"/>
        <v>1.1341675906858862E-3</v>
      </c>
      <c r="J60" s="66">
        <f t="shared" si="101"/>
        <v>1.3178755449861277E-3</v>
      </c>
      <c r="K60" s="66">
        <f t="shared" si="101"/>
        <v>1.4859869929350115E-3</v>
      </c>
      <c r="L60" s="66">
        <f t="shared" si="101"/>
        <v>1.7783469789141471E-3</v>
      </c>
      <c r="M60" s="66">
        <f t="shared" si="101"/>
        <v>2.0796516839544114E-3</v>
      </c>
      <c r="N60" s="66">
        <f t="shared" si="101"/>
        <v>2.3390488515043677E-3</v>
      </c>
      <c r="O60" s="66">
        <f t="shared" si="101"/>
        <v>2.5585612815475292E-3</v>
      </c>
      <c r="P60" s="66">
        <f t="shared" si="101"/>
        <v>2.678602897120502E-3</v>
      </c>
      <c r="Q60" s="66">
        <f t="shared" si="101"/>
        <v>2.6586373682693232E-3</v>
      </c>
      <c r="R60" s="66">
        <f t="shared" si="101"/>
        <v>2.7255611009832344E-3</v>
      </c>
      <c r="S60" s="66">
        <f t="shared" si="101"/>
        <v>2.6727571512129905E-3</v>
      </c>
      <c r="T60" s="66">
        <f t="shared" si="101"/>
        <v>2.506439519522583E-3</v>
      </c>
      <c r="U60" s="66">
        <f t="shared" si="101"/>
        <v>2.3894714214058805E-3</v>
      </c>
      <c r="V60" s="66">
        <f t="shared" si="101"/>
        <v>2.2918812413237205E-3</v>
      </c>
      <c r="W60" s="66">
        <f t="shared" si="101"/>
        <v>2.1837615621788284E-3</v>
      </c>
      <c r="X60" s="66">
        <f t="shared" si="101"/>
        <v>2.1046406327967621E-3</v>
      </c>
      <c r="Y60" s="66">
        <f t="shared" si="101"/>
        <v>2.1215901810702365E-3</v>
      </c>
      <c r="Z60" s="66">
        <f t="shared" si="101"/>
        <v>2.1251769684334986E-3</v>
      </c>
      <c r="AA60" s="66">
        <f t="shared" si="101"/>
        <v>2.1236212977996751E-3</v>
      </c>
      <c r="AB60" s="66">
        <f t="shared" si="101"/>
        <v>2.0920553764835191E-3</v>
      </c>
      <c r="AC60" s="66">
        <f t="shared" si="101"/>
        <v>2.1773076161780555E-3</v>
      </c>
      <c r="AD60" s="66">
        <f t="shared" si="101"/>
        <v>2.1663759586057706E-3</v>
      </c>
      <c r="AE60" s="66">
        <f t="shared" si="101"/>
        <v>2.2017264228661486E-3</v>
      </c>
      <c r="AF60" s="66">
        <f t="shared" si="101"/>
        <v>2.1035833685739136E-3</v>
      </c>
      <c r="AG60" s="66">
        <f t="shared" si="101"/>
        <v>2.1491843602396365E-3</v>
      </c>
      <c r="AH60" s="66">
        <f t="shared" si="101"/>
        <v>2.220871040723982E-3</v>
      </c>
      <c r="AI60" s="66">
        <f t="shared" si="101"/>
        <v>2.1905841093392926E-3</v>
      </c>
      <c r="AJ60" s="66">
        <f t="shared" ref="AJ60:BO60" si="102">AJ8/(AJ$27*1000)</f>
        <v>2.2055625567832127E-3</v>
      </c>
      <c r="AK60" s="66">
        <f t="shared" si="102"/>
        <v>2.2579397956365645E-3</v>
      </c>
      <c r="AL60" s="66">
        <f t="shared" si="102"/>
        <v>2.326093568110075E-3</v>
      </c>
      <c r="AM60" s="66">
        <f t="shared" si="102"/>
        <v>2.3541660585184535E-3</v>
      </c>
      <c r="AN60" s="66">
        <f t="shared" si="102"/>
        <v>2.4109421343282912E-3</v>
      </c>
      <c r="AO60" s="66">
        <f t="shared" si="102"/>
        <v>2.3830472557745284E-3</v>
      </c>
      <c r="AP60" s="66">
        <f t="shared" si="102"/>
        <v>2.5082161598838043E-3</v>
      </c>
      <c r="AQ60" s="66">
        <f t="shared" si="102"/>
        <v>2.4484706799142802E-3</v>
      </c>
      <c r="AR60" s="66">
        <f t="shared" si="102"/>
        <v>2.4204004973931142E-3</v>
      </c>
      <c r="AS60" s="66">
        <f t="shared" si="102"/>
        <v>2.336679741112048E-3</v>
      </c>
      <c r="AT60" s="66">
        <f t="shared" si="102"/>
        <v>2.247228165083312E-3</v>
      </c>
      <c r="AU60" s="66">
        <f t="shared" si="102"/>
        <v>2.2716968555555207E-3</v>
      </c>
      <c r="AV60" s="66">
        <f t="shared" si="102"/>
        <v>2.2783035193955762E-3</v>
      </c>
      <c r="AW60" s="66">
        <f t="shared" si="102"/>
        <v>2.2924038160075247E-3</v>
      </c>
      <c r="AX60" s="66">
        <f t="shared" si="102"/>
        <v>2.3591650513601539E-3</v>
      </c>
      <c r="AY60" s="66">
        <f t="shared" si="102"/>
        <v>2.401385776027162E-3</v>
      </c>
      <c r="AZ60" s="66">
        <f t="shared" si="102"/>
        <v>2.5463329129347383E-3</v>
      </c>
      <c r="BA60" s="66">
        <f t="shared" si="102"/>
        <v>2.7833916265540049E-3</v>
      </c>
      <c r="BB60" s="66">
        <f t="shared" si="102"/>
        <v>2.9160146292807271E-3</v>
      </c>
      <c r="BC60" s="66">
        <f t="shared" si="102"/>
        <v>2.8381936953508044E-3</v>
      </c>
      <c r="BD60" s="66">
        <f t="shared" si="102"/>
        <v>2.7699484811077924E-3</v>
      </c>
      <c r="BE60" s="66">
        <f t="shared" si="102"/>
        <v>2.6673510917190678E-3</v>
      </c>
      <c r="BF60" s="66">
        <f t="shared" si="102"/>
        <v>2.5230376694074779E-3</v>
      </c>
      <c r="BG60" s="66">
        <f t="shared" si="102"/>
        <v>2.4273184841762368E-3</v>
      </c>
      <c r="BH60" s="66">
        <f t="shared" si="102"/>
        <v>2.6025588741506707E-3</v>
      </c>
      <c r="BI60" s="66">
        <f t="shared" si="102"/>
        <v>2.6777028298083901E-3</v>
      </c>
      <c r="BJ60" s="66">
        <f t="shared" si="102"/>
        <v>2.519247212932446E-3</v>
      </c>
      <c r="BK60" s="66">
        <f t="shared" si="102"/>
        <v>2.3529083129906871E-3</v>
      </c>
      <c r="BL60" s="66">
        <f t="shared" si="102"/>
        <v>2.1567884274566258E-3</v>
      </c>
      <c r="BM60" s="66">
        <f t="shared" si="102"/>
        <v>2.1097537884221459E-3</v>
      </c>
      <c r="BN60" s="66">
        <f t="shared" si="102"/>
        <v>2.0501809873790552E-3</v>
      </c>
      <c r="BO60" s="66">
        <f t="shared" si="102"/>
        <v>2.085795939934527E-3</v>
      </c>
      <c r="BP60" s="66">
        <f t="shared" ref="BP60:BV60" si="103">BP8/(BP$27*1000)</f>
        <v>2.0272333024088816E-3</v>
      </c>
      <c r="BQ60" s="66">
        <f t="shared" si="103"/>
        <v>2.0725839895382363E-3</v>
      </c>
      <c r="BR60" s="66">
        <f t="shared" si="103"/>
        <v>2.0896686342997675E-3</v>
      </c>
      <c r="BS60" s="66">
        <f t="shared" si="103"/>
        <v>2.1553243457796529E-3</v>
      </c>
      <c r="BT60" s="66">
        <f t="shared" si="103"/>
        <v>2.0598044915857484E-3</v>
      </c>
      <c r="BU60" s="66">
        <f t="shared" si="103"/>
        <v>2.071748588962705E-3</v>
      </c>
      <c r="BV60" s="66">
        <f t="shared" si="103"/>
        <v>2.0489534413585045E-3</v>
      </c>
    </row>
    <row r="61" spans="1:74" s="63" customFormat="1" x14ac:dyDescent="0.25">
      <c r="A61" s="63" t="s">
        <v>249</v>
      </c>
      <c r="B61" s="63" t="s">
        <v>244</v>
      </c>
      <c r="C61" s="64" t="s">
        <v>317</v>
      </c>
      <c r="D61" s="66">
        <f t="shared" ref="D61:AI61" si="104">D9/(D$27*1000)</f>
        <v>4.0308860096845963E-4</v>
      </c>
      <c r="E61" s="66">
        <f t="shared" si="104"/>
        <v>4.3652331137801888E-4</v>
      </c>
      <c r="F61" s="66">
        <f t="shared" si="104"/>
        <v>4.7252814864948009E-4</v>
      </c>
      <c r="G61" s="66">
        <f t="shared" si="104"/>
        <v>5.7273245864232741E-4</v>
      </c>
      <c r="H61" s="66">
        <f t="shared" si="104"/>
        <v>5.7836525492311838E-4</v>
      </c>
      <c r="I61" s="66">
        <f t="shared" si="104"/>
        <v>6.1671682771001642E-4</v>
      </c>
      <c r="J61" s="66">
        <f t="shared" si="104"/>
        <v>5.7471264367816091E-4</v>
      </c>
      <c r="K61" s="66">
        <f t="shared" si="104"/>
        <v>6.4193140878678707E-4</v>
      </c>
      <c r="L61" s="66">
        <f t="shared" si="104"/>
        <v>6.6047660430864936E-4</v>
      </c>
      <c r="M61" s="66">
        <f t="shared" si="104"/>
        <v>6.7272804883254363E-4</v>
      </c>
      <c r="N61" s="66">
        <f t="shared" si="104"/>
        <v>6.8747978000647039E-4</v>
      </c>
      <c r="O61" s="66">
        <f t="shared" si="104"/>
        <v>6.558863533323258E-4</v>
      </c>
      <c r="P61" s="66">
        <f t="shared" si="104"/>
        <v>6.5132344129982729E-4</v>
      </c>
      <c r="Q61" s="66">
        <f t="shared" si="104"/>
        <v>6.5601076267657516E-4</v>
      </c>
      <c r="R61" s="66">
        <f t="shared" si="104"/>
        <v>5.9173366008188639E-4</v>
      </c>
      <c r="S61" s="66">
        <f t="shared" si="104"/>
        <v>5.9827869537364565E-4</v>
      </c>
      <c r="T61" s="66">
        <f t="shared" si="104"/>
        <v>5.5188595037106939E-4</v>
      </c>
      <c r="U61" s="66">
        <f t="shared" si="104"/>
        <v>5.0732080158597459E-4</v>
      </c>
      <c r="V61" s="66">
        <f t="shared" si="104"/>
        <v>4.9348439389189911E-4</v>
      </c>
      <c r="W61" s="66">
        <f t="shared" si="104"/>
        <v>4.6454265159301129E-4</v>
      </c>
      <c r="X61" s="66">
        <f t="shared" si="104"/>
        <v>4.4872387218392506E-4</v>
      </c>
      <c r="Y61" s="66">
        <f t="shared" si="104"/>
        <v>4.4239134099875239E-4</v>
      </c>
      <c r="Z61" s="66">
        <f t="shared" si="104"/>
        <v>4.3810383185276225E-4</v>
      </c>
      <c r="AA61" s="66">
        <f t="shared" si="104"/>
        <v>4.3334639717820952E-4</v>
      </c>
      <c r="AB61" s="66">
        <f t="shared" si="104"/>
        <v>4.2582095266323344E-4</v>
      </c>
      <c r="AC61" s="66">
        <f t="shared" si="104"/>
        <v>4.2666432074600278E-4</v>
      </c>
      <c r="AD61" s="66">
        <f t="shared" si="104"/>
        <v>4.3148222133439874E-4</v>
      </c>
      <c r="AE61" s="66">
        <f t="shared" si="104"/>
        <v>4.6061821698484902E-4</v>
      </c>
      <c r="AF61" s="66">
        <f t="shared" si="104"/>
        <v>5.1065595353030826E-4</v>
      </c>
      <c r="AG61" s="66">
        <f t="shared" si="104"/>
        <v>5.5955452940377568E-4</v>
      </c>
      <c r="AH61" s="66">
        <f t="shared" si="104"/>
        <v>6.0690045248868775E-4</v>
      </c>
      <c r="AI61" s="66">
        <f t="shared" si="104"/>
        <v>6.5431387568289578E-4</v>
      </c>
      <c r="AJ61" s="66">
        <f t="shared" ref="AJ61:BO61" si="105">AJ9/(AJ$27*1000)</f>
        <v>6.8345007473403477E-4</v>
      </c>
      <c r="AK61" s="66">
        <f t="shared" si="105"/>
        <v>9.1245512289422816E-4</v>
      </c>
      <c r="AL61" s="66">
        <f t="shared" si="105"/>
        <v>8.9813639843528781E-4</v>
      </c>
      <c r="AM61" s="66">
        <f t="shared" si="105"/>
        <v>8.3194675540765393E-4</v>
      </c>
      <c r="AN61" s="66">
        <f t="shared" si="105"/>
        <v>8.4469388398061092E-4</v>
      </c>
      <c r="AO61" s="66">
        <f t="shared" si="105"/>
        <v>7.9847425301970759E-4</v>
      </c>
      <c r="AP61" s="66">
        <f t="shared" si="105"/>
        <v>1.1745928846619374E-3</v>
      </c>
      <c r="AQ61" s="66">
        <f t="shared" si="105"/>
        <v>1.0792908630430547E-3</v>
      </c>
      <c r="AR61" s="66">
        <f t="shared" si="105"/>
        <v>1.053233608719877E-3</v>
      </c>
      <c r="AS61" s="66">
        <f t="shared" si="105"/>
        <v>1.0203640873084989E-3</v>
      </c>
      <c r="AT61" s="66">
        <f t="shared" si="105"/>
        <v>8.8817758260944331E-4</v>
      </c>
      <c r="AU61" s="66">
        <f t="shared" si="105"/>
        <v>1.0449830688595925E-3</v>
      </c>
      <c r="AV61" s="66">
        <f t="shared" si="105"/>
        <v>1.2277800621818063E-3</v>
      </c>
      <c r="AW61" s="66">
        <f t="shared" si="105"/>
        <v>7.3968737403144172E-4</v>
      </c>
      <c r="AX61" s="66">
        <f t="shared" si="105"/>
        <v>7.8368078906074874E-4</v>
      </c>
      <c r="AY61" s="66">
        <f t="shared" si="105"/>
        <v>8.0398731846902387E-4</v>
      </c>
      <c r="AZ61" s="66">
        <f t="shared" si="105"/>
        <v>8.9305012243812187E-4</v>
      </c>
      <c r="BA61" s="66">
        <f t="shared" si="105"/>
        <v>8.0617792706998647E-4</v>
      </c>
      <c r="BB61" s="66">
        <f t="shared" si="105"/>
        <v>7.981380915438324E-4</v>
      </c>
      <c r="BC61" s="66">
        <f t="shared" si="105"/>
        <v>7.3758617607874678E-4</v>
      </c>
      <c r="BD61" s="66">
        <f t="shared" si="105"/>
        <v>7.6542354136893058E-4</v>
      </c>
      <c r="BE61" s="66">
        <f t="shared" si="105"/>
        <v>6.9136707793279186E-4</v>
      </c>
      <c r="BF61" s="66">
        <f t="shared" si="105"/>
        <v>7.8285259911047424E-4</v>
      </c>
      <c r="BG61" s="66">
        <f t="shared" si="105"/>
        <v>9.3143176714881651E-4</v>
      </c>
      <c r="BH61" s="66">
        <f t="shared" si="105"/>
        <v>1.1150663911026937E-3</v>
      </c>
      <c r="BI61" s="66">
        <f t="shared" si="105"/>
        <v>1.1700841149122571E-3</v>
      </c>
      <c r="BJ61" s="66">
        <f t="shared" si="105"/>
        <v>9.6065535083026082E-4</v>
      </c>
      <c r="BK61" s="66">
        <f t="shared" si="105"/>
        <v>9.4714739973648964E-4</v>
      </c>
      <c r="BL61" s="66">
        <f t="shared" si="105"/>
        <v>1.2581665320871116E-3</v>
      </c>
      <c r="BM61" s="66">
        <f t="shared" si="105"/>
        <v>1.3030680338074719E-3</v>
      </c>
      <c r="BN61" s="66">
        <f t="shared" si="105"/>
        <v>1.2428809337021898E-3</v>
      </c>
      <c r="BO61" s="66">
        <f t="shared" si="105"/>
        <v>1.3914246975469822E-3</v>
      </c>
      <c r="BP61" s="66">
        <f t="shared" ref="BP61:BV61" si="106">BP9/(BP$27*1000)</f>
        <v>1.3870326332536351E-3</v>
      </c>
      <c r="BQ61" s="66">
        <f t="shared" si="106"/>
        <v>1.4684636303249239E-3</v>
      </c>
      <c r="BR61" s="66">
        <f t="shared" si="106"/>
        <v>1.5857729086753594E-3</v>
      </c>
      <c r="BS61" s="66">
        <f t="shared" si="106"/>
        <v>1.759221584199979E-3</v>
      </c>
      <c r="BT61" s="66">
        <f t="shared" si="106"/>
        <v>1.8271070949231931E-3</v>
      </c>
      <c r="BU61" s="66">
        <f t="shared" si="106"/>
        <v>1.7594540233544919E-3</v>
      </c>
      <c r="BV61" s="66">
        <f t="shared" si="106"/>
        <v>1.7370257280905084E-3</v>
      </c>
    </row>
    <row r="62" spans="1:74" s="63" customFormat="1" x14ac:dyDescent="0.25">
      <c r="A62" s="63" t="s">
        <v>249</v>
      </c>
      <c r="B62" s="63" t="s">
        <v>244</v>
      </c>
      <c r="C62" s="64" t="s">
        <v>318</v>
      </c>
      <c r="D62" s="66">
        <f t="shared" ref="D62:AI62" si="107">D10/(D$27*1000)</f>
        <v>1.5704750687082843E-5</v>
      </c>
      <c r="E62" s="66">
        <f t="shared" si="107"/>
        <v>2.066382539067545E-5</v>
      </c>
      <c r="F62" s="66">
        <f t="shared" si="107"/>
        <v>2.9533009290592506E-5</v>
      </c>
      <c r="G62" s="66">
        <f t="shared" si="107"/>
        <v>3.4227039361095264E-5</v>
      </c>
      <c r="H62" s="66">
        <f t="shared" si="107"/>
        <v>4.3161586188292421E-5</v>
      </c>
      <c r="I62" s="66">
        <f t="shared" si="107"/>
        <v>5.0689054332330114E-5</v>
      </c>
      <c r="J62" s="66">
        <f t="shared" si="107"/>
        <v>5.548949663099485E-5</v>
      </c>
      <c r="K62" s="66">
        <f t="shared" si="107"/>
        <v>6.1760164693772514E-5</v>
      </c>
      <c r="L62" s="66">
        <f t="shared" si="107"/>
        <v>7.3183003247495772E-5</v>
      </c>
      <c r="M62" s="66">
        <f t="shared" si="107"/>
        <v>8.1956716609040851E-5</v>
      </c>
      <c r="N62" s="66">
        <f t="shared" si="107"/>
        <v>9.3820769977353611E-5</v>
      </c>
      <c r="O62" s="66">
        <f t="shared" si="107"/>
        <v>1.0578812150521385E-4</v>
      </c>
      <c r="P62" s="66">
        <f t="shared" si="107"/>
        <v>1.2124202586966482E-4</v>
      </c>
      <c r="Q62" s="66">
        <f t="shared" si="107"/>
        <v>1.358147282103847E-4</v>
      </c>
      <c r="R62" s="66">
        <f t="shared" si="107"/>
        <v>1.6257732883057888E-4</v>
      </c>
      <c r="S62" s="66">
        <f t="shared" si="107"/>
        <v>1.7380163217558422E-4</v>
      </c>
      <c r="T62" s="66">
        <f t="shared" si="107"/>
        <v>1.7444084568105889E-4</v>
      </c>
      <c r="U62" s="66">
        <f t="shared" si="107"/>
        <v>1.8725965557599063E-4</v>
      </c>
      <c r="V62" s="66">
        <f t="shared" si="107"/>
        <v>1.9166181541355068E-4</v>
      </c>
      <c r="W62" s="66">
        <f t="shared" si="107"/>
        <v>1.775950668036999E-4</v>
      </c>
      <c r="X62" s="66">
        <f t="shared" si="107"/>
        <v>1.6485242750743868E-4</v>
      </c>
      <c r="Y62" s="66">
        <f t="shared" si="107"/>
        <v>1.6859426105135381E-4</v>
      </c>
      <c r="Z62" s="66">
        <f t="shared" si="107"/>
        <v>1.6428893694478585E-4</v>
      </c>
      <c r="AA62" s="66">
        <f t="shared" si="107"/>
        <v>1.5844577571244611E-4</v>
      </c>
      <c r="AB62" s="66">
        <f t="shared" si="107"/>
        <v>1.6499326936139208E-4</v>
      </c>
      <c r="AC62" s="66">
        <f t="shared" si="107"/>
        <v>1.7506432954320525E-4</v>
      </c>
      <c r="AD62" s="66">
        <f t="shared" si="107"/>
        <v>1.8163569570174326E-4</v>
      </c>
      <c r="AE62" s="66">
        <f t="shared" si="107"/>
        <v>1.9484938572298435E-4</v>
      </c>
      <c r="AF62" s="66">
        <f t="shared" si="107"/>
        <v>1.9628338213821222E-4</v>
      </c>
      <c r="AG62" s="66">
        <f t="shared" si="107"/>
        <v>2.1609549247740204E-4</v>
      </c>
      <c r="AH62" s="66">
        <f t="shared" si="107"/>
        <v>2.3076923076923076E-4</v>
      </c>
      <c r="AI62" s="66">
        <f t="shared" si="107"/>
        <v>2.3169396139700063E-4</v>
      </c>
      <c r="AJ62" s="66">
        <f t="shared" ref="AJ62:BO62" si="108">AJ10/(AJ$27*1000)</f>
        <v>2.5204419565663373E-4</v>
      </c>
      <c r="AK62" s="66">
        <f t="shared" si="108"/>
        <v>2.7881800607566971E-4</v>
      </c>
      <c r="AL62" s="66">
        <f t="shared" si="108"/>
        <v>2.9343596950279487E-4</v>
      </c>
      <c r="AM62" s="66">
        <f t="shared" si="108"/>
        <v>2.9774936509326561E-4</v>
      </c>
      <c r="AN62" s="66">
        <f t="shared" si="108"/>
        <v>3.0856890817194526E-4</v>
      </c>
      <c r="AO62" s="66">
        <f t="shared" si="108"/>
        <v>3.2701843610934519E-4</v>
      </c>
      <c r="AP62" s="66">
        <f t="shared" si="108"/>
        <v>3.4907909259130092E-4</v>
      </c>
      <c r="AQ62" s="66">
        <f t="shared" si="108"/>
        <v>3.4334697058250533E-4</v>
      </c>
      <c r="AR62" s="66">
        <f t="shared" si="108"/>
        <v>3.3474408976691156E-4</v>
      </c>
      <c r="AS62" s="66">
        <f t="shared" si="108"/>
        <v>3.3524457108620079E-4</v>
      </c>
      <c r="AT62" s="66">
        <f t="shared" si="108"/>
        <v>3.3212418614032943E-4</v>
      </c>
      <c r="AU62" s="66">
        <f t="shared" si="108"/>
        <v>3.4459665527443537E-4</v>
      </c>
      <c r="AV62" s="66">
        <f t="shared" si="108"/>
        <v>3.7273585156830086E-4</v>
      </c>
      <c r="AW62" s="66">
        <f t="shared" si="108"/>
        <v>3.9134232095668921E-4</v>
      </c>
      <c r="AX62" s="66">
        <f t="shared" si="108"/>
        <v>4.0592323008557829E-4</v>
      </c>
      <c r="AY62" s="66">
        <f t="shared" si="108"/>
        <v>4.2640783032645306E-4</v>
      </c>
      <c r="AZ62" s="66">
        <f t="shared" si="108"/>
        <v>4.5213037581734276E-4</v>
      </c>
      <c r="BA62" s="66">
        <f t="shared" si="108"/>
        <v>4.9044799205827014E-4</v>
      </c>
      <c r="BB62" s="66">
        <f t="shared" si="108"/>
        <v>5.0466585392884848E-4</v>
      </c>
      <c r="BC62" s="66">
        <f t="shared" si="108"/>
        <v>4.9590864971931067E-4</v>
      </c>
      <c r="BD62" s="66">
        <f t="shared" si="108"/>
        <v>5.1152847168407973E-4</v>
      </c>
      <c r="BE62" s="66">
        <f t="shared" si="108"/>
        <v>5.3443819091792398E-4</v>
      </c>
      <c r="BF62" s="66">
        <f t="shared" si="108"/>
        <v>5.5447690116477196E-4</v>
      </c>
      <c r="BG62" s="66">
        <f t="shared" si="108"/>
        <v>5.722270187526505E-4</v>
      </c>
      <c r="BH62" s="66">
        <f t="shared" si="108"/>
        <v>5.6672634147352993E-4</v>
      </c>
      <c r="BI62" s="66">
        <f t="shared" si="108"/>
        <v>5.295477143855312E-4</v>
      </c>
      <c r="BJ62" s="66">
        <f t="shared" si="108"/>
        <v>5.3974632310748534E-4</v>
      </c>
      <c r="BK62" s="66">
        <f t="shared" si="108"/>
        <v>5.638314216677504E-4</v>
      </c>
      <c r="BL62" s="66">
        <f t="shared" si="108"/>
        <v>5.8515889625788931E-4</v>
      </c>
      <c r="BM62" s="66">
        <f t="shared" si="108"/>
        <v>5.8606503290662782E-4</v>
      </c>
      <c r="BN62" s="66">
        <f t="shared" si="108"/>
        <v>6.0475934872070136E-4</v>
      </c>
      <c r="BO62" s="66">
        <f t="shared" si="108"/>
        <v>6.2259522861170008E-4</v>
      </c>
      <c r="BP62" s="66">
        <f t="shared" ref="BP62:BV62" si="109">BP10/(BP$27*1000)</f>
        <v>6.3369750208707787E-4</v>
      </c>
      <c r="BQ62" s="66">
        <f t="shared" si="109"/>
        <v>6.361711315512941E-4</v>
      </c>
      <c r="BR62" s="66">
        <f t="shared" si="109"/>
        <v>6.4018152648553169E-4</v>
      </c>
      <c r="BS62" s="66">
        <f t="shared" si="109"/>
        <v>6.5951461581667168E-4</v>
      </c>
      <c r="BT62" s="66">
        <f t="shared" si="109"/>
        <v>6.4575375068601823E-4</v>
      </c>
      <c r="BU62" s="66">
        <f t="shared" si="109"/>
        <v>6.5088473336514152E-4</v>
      </c>
      <c r="BV62" s="66">
        <f t="shared" si="109"/>
        <v>6.6637272891926656E-4</v>
      </c>
    </row>
    <row r="63" spans="1:74" s="63" customFormat="1" x14ac:dyDescent="0.25">
      <c r="A63" s="63" t="s">
        <v>249</v>
      </c>
      <c r="B63" s="63" t="s">
        <v>244</v>
      </c>
      <c r="C63" s="64" t="s">
        <v>237</v>
      </c>
      <c r="D63" s="66">
        <f t="shared" ref="D63:AI63" si="110">D11/(D$27*1000)</f>
        <v>9.1611045674649908E-5</v>
      </c>
      <c r="E63" s="66">
        <f t="shared" si="110"/>
        <v>1.0590210512721168E-4</v>
      </c>
      <c r="F63" s="66">
        <f t="shared" si="110"/>
        <v>1.205931212699194E-4</v>
      </c>
      <c r="G63" s="66">
        <f t="shared" si="110"/>
        <v>1.3690815744438106E-4</v>
      </c>
      <c r="H63" s="66">
        <f t="shared" si="110"/>
        <v>1.6185594820609657E-4</v>
      </c>
      <c r="I63" s="66">
        <f t="shared" si="110"/>
        <v>1.9008395374623793E-4</v>
      </c>
      <c r="J63" s="66">
        <f t="shared" si="110"/>
        <v>2.0610384462940942E-4</v>
      </c>
      <c r="K63" s="66">
        <f t="shared" si="110"/>
        <v>2.1709633649932158E-4</v>
      </c>
      <c r="L63" s="66">
        <f t="shared" si="110"/>
        <v>2.5431093628504781E-4</v>
      </c>
      <c r="M63" s="66">
        <f t="shared" si="110"/>
        <v>2.8172621334357793E-4</v>
      </c>
      <c r="N63" s="66">
        <f t="shared" si="110"/>
        <v>3.0410870268521512E-4</v>
      </c>
      <c r="O63" s="66">
        <f t="shared" si="110"/>
        <v>3.0074051685053651E-4</v>
      </c>
      <c r="P63" s="66">
        <f t="shared" si="110"/>
        <v>3.0451485567264654E-4</v>
      </c>
      <c r="Q63" s="66">
        <f t="shared" si="110"/>
        <v>3.0366123194208657E-4</v>
      </c>
      <c r="R63" s="66">
        <f t="shared" si="110"/>
        <v>3.0841875616389227E-4</v>
      </c>
      <c r="S63" s="66">
        <f t="shared" si="110"/>
        <v>3.1752221262847113E-4</v>
      </c>
      <c r="T63" s="66">
        <f t="shared" si="110"/>
        <v>3.2949937517533348E-4</v>
      </c>
      <c r="U63" s="66">
        <f t="shared" si="110"/>
        <v>3.496787445959825E-4</v>
      </c>
      <c r="V63" s="66">
        <f t="shared" si="110"/>
        <v>3.5645515203080921E-4</v>
      </c>
      <c r="W63" s="66">
        <f t="shared" si="110"/>
        <v>3.3956834532374101E-4</v>
      </c>
      <c r="X63" s="66">
        <f t="shared" si="110"/>
        <v>3.1270213827644199E-4</v>
      </c>
      <c r="Y63" s="66">
        <f t="shared" si="110"/>
        <v>3.088646862460802E-4</v>
      </c>
      <c r="Z63" s="66">
        <f t="shared" si="110"/>
        <v>3.0617483703346455E-4</v>
      </c>
      <c r="AA63" s="66">
        <f t="shared" si="110"/>
        <v>2.9281675158165834E-4</v>
      </c>
      <c r="AB63" s="66">
        <f t="shared" si="110"/>
        <v>2.8552727452360664E-4</v>
      </c>
      <c r="AC63" s="66">
        <f t="shared" si="110"/>
        <v>2.8151047966746575E-4</v>
      </c>
      <c r="AD63" s="66">
        <f t="shared" si="110"/>
        <v>2.747922005788176E-4</v>
      </c>
      <c r="AE63" s="66">
        <f t="shared" si="110"/>
        <v>2.757978437623124E-4</v>
      </c>
      <c r="AF63" s="66">
        <f t="shared" si="110"/>
        <v>2.7128597531297623E-4</v>
      </c>
      <c r="AG63" s="66">
        <f t="shared" si="110"/>
        <v>2.8943516380702312E-4</v>
      </c>
      <c r="AH63" s="66">
        <f t="shared" si="110"/>
        <v>3.0090497737556563E-4</v>
      </c>
      <c r="AI63" s="66">
        <f t="shared" si="110"/>
        <v>2.9930301898497787E-4</v>
      </c>
      <c r="AJ63" s="66">
        <f t="shared" ref="AJ63:BO63" si="111">AJ11/(AJ$27*1000)</f>
        <v>3.1675507751824388E-4</v>
      </c>
      <c r="AK63" s="66">
        <f t="shared" si="111"/>
        <v>3.4067937033968517E-4</v>
      </c>
      <c r="AL63" s="66">
        <f t="shared" si="111"/>
        <v>3.5887701488154539E-4</v>
      </c>
      <c r="AM63" s="66">
        <f t="shared" si="111"/>
        <v>3.6683500209202987E-4</v>
      </c>
      <c r="AN63" s="66">
        <f t="shared" si="111"/>
        <v>3.7679972275605681E-4</v>
      </c>
      <c r="AO63" s="66">
        <f t="shared" si="111"/>
        <v>3.9550752278025004E-4</v>
      </c>
      <c r="AP63" s="66">
        <f t="shared" si="111"/>
        <v>4.2211162489178466E-4</v>
      </c>
      <c r="AQ63" s="66">
        <f t="shared" si="111"/>
        <v>4.3093707383596338E-4</v>
      </c>
      <c r="AR63" s="66">
        <f t="shared" si="111"/>
        <v>4.3377992937608159E-4</v>
      </c>
      <c r="AS63" s="66">
        <f t="shared" si="111"/>
        <v>4.3918989528832285E-4</v>
      </c>
      <c r="AT63" s="66">
        <f t="shared" si="111"/>
        <v>4.4918109762348015E-4</v>
      </c>
      <c r="AU63" s="66">
        <f t="shared" si="111"/>
        <v>4.6382206739128382E-4</v>
      </c>
      <c r="AV63" s="66">
        <f t="shared" si="111"/>
        <v>4.6586065003949225E-4</v>
      </c>
      <c r="AW63" s="66">
        <f t="shared" si="111"/>
        <v>4.7789671697944192E-4</v>
      </c>
      <c r="AX63" s="66">
        <f t="shared" si="111"/>
        <v>4.8957632817753867E-4</v>
      </c>
      <c r="AY63" s="66">
        <f t="shared" si="111"/>
        <v>5.2297724391684353E-4</v>
      </c>
      <c r="AZ63" s="66">
        <f t="shared" si="111"/>
        <v>5.5882136384904598E-4</v>
      </c>
      <c r="BA63" s="66">
        <f t="shared" si="111"/>
        <v>6.1003566852512381E-4</v>
      </c>
      <c r="BB63" s="66">
        <f t="shared" si="111"/>
        <v>6.4200376814806603E-4</v>
      </c>
      <c r="BC63" s="66">
        <f t="shared" si="111"/>
        <v>6.1537566223341788E-4</v>
      </c>
      <c r="BD63" s="66">
        <f t="shared" si="111"/>
        <v>6.184603522599387E-4</v>
      </c>
      <c r="BE63" s="66">
        <f t="shared" si="111"/>
        <v>6.2155572258785997E-4</v>
      </c>
      <c r="BF63" s="66">
        <f t="shared" si="111"/>
        <v>6.5548788479854602E-4</v>
      </c>
      <c r="BG63" s="66">
        <f t="shared" si="111"/>
        <v>7.0097302923142688E-4</v>
      </c>
      <c r="BH63" s="66">
        <f t="shared" si="111"/>
        <v>7.3787092270154067E-4</v>
      </c>
      <c r="BI63" s="66">
        <f t="shared" si="111"/>
        <v>7.2250141087312888E-4</v>
      </c>
      <c r="BJ63" s="66">
        <f t="shared" si="111"/>
        <v>7.0151504620462584E-4</v>
      </c>
      <c r="BK63" s="66">
        <f t="shared" si="111"/>
        <v>6.8531310087107397E-4</v>
      </c>
      <c r="BL63" s="66">
        <f t="shared" si="111"/>
        <v>7.030895371012612E-4</v>
      </c>
      <c r="BM63" s="66">
        <f t="shared" si="111"/>
        <v>7.0925688973554198E-4</v>
      </c>
      <c r="BN63" s="66">
        <f t="shared" si="111"/>
        <v>7.5020989030650869E-4</v>
      </c>
      <c r="BO63" s="66">
        <f t="shared" si="111"/>
        <v>5.9373461918613612E-4</v>
      </c>
      <c r="BP63" s="66">
        <f t="shared" ref="BP63:BV63" si="112">BP11/(BP$27*1000)</f>
        <v>6.0324616422819408E-4</v>
      </c>
      <c r="BQ63" s="66">
        <f t="shared" si="112"/>
        <v>6.0852428212998175E-4</v>
      </c>
      <c r="BR63" s="66">
        <f t="shared" si="112"/>
        <v>6.1152439497043853E-4</v>
      </c>
      <c r="BS63" s="66">
        <f t="shared" si="112"/>
        <v>6.6214122974780985E-4</v>
      </c>
      <c r="BT63" s="66">
        <f t="shared" si="112"/>
        <v>6.2397504795335616E-4</v>
      </c>
      <c r="BU63" s="66">
        <f t="shared" si="112"/>
        <v>6.2231618796065066E-4</v>
      </c>
      <c r="BV63" s="66">
        <f t="shared" si="112"/>
        <v>6.0292608319413978E-4</v>
      </c>
    </row>
    <row r="64" spans="1:74" s="63" customFormat="1" x14ac:dyDescent="0.25">
      <c r="A64" s="63" t="s">
        <v>250</v>
      </c>
      <c r="B64" s="63" t="s">
        <v>244</v>
      </c>
      <c r="C64" s="64" t="s">
        <v>75</v>
      </c>
      <c r="D64" s="66">
        <f t="shared" ref="D64:AI64" si="113">D12/(D$27*1000)</f>
        <v>3.3739039392749639E-3</v>
      </c>
      <c r="E64" s="66">
        <f t="shared" si="113"/>
        <v>3.559343923543846E-3</v>
      </c>
      <c r="F64" s="66">
        <f t="shared" si="113"/>
        <v>3.696548329539162E-3</v>
      </c>
      <c r="G64" s="66">
        <f t="shared" si="113"/>
        <v>4.401597261836851E-3</v>
      </c>
      <c r="H64" s="66">
        <f t="shared" si="113"/>
        <v>5.2074453736174805E-3</v>
      </c>
      <c r="I64" s="66">
        <f t="shared" si="113"/>
        <v>5.8271292042874493E-3</v>
      </c>
      <c r="J64" s="66">
        <f t="shared" si="113"/>
        <v>5.8263971462544587E-3</v>
      </c>
      <c r="K64" s="66">
        <f t="shared" si="113"/>
        <v>5.736209235951902E-3</v>
      </c>
      <c r="L64" s="66">
        <f t="shared" si="113"/>
        <v>5.7137629785482319E-3</v>
      </c>
      <c r="M64" s="66">
        <f t="shared" si="113"/>
        <v>6.3140820420881892E-3</v>
      </c>
      <c r="N64" s="66">
        <f t="shared" si="113"/>
        <v>6.2504043998705917E-3</v>
      </c>
      <c r="O64" s="66">
        <f t="shared" si="113"/>
        <v>6.3487985491914763E-3</v>
      </c>
      <c r="P64" s="66">
        <f t="shared" si="113"/>
        <v>6.1664258273710923E-3</v>
      </c>
      <c r="Q64" s="66">
        <f t="shared" si="113"/>
        <v>5.9617540600275477E-3</v>
      </c>
      <c r="R64" s="66">
        <f t="shared" si="113"/>
        <v>5.7954036041959296E-3</v>
      </c>
      <c r="S64" s="66">
        <f t="shared" si="113"/>
        <v>5.7231986184998465E-3</v>
      </c>
      <c r="T64" s="66">
        <f t="shared" si="113"/>
        <v>5.5637448675116673E-3</v>
      </c>
      <c r="U64" s="66">
        <f t="shared" si="113"/>
        <v>5.4954976473117253E-3</v>
      </c>
      <c r="V64" s="66">
        <f t="shared" si="113"/>
        <v>5.2241278939590702E-3</v>
      </c>
      <c r="W64" s="66">
        <f t="shared" si="113"/>
        <v>5.0540596094552932E-3</v>
      </c>
      <c r="X64" s="66">
        <f t="shared" si="113"/>
        <v>4.9196991258385848E-3</v>
      </c>
      <c r="Y64" s="66">
        <f t="shared" si="113"/>
        <v>4.9526250126445698E-3</v>
      </c>
      <c r="Z64" s="66">
        <f t="shared" si="113"/>
        <v>5.0350825334100841E-3</v>
      </c>
      <c r="AA64" s="66">
        <f t="shared" si="113"/>
        <v>5.0254744975085381E-3</v>
      </c>
      <c r="AB64" s="66">
        <f t="shared" si="113"/>
        <v>4.772949007693923E-3</v>
      </c>
      <c r="AC64" s="66">
        <f t="shared" si="113"/>
        <v>4.7082627724383645E-3</v>
      </c>
      <c r="AD64" s="66">
        <f t="shared" si="113"/>
        <v>4.7151223409956835E-3</v>
      </c>
      <c r="AE64" s="66">
        <f t="shared" si="113"/>
        <v>4.9174397363802433E-3</v>
      </c>
      <c r="AF64" s="66">
        <f t="shared" si="113"/>
        <v>5.2115631657477521E-3</v>
      </c>
      <c r="AG64" s="66">
        <f t="shared" si="113"/>
        <v>5.4983626842923326E-3</v>
      </c>
      <c r="AH64" s="66">
        <f t="shared" si="113"/>
        <v>5.7403846153846151E-3</v>
      </c>
      <c r="AI64" s="66">
        <f t="shared" si="113"/>
        <v>5.6849848386055319E-3</v>
      </c>
      <c r="AJ64" s="66">
        <f t="shared" ref="AJ64:BO64" si="114">AJ12/(AJ$27*1000)</f>
        <v>5.9555112687201426E-3</v>
      </c>
      <c r="AK64" s="66">
        <f t="shared" si="114"/>
        <v>6.0182270091135043E-3</v>
      </c>
      <c r="AL64" s="66">
        <f t="shared" si="114"/>
        <v>5.8626367287867185E-3</v>
      </c>
      <c r="AM64" s="66">
        <f t="shared" si="114"/>
        <v>5.746368138871861E-3</v>
      </c>
      <c r="AN64" s="66">
        <f t="shared" si="114"/>
        <v>5.8107810087898934E-3</v>
      </c>
      <c r="AO64" s="66">
        <f t="shared" si="114"/>
        <v>5.915999152362789E-3</v>
      </c>
      <c r="AP64" s="66">
        <f t="shared" si="114"/>
        <v>6.3400443939325554E-3</v>
      </c>
      <c r="AQ64" s="66">
        <f t="shared" si="114"/>
        <v>5.9124878238846681E-3</v>
      </c>
      <c r="AR64" s="66">
        <f t="shared" si="114"/>
        <v>5.5027618601321705E-3</v>
      </c>
      <c r="AS64" s="66">
        <f t="shared" si="114"/>
        <v>5.1022384472296338E-3</v>
      </c>
      <c r="AT64" s="66">
        <f t="shared" si="114"/>
        <v>5.4145104276545298E-3</v>
      </c>
      <c r="AU64" s="66">
        <f t="shared" si="114"/>
        <v>5.4292837986121808E-3</v>
      </c>
      <c r="AV64" s="66">
        <f t="shared" si="114"/>
        <v>5.5041844036670109E-3</v>
      </c>
      <c r="AW64" s="66">
        <f t="shared" si="114"/>
        <v>5.1783714784789719E-3</v>
      </c>
      <c r="AX64" s="66">
        <f t="shared" si="114"/>
        <v>5.4699421126890571E-3</v>
      </c>
      <c r="AY64" s="66">
        <f t="shared" si="114"/>
        <v>5.5849146121779271E-3</v>
      </c>
      <c r="AZ64" s="66">
        <f t="shared" si="114"/>
        <v>6.0761610245375023E-3</v>
      </c>
      <c r="BA64" s="66">
        <f t="shared" si="114"/>
        <v>4.6653969133451075E-3</v>
      </c>
      <c r="BB64" s="66">
        <f t="shared" si="114"/>
        <v>5.4136318297683698E-3</v>
      </c>
      <c r="BC64" s="66">
        <f t="shared" si="114"/>
        <v>5.7473858796974666E-3</v>
      </c>
      <c r="BD64" s="66">
        <f t="shared" si="114"/>
        <v>5.4247095977788071E-3</v>
      </c>
      <c r="BE64" s="66">
        <f t="shared" si="114"/>
        <v>5.6189341301996444E-3</v>
      </c>
      <c r="BF64" s="66">
        <f t="shared" si="114"/>
        <v>5.964331588651119E-3</v>
      </c>
      <c r="BG64" s="66">
        <f t="shared" si="114"/>
        <v>5.1796446137028331E-3</v>
      </c>
      <c r="BH64" s="66">
        <f t="shared" si="114"/>
        <v>5.1312960953322322E-3</v>
      </c>
      <c r="BI64" s="66">
        <f t="shared" si="114"/>
        <v>5.324903926258364E-3</v>
      </c>
      <c r="BJ64" s="66">
        <f t="shared" si="114"/>
        <v>5.3112124410622293E-3</v>
      </c>
      <c r="BK64" s="66">
        <f t="shared" si="114"/>
        <v>5.4049104794243125E-3</v>
      </c>
      <c r="BL64" s="66">
        <f t="shared" si="114"/>
        <v>5.2933959140748239E-3</v>
      </c>
      <c r="BM64" s="66">
        <f t="shared" si="114"/>
        <v>5.27251966651557E-3</v>
      </c>
      <c r="BN64" s="66">
        <f t="shared" si="114"/>
        <v>5.3434080680457496E-3</v>
      </c>
      <c r="BO64" s="66">
        <f t="shared" si="114"/>
        <v>5.8720611329934969E-3</v>
      </c>
      <c r="BP64" s="66">
        <f t="shared" ref="BP64:BV64" si="115">BP12/(BP$27*1000)</f>
        <v>5.8474826678984832E-3</v>
      </c>
      <c r="BQ64" s="66">
        <f t="shared" si="115"/>
        <v>5.7855803330589036E-3</v>
      </c>
      <c r="BR64" s="66">
        <f t="shared" si="115"/>
        <v>6.1118614686075214E-3</v>
      </c>
      <c r="BS64" s="66">
        <f t="shared" si="115"/>
        <v>6.207767507144038E-3</v>
      </c>
      <c r="BT64" s="66">
        <f t="shared" si="115"/>
        <v>6.2471839289692608E-3</v>
      </c>
      <c r="BU64" s="66">
        <f t="shared" si="115"/>
        <v>6.3339874576639824E-3</v>
      </c>
      <c r="BV64" s="66">
        <f t="shared" si="115"/>
        <v>6.2355904947118644E-3</v>
      </c>
    </row>
    <row r="65" spans="1:74" s="63" customFormat="1" x14ac:dyDescent="0.25">
      <c r="A65" s="63" t="s">
        <v>250</v>
      </c>
      <c r="B65" s="63" t="s">
        <v>244</v>
      </c>
      <c r="C65" s="64" t="s">
        <v>316</v>
      </c>
      <c r="D65" s="66">
        <f t="shared" ref="D65:AI65" si="116">D13/(D$27*1000)</f>
        <v>1.9787985865724381E-3</v>
      </c>
      <c r="E65" s="66">
        <f t="shared" si="116"/>
        <v>2.0276378664600284E-3</v>
      </c>
      <c r="F65" s="66">
        <f t="shared" si="116"/>
        <v>2.0623884821263767E-3</v>
      </c>
      <c r="G65" s="66">
        <f t="shared" si="116"/>
        <v>2.341129492298916E-3</v>
      </c>
      <c r="H65" s="66">
        <f t="shared" si="116"/>
        <v>2.8141354194766658E-3</v>
      </c>
      <c r="I65" s="66">
        <f t="shared" si="116"/>
        <v>3.1617297639790908E-3</v>
      </c>
      <c r="J65" s="66">
        <f t="shared" si="116"/>
        <v>3.2302814110186286E-3</v>
      </c>
      <c r="K65" s="66">
        <f t="shared" si="116"/>
        <v>3.2414728863519393E-3</v>
      </c>
      <c r="L65" s="66">
        <f t="shared" si="116"/>
        <v>3.313360472030371E-3</v>
      </c>
      <c r="M65" s="66">
        <f t="shared" si="116"/>
        <v>3.582191488453494E-3</v>
      </c>
      <c r="N65" s="66">
        <f t="shared" si="116"/>
        <v>3.6298932384341638E-3</v>
      </c>
      <c r="O65" s="66">
        <f t="shared" si="116"/>
        <v>3.7207193592262355E-3</v>
      </c>
      <c r="P65" s="66">
        <f t="shared" si="116"/>
        <v>3.5991964191308639E-3</v>
      </c>
      <c r="Q65" s="66">
        <f t="shared" si="116"/>
        <v>3.3633364297383003E-3</v>
      </c>
      <c r="R65" s="66">
        <f t="shared" si="116"/>
        <v>3.3029497026388932E-3</v>
      </c>
      <c r="S65" s="66">
        <f t="shared" si="116"/>
        <v>3.1317717182408156E-3</v>
      </c>
      <c r="T65" s="66">
        <f t="shared" si="116"/>
        <v>2.98283644895565E-3</v>
      </c>
      <c r="U65" s="66">
        <f t="shared" si="116"/>
        <v>2.9617598585998518E-3</v>
      </c>
      <c r="V65" s="66">
        <f t="shared" si="116"/>
        <v>2.7683489319779678E-3</v>
      </c>
      <c r="W65" s="66">
        <f t="shared" si="116"/>
        <v>2.6663926002055498E-3</v>
      </c>
      <c r="X65" s="66">
        <f t="shared" si="116"/>
        <v>2.5348832911345617E-3</v>
      </c>
      <c r="Y65" s="66">
        <f t="shared" si="116"/>
        <v>2.4506861786424789E-3</v>
      </c>
      <c r="Z65" s="66">
        <f t="shared" si="116"/>
        <v>2.567014639762279E-3</v>
      </c>
      <c r="AA65" s="66">
        <f t="shared" si="116"/>
        <v>2.499300151167348E-3</v>
      </c>
      <c r="AB65" s="66">
        <f t="shared" si="116"/>
        <v>2.3133637138305361E-3</v>
      </c>
      <c r="AC65" s="66">
        <f t="shared" si="116"/>
        <v>2.2344894323605095E-3</v>
      </c>
      <c r="AD65" s="66">
        <f t="shared" si="116"/>
        <v>2.1835261101312573E-3</v>
      </c>
      <c r="AE65" s="66">
        <f t="shared" si="116"/>
        <v>2.2393352197428275E-3</v>
      </c>
      <c r="AF65" s="66">
        <f t="shared" si="116"/>
        <v>2.2037995994542365E-3</v>
      </c>
      <c r="AG65" s="66">
        <f t="shared" si="116"/>
        <v>2.3206120693557881E-3</v>
      </c>
      <c r="AH65" s="66">
        <f t="shared" si="116"/>
        <v>2.471153846153846E-3</v>
      </c>
      <c r="AI65" s="66">
        <f t="shared" si="116"/>
        <v>2.4053125019782612E-3</v>
      </c>
      <c r="AJ65" s="66">
        <f t="shared" ref="AJ65:BO65" si="117">AJ13/(AJ$27*1000)</f>
        <v>2.5626447056065179E-3</v>
      </c>
      <c r="AK65" s="66">
        <f t="shared" si="117"/>
        <v>2.2996962165147748E-3</v>
      </c>
      <c r="AL65" s="66">
        <f t="shared" si="117"/>
        <v>2.2713496166874665E-3</v>
      </c>
      <c r="AM65" s="66">
        <f t="shared" si="117"/>
        <v>2.091835245351315E-3</v>
      </c>
      <c r="AN65" s="66">
        <f t="shared" si="117"/>
        <v>2.1158753662455501E-3</v>
      </c>
      <c r="AO65" s="66">
        <f t="shared" si="117"/>
        <v>2.3216783216783218E-3</v>
      </c>
      <c r="AP65" s="66">
        <f t="shared" si="117"/>
        <v>2.3436057556200174E-3</v>
      </c>
      <c r="AQ65" s="66">
        <f t="shared" si="117"/>
        <v>2.1336450418858368E-3</v>
      </c>
      <c r="AR65" s="66">
        <f t="shared" si="117"/>
        <v>2.077391121459118E-3</v>
      </c>
      <c r="AS65" s="66">
        <f t="shared" si="117"/>
        <v>1.9228491608435456E-3</v>
      </c>
      <c r="AT65" s="66">
        <f t="shared" si="117"/>
        <v>1.7913014149336843E-3</v>
      </c>
      <c r="AU65" s="66">
        <f t="shared" si="117"/>
        <v>1.755430698657142E-3</v>
      </c>
      <c r="AV65" s="66">
        <f t="shared" si="117"/>
        <v>1.5207622743986676E-3</v>
      </c>
      <c r="AW65" s="66">
        <f t="shared" si="117"/>
        <v>1.4277556321942043E-3</v>
      </c>
      <c r="AX65" s="66">
        <f t="shared" si="117"/>
        <v>1.4630325566675898E-3</v>
      </c>
      <c r="AY65" s="66">
        <f t="shared" si="117"/>
        <v>1.5271212282206073E-3</v>
      </c>
      <c r="AZ65" s="66">
        <f t="shared" si="117"/>
        <v>1.7666241517805188E-3</v>
      </c>
      <c r="BA65" s="66">
        <f t="shared" si="117"/>
        <v>1.7533677321051357E-3</v>
      </c>
      <c r="BB65" s="66">
        <f t="shared" si="117"/>
        <v>1.9713177435442758E-3</v>
      </c>
      <c r="BC65" s="66">
        <f t="shared" si="117"/>
        <v>1.8636687679392772E-3</v>
      </c>
      <c r="BD65" s="66">
        <f t="shared" si="117"/>
        <v>1.8169073867110074E-3</v>
      </c>
      <c r="BE65" s="66">
        <f t="shared" si="117"/>
        <v>1.8233816708526592E-3</v>
      </c>
      <c r="BF65" s="66">
        <f t="shared" si="117"/>
        <v>2.0578978181278016E-3</v>
      </c>
      <c r="BG65" s="66">
        <f t="shared" si="117"/>
        <v>1.8344110038978614E-3</v>
      </c>
      <c r="BH65" s="66">
        <f t="shared" si="117"/>
        <v>2.2221838214456051E-3</v>
      </c>
      <c r="BI65" s="66">
        <f t="shared" si="117"/>
        <v>2.0000134368869421E-3</v>
      </c>
      <c r="BJ65" s="66">
        <f t="shared" si="117"/>
        <v>1.9200175863679787E-3</v>
      </c>
      <c r="BK65" s="66">
        <f t="shared" si="117"/>
        <v>1.8815072542936822E-3</v>
      </c>
      <c r="BL65" s="66">
        <f t="shared" si="117"/>
        <v>1.949391096176692E-3</v>
      </c>
      <c r="BM65" s="66">
        <f t="shared" si="117"/>
        <v>1.9203470257802054E-3</v>
      </c>
      <c r="BN65" s="66">
        <f t="shared" si="117"/>
        <v>1.8861224658326108E-3</v>
      </c>
      <c r="BO65" s="66">
        <f t="shared" si="117"/>
        <v>1.9242194425557195E-3</v>
      </c>
      <c r="BP65" s="66">
        <f t="shared" ref="BP65:BV65" si="118">BP13/(BP$27*1000)</f>
        <v>1.9633887177793233E-3</v>
      </c>
      <c r="BQ65" s="66">
        <f t="shared" si="118"/>
        <v>1.954314192987242E-3</v>
      </c>
      <c r="BR65" s="66">
        <f t="shared" si="118"/>
        <v>1.9668188000178518E-3</v>
      </c>
      <c r="BS65" s="66">
        <f t="shared" si="118"/>
        <v>2.0250255332671207E-3</v>
      </c>
      <c r="BT65" s="66">
        <f t="shared" si="118"/>
        <v>1.8150223057821152E-3</v>
      </c>
      <c r="BU65" s="66">
        <f t="shared" si="118"/>
        <v>1.8442583200010188E-3</v>
      </c>
      <c r="BV65" s="66">
        <f t="shared" si="118"/>
        <v>1.8085221212548093E-3</v>
      </c>
    </row>
    <row r="66" spans="1:74" s="63" customFormat="1" x14ac:dyDescent="0.25">
      <c r="A66" s="63" t="s">
        <v>250</v>
      </c>
      <c r="B66" s="63" t="s">
        <v>244</v>
      </c>
      <c r="C66" s="64" t="s">
        <v>317</v>
      </c>
      <c r="D66" s="66">
        <f t="shared" ref="D66:AI66" si="119">D14/(D$27*1000)</f>
        <v>1.193561052218296E-3</v>
      </c>
      <c r="E66" s="66">
        <f t="shared" si="119"/>
        <v>1.3250678031770631E-3</v>
      </c>
      <c r="F66" s="66">
        <f t="shared" si="119"/>
        <v>1.4348120347012858E-3</v>
      </c>
      <c r="G66" s="66">
        <f t="shared" si="119"/>
        <v>1.8665145464917285E-3</v>
      </c>
      <c r="H66" s="66">
        <f t="shared" si="119"/>
        <v>2.1969247369840843E-3</v>
      </c>
      <c r="I66" s="66">
        <f t="shared" si="119"/>
        <v>2.4563070911874968E-3</v>
      </c>
      <c r="J66" s="66">
        <f t="shared" si="119"/>
        <v>2.3900118906064211E-3</v>
      </c>
      <c r="K66" s="66">
        <f t="shared" si="119"/>
        <v>2.2944836943807607E-3</v>
      </c>
      <c r="L66" s="66">
        <f t="shared" si="119"/>
        <v>2.1863422220189362E-3</v>
      </c>
      <c r="M66" s="66">
        <f t="shared" si="119"/>
        <v>2.5116318777478976E-3</v>
      </c>
      <c r="N66" s="66">
        <f t="shared" si="119"/>
        <v>2.3989000323519898E-3</v>
      </c>
      <c r="O66" s="66">
        <f t="shared" si="119"/>
        <v>2.4074353936829377E-3</v>
      </c>
      <c r="P66" s="66">
        <f t="shared" si="119"/>
        <v>2.331794311493321E-3</v>
      </c>
      <c r="Q66" s="66">
        <f t="shared" si="119"/>
        <v>2.3601012204106475E-3</v>
      </c>
      <c r="R66" s="66">
        <f t="shared" si="119"/>
        <v>2.2593467021308389E-3</v>
      </c>
      <c r="S66" s="66">
        <f t="shared" si="119"/>
        <v>2.3674901818789514E-3</v>
      </c>
      <c r="T66" s="66">
        <f t="shared" si="119"/>
        <v>2.3666828185968224E-3</v>
      </c>
      <c r="U66" s="66">
        <f t="shared" si="119"/>
        <v>2.3206821601738838E-3</v>
      </c>
      <c r="V66" s="66">
        <f t="shared" si="119"/>
        <v>2.2336662039317539E-3</v>
      </c>
      <c r="W66" s="66">
        <f t="shared" si="119"/>
        <v>2.1525179856115109E-3</v>
      </c>
      <c r="X66" s="66">
        <f t="shared" si="119"/>
        <v>2.139385314827478E-3</v>
      </c>
      <c r="Y66" s="66">
        <f t="shared" si="119"/>
        <v>2.2476986883366492E-3</v>
      </c>
      <c r="Z66" s="66">
        <f t="shared" si="119"/>
        <v>2.1905191592638115E-3</v>
      </c>
      <c r="AA66" s="66">
        <f t="shared" si="119"/>
        <v>2.2400761435529925E-3</v>
      </c>
      <c r="AB66" s="66">
        <f t="shared" si="119"/>
        <v>2.1785039457596976E-3</v>
      </c>
      <c r="AC66" s="66">
        <f t="shared" si="119"/>
        <v>2.1913831401614288E-3</v>
      </c>
      <c r="AD66" s="66">
        <f t="shared" si="119"/>
        <v>2.2595324634828448E-3</v>
      </c>
      <c r="AE66" s="66">
        <f t="shared" si="119"/>
        <v>2.3990830617142446E-3</v>
      </c>
      <c r="AF66" s="66">
        <f t="shared" si="119"/>
        <v>2.7227537122294122E-3</v>
      </c>
      <c r="AG66" s="66">
        <f t="shared" si="119"/>
        <v>2.8831846922299184E-3</v>
      </c>
      <c r="AH66" s="66">
        <f t="shared" si="119"/>
        <v>2.9697398190045247E-3</v>
      </c>
      <c r="AI66" s="66">
        <f t="shared" si="119"/>
        <v>2.9849272316369874E-3</v>
      </c>
      <c r="AJ66" s="66">
        <f t="shared" ref="AJ66:BO66" si="120">AJ14/(AJ$27*1000)</f>
        <v>3.0927581254945637E-3</v>
      </c>
      <c r="AK66" s="66">
        <f t="shared" si="120"/>
        <v>3.4028169014084508E-3</v>
      </c>
      <c r="AL66" s="66">
        <f t="shared" si="120"/>
        <v>3.2533847912493575E-3</v>
      </c>
      <c r="AM66" s="66">
        <f t="shared" si="120"/>
        <v>3.2962606182677994E-3</v>
      </c>
      <c r="AN66" s="66">
        <f t="shared" si="120"/>
        <v>3.3218865190132638E-3</v>
      </c>
      <c r="AO66" s="66">
        <f t="shared" si="120"/>
        <v>3.2091544818817546E-3</v>
      </c>
      <c r="AP66" s="66">
        <f t="shared" si="120"/>
        <v>3.6017347277896993E-3</v>
      </c>
      <c r="AQ66" s="66">
        <f t="shared" si="120"/>
        <v>3.3876485486070522E-3</v>
      </c>
      <c r="AR66" s="66">
        <f t="shared" si="120"/>
        <v>3.0326220513407108E-3</v>
      </c>
      <c r="AS66" s="66">
        <f t="shared" si="120"/>
        <v>2.7860412297874416E-3</v>
      </c>
      <c r="AT66" s="66">
        <f t="shared" si="120"/>
        <v>3.2297126153622317E-3</v>
      </c>
      <c r="AU66" s="66">
        <f t="shared" si="120"/>
        <v>3.2794534244292616E-3</v>
      </c>
      <c r="AV66" s="66">
        <f t="shared" si="120"/>
        <v>3.6092663315988299E-3</v>
      </c>
      <c r="AW66" s="66">
        <f t="shared" si="120"/>
        <v>3.3930890849643929E-3</v>
      </c>
      <c r="AX66" s="66">
        <f t="shared" si="120"/>
        <v>3.6484565581444413E-3</v>
      </c>
      <c r="AY66" s="66">
        <f t="shared" si="120"/>
        <v>3.6861444636913337E-3</v>
      </c>
      <c r="AZ66" s="66">
        <f t="shared" si="120"/>
        <v>3.9178298882024754E-3</v>
      </c>
      <c r="BA66" s="66">
        <f t="shared" si="120"/>
        <v>2.4840068797543605E-3</v>
      </c>
      <c r="BB66" s="66">
        <f t="shared" si="120"/>
        <v>2.9872104621522775E-3</v>
      </c>
      <c r="BC66" s="66">
        <f t="shared" si="120"/>
        <v>3.4497450830013074E-3</v>
      </c>
      <c r="BD66" s="66">
        <f t="shared" si="120"/>
        <v>3.1828005560769318E-3</v>
      </c>
      <c r="BE66" s="66">
        <f t="shared" si="120"/>
        <v>3.3697178579940234E-3</v>
      </c>
      <c r="BF66" s="66">
        <f t="shared" si="120"/>
        <v>3.4691156296147428E-3</v>
      </c>
      <c r="BG66" s="66">
        <f t="shared" si="120"/>
        <v>2.8645142541432731E-3</v>
      </c>
      <c r="BH66" s="66">
        <f t="shared" si="120"/>
        <v>2.3705183413629356E-3</v>
      </c>
      <c r="BI66" s="66">
        <f t="shared" si="120"/>
        <v>2.7648410416274759E-3</v>
      </c>
      <c r="BJ66" s="66">
        <f t="shared" si="120"/>
        <v>2.8322457694925007E-3</v>
      </c>
      <c r="BK66" s="66">
        <f t="shared" si="120"/>
        <v>2.9635446330331465E-3</v>
      </c>
      <c r="BL66" s="66">
        <f t="shared" si="120"/>
        <v>2.7644787876154849E-3</v>
      </c>
      <c r="BM66" s="66">
        <f t="shared" si="120"/>
        <v>2.7641567353871048E-3</v>
      </c>
      <c r="BN66" s="66">
        <f t="shared" si="120"/>
        <v>2.8420110932188226E-3</v>
      </c>
      <c r="BO66" s="66">
        <f t="shared" si="120"/>
        <v>3.1830355406603341E-3</v>
      </c>
      <c r="BP66" s="66">
        <f t="shared" ref="BP66:BV66" si="121">BP14/(BP$27*1000)</f>
        <v>3.1310168811378479E-3</v>
      </c>
      <c r="BQ66" s="66">
        <f t="shared" si="121"/>
        <v>3.1039338041453147E-3</v>
      </c>
      <c r="BR66" s="66">
        <f t="shared" si="121"/>
        <v>3.4409698324967173E-3</v>
      </c>
      <c r="BS66" s="66">
        <f t="shared" si="121"/>
        <v>3.5005728129041788E-3</v>
      </c>
      <c r="BT66" s="66">
        <f t="shared" si="121"/>
        <v>3.7903202143093903E-3</v>
      </c>
      <c r="BU66" s="66">
        <f t="shared" si="121"/>
        <v>3.8936693631742045E-3</v>
      </c>
      <c r="BV66" s="66">
        <f t="shared" si="121"/>
        <v>3.833875166712099E-3</v>
      </c>
    </row>
    <row r="67" spans="1:74" s="63" customFormat="1" x14ac:dyDescent="0.25">
      <c r="A67" s="63" t="s">
        <v>250</v>
      </c>
      <c r="B67" s="63" t="s">
        <v>244</v>
      </c>
      <c r="C67" s="64" t="s">
        <v>318</v>
      </c>
      <c r="D67" s="66">
        <f t="shared" ref="D67:AI67" si="122">D15/(D$27*1000)</f>
        <v>7.3288836539719935E-5</v>
      </c>
      <c r="E67" s="66">
        <f t="shared" si="122"/>
        <v>7.2323388867364069E-5</v>
      </c>
      <c r="F67" s="66">
        <f t="shared" si="122"/>
        <v>6.6449270903833139E-5</v>
      </c>
      <c r="G67" s="66">
        <f t="shared" si="122"/>
        <v>6.1608670849971477E-5</v>
      </c>
      <c r="H67" s="66">
        <f t="shared" si="122"/>
        <v>5.8268141354194766E-5</v>
      </c>
      <c r="I67" s="66">
        <f t="shared" si="122"/>
        <v>5.7025186123871378E-5</v>
      </c>
      <c r="J67" s="66">
        <f t="shared" si="122"/>
        <v>5.548949663099485E-5</v>
      </c>
      <c r="K67" s="66">
        <f t="shared" si="122"/>
        <v>5.4274084124830395E-5</v>
      </c>
      <c r="L67" s="66">
        <f t="shared" si="122"/>
        <v>5.4887252435621829E-5</v>
      </c>
      <c r="M67" s="66">
        <f t="shared" si="122"/>
        <v>5.1222947880650529E-5</v>
      </c>
      <c r="N67" s="66">
        <f t="shared" si="122"/>
        <v>5.17631834357813E-5</v>
      </c>
      <c r="O67" s="66">
        <f t="shared" si="122"/>
        <v>5.5916578509898743E-5</v>
      </c>
      <c r="P67" s="66">
        <f t="shared" si="122"/>
        <v>5.9211221936347934E-5</v>
      </c>
      <c r="Q67" s="66">
        <f t="shared" si="122"/>
        <v>6.1501009000928915E-5</v>
      </c>
      <c r="R67" s="66">
        <f t="shared" si="122"/>
        <v>6.4552762918023963E-5</v>
      </c>
      <c r="S67" s="66">
        <f t="shared" si="122"/>
        <v>6.1276216472161107E-5</v>
      </c>
      <c r="T67" s="66">
        <f t="shared" si="122"/>
        <v>5.5086582846650176E-5</v>
      </c>
      <c r="U67" s="66">
        <f t="shared" si="122"/>
        <v>5.3502758735997327E-5</v>
      </c>
      <c r="V67" s="66">
        <f t="shared" si="122"/>
        <v>6.0006269311719133E-5</v>
      </c>
      <c r="W67" s="66">
        <f t="shared" si="122"/>
        <v>6.7420349434737928E-5</v>
      </c>
      <c r="X67" s="66">
        <f t="shared" si="122"/>
        <v>7.3924855384501653E-5</v>
      </c>
      <c r="Y67" s="66">
        <f t="shared" si="122"/>
        <v>7.9576491216239002E-5</v>
      </c>
      <c r="Z67" s="66">
        <f t="shared" si="122"/>
        <v>8.7745227686419721E-5</v>
      </c>
      <c r="AA67" s="66">
        <f t="shared" si="122"/>
        <v>9.293992497620514E-5</v>
      </c>
      <c r="AB67" s="66">
        <f t="shared" si="122"/>
        <v>9.5834413940449291E-5</v>
      </c>
      <c r="AC67" s="66">
        <f t="shared" si="122"/>
        <v>1.0204754887945634E-4</v>
      </c>
      <c r="AD67" s="66">
        <f t="shared" si="122"/>
        <v>1.0251113298188516E-4</v>
      </c>
      <c r="AE67" s="66">
        <f t="shared" si="122"/>
        <v>1.1031913750492497E-4</v>
      </c>
      <c r="AF67" s="66">
        <f t="shared" si="122"/>
        <v>1.1585506945718868E-4</v>
      </c>
      <c r="AG67" s="66">
        <f t="shared" si="122"/>
        <v>1.2132735750826203E-4</v>
      </c>
      <c r="AH67" s="66">
        <f t="shared" si="122"/>
        <v>1.2528280542986427E-4</v>
      </c>
      <c r="AI67" s="66">
        <f t="shared" si="122"/>
        <v>1.2432976507751619E-4</v>
      </c>
      <c r="AJ67" s="66">
        <f t="shared" ref="AJ67:BO67" si="123">AJ15/(AJ$27*1000)</f>
        <v>1.2824946513877085E-4</v>
      </c>
      <c r="AK67" s="66">
        <f t="shared" si="123"/>
        <v>1.3697873515603425E-4</v>
      </c>
      <c r="AL67" s="66">
        <f t="shared" si="123"/>
        <v>1.4829108680377125E-4</v>
      </c>
      <c r="AM67" s="66">
        <f t="shared" si="123"/>
        <v>1.5918887623940606E-4</v>
      </c>
      <c r="AN67" s="66">
        <f t="shared" si="123"/>
        <v>1.6796662270969948E-4</v>
      </c>
      <c r="AO67" s="66">
        <f t="shared" si="123"/>
        <v>1.7478279296461114E-4</v>
      </c>
      <c r="AP67" s="66">
        <f t="shared" si="123"/>
        <v>1.7905279267377023E-4</v>
      </c>
      <c r="AQ67" s="66">
        <f t="shared" si="123"/>
        <v>1.7455678940190921E-4</v>
      </c>
      <c r="AR67" s="66">
        <f t="shared" si="123"/>
        <v>1.743089814879729E-4</v>
      </c>
      <c r="AS67" s="66">
        <f t="shared" si="123"/>
        <v>1.7500714101590531E-4</v>
      </c>
      <c r="AT67" s="66">
        <f t="shared" si="123"/>
        <v>1.7340295023097246E-4</v>
      </c>
      <c r="AU67" s="66">
        <f t="shared" si="123"/>
        <v>1.7481363169031576E-4</v>
      </c>
      <c r="AV67" s="66">
        <f t="shared" si="123"/>
        <v>1.6518706310772953E-4</v>
      </c>
      <c r="AW67" s="66">
        <f t="shared" si="123"/>
        <v>1.559770681237963E-4</v>
      </c>
      <c r="AX67" s="66">
        <f t="shared" si="123"/>
        <v>1.5612431926368396E-4</v>
      </c>
      <c r="AY67" s="66">
        <f t="shared" si="123"/>
        <v>1.5854384790070253E-4</v>
      </c>
      <c r="AZ67" s="66">
        <f t="shared" si="123"/>
        <v>1.647392459901812E-4</v>
      </c>
      <c r="BA67" s="66">
        <f t="shared" si="123"/>
        <v>1.7887361337165679E-4</v>
      </c>
      <c r="BB67" s="66">
        <f t="shared" si="123"/>
        <v>1.8858472791754405E-4</v>
      </c>
      <c r="BC67" s="66">
        <f t="shared" si="123"/>
        <v>1.8206872470834709E-4</v>
      </c>
      <c r="BD67" s="66">
        <f t="shared" si="123"/>
        <v>1.7780443070261178E-4</v>
      </c>
      <c r="BE67" s="66">
        <f t="shared" si="123"/>
        <v>1.7364841329495665E-4</v>
      </c>
      <c r="BF67" s="66">
        <f t="shared" si="123"/>
        <v>1.7203323925447602E-4</v>
      </c>
      <c r="BG67" s="66">
        <f t="shared" si="123"/>
        <v>1.8125816278429299E-4</v>
      </c>
      <c r="BH67" s="66">
        <f t="shared" si="123"/>
        <v>2.0335515265460728E-4</v>
      </c>
      <c r="BI67" s="66">
        <f t="shared" si="123"/>
        <v>2.1102630942463249E-4</v>
      </c>
      <c r="BJ67" s="66">
        <f t="shared" si="123"/>
        <v>2.2086409196635961E-4</v>
      </c>
      <c r="BK67" s="66">
        <f t="shared" si="123"/>
        <v>2.2924468129681847E-4</v>
      </c>
      <c r="BL67" s="66">
        <f t="shared" si="123"/>
        <v>2.362807504295809E-4</v>
      </c>
      <c r="BM67" s="66">
        <f t="shared" si="123"/>
        <v>2.4179342555987171E-4</v>
      </c>
      <c r="BN67" s="66">
        <f t="shared" si="123"/>
        <v>2.4361038853792477E-4</v>
      </c>
      <c r="BO67" s="66">
        <f t="shared" si="123"/>
        <v>2.5942361929744801E-4</v>
      </c>
      <c r="BP67" s="66">
        <f t="shared" ref="BP67:BV67" si="124">BP15/(BP$27*1000)</f>
        <v>2.675588736617863E-4</v>
      </c>
      <c r="BQ67" s="66">
        <f t="shared" si="124"/>
        <v>2.6790531076404392E-4</v>
      </c>
      <c r="BR67" s="66">
        <f t="shared" si="124"/>
        <v>2.6928307843362937E-4</v>
      </c>
      <c r="BS67" s="66">
        <f t="shared" si="124"/>
        <v>2.779051346784567E-4</v>
      </c>
      <c r="BT67" s="66">
        <f t="shared" si="124"/>
        <v>2.706471122027028E-4</v>
      </c>
      <c r="BU67" s="66">
        <f t="shared" si="124"/>
        <v>2.6773704005964515E-4</v>
      </c>
      <c r="BV67" s="66">
        <f t="shared" si="124"/>
        <v>2.722644122495202E-4</v>
      </c>
    </row>
    <row r="68" spans="1:74" s="63" customFormat="1" x14ac:dyDescent="0.25">
      <c r="A68" s="63" t="s">
        <v>250</v>
      </c>
      <c r="B68" s="63" t="s">
        <v>244</v>
      </c>
      <c r="C68" s="64" t="s">
        <v>237</v>
      </c>
      <c r="D68" s="66">
        <f t="shared" ref="D68:AI68" si="125">D16/(D$27*1000)</f>
        <v>1.3087292239235702E-4</v>
      </c>
      <c r="E68" s="66">
        <f t="shared" si="125"/>
        <v>1.3689784321322486E-4</v>
      </c>
      <c r="F68" s="66">
        <f t="shared" si="125"/>
        <v>1.3289854180766628E-4</v>
      </c>
      <c r="G68" s="66">
        <f t="shared" si="125"/>
        <v>1.3234455219623503E-4</v>
      </c>
      <c r="H68" s="66">
        <f t="shared" si="125"/>
        <v>1.4027515511195036E-4</v>
      </c>
      <c r="I68" s="66">
        <f t="shared" si="125"/>
        <v>1.5206716299699034E-4</v>
      </c>
      <c r="J68" s="66">
        <f t="shared" si="125"/>
        <v>1.506143479984146E-4</v>
      </c>
      <c r="K68" s="66">
        <f t="shared" si="125"/>
        <v>1.4785009123660694E-4</v>
      </c>
      <c r="L68" s="66">
        <f t="shared" si="125"/>
        <v>1.610026071444907E-4</v>
      </c>
      <c r="M68" s="66">
        <f t="shared" si="125"/>
        <v>1.6903572800614676E-4</v>
      </c>
      <c r="N68" s="66">
        <f t="shared" si="125"/>
        <v>1.698479456486574E-4</v>
      </c>
      <c r="O68" s="66">
        <f t="shared" si="125"/>
        <v>1.6623847665105034E-4</v>
      </c>
      <c r="P68" s="66">
        <f t="shared" si="125"/>
        <v>1.7622387481055934E-4</v>
      </c>
      <c r="Q68" s="66">
        <f t="shared" si="125"/>
        <v>1.7681540087767064E-4</v>
      </c>
      <c r="R68" s="66">
        <f t="shared" si="125"/>
        <v>1.6974985804369265E-4</v>
      </c>
      <c r="S68" s="66">
        <f t="shared" si="125"/>
        <v>1.6377461493468512E-4</v>
      </c>
      <c r="T68" s="66">
        <f t="shared" si="125"/>
        <v>1.6015913901711254E-4</v>
      </c>
      <c r="U68" s="66">
        <f t="shared" si="125"/>
        <v>1.6050827620799199E-4</v>
      </c>
      <c r="V68" s="66">
        <f t="shared" si="125"/>
        <v>1.6300210469750572E-4</v>
      </c>
      <c r="W68" s="66">
        <f t="shared" si="125"/>
        <v>1.6855087358684482E-4</v>
      </c>
      <c r="X68" s="66">
        <f t="shared" si="125"/>
        <v>1.7224491304588887E-4</v>
      </c>
      <c r="Y68" s="66">
        <f t="shared" si="125"/>
        <v>1.7466365444920254E-4</v>
      </c>
      <c r="Z68" s="66">
        <f t="shared" si="125"/>
        <v>1.8980350669757455E-4</v>
      </c>
      <c r="AA68" s="66">
        <f t="shared" si="125"/>
        <v>1.9315827781199262E-4</v>
      </c>
      <c r="AB68" s="66">
        <f t="shared" si="125"/>
        <v>1.852469341632396E-4</v>
      </c>
      <c r="AC68" s="66">
        <f t="shared" si="125"/>
        <v>1.8034265103697024E-4</v>
      </c>
      <c r="AD68" s="66">
        <f t="shared" si="125"/>
        <v>1.691628582286622E-4</v>
      </c>
      <c r="AE68" s="66">
        <f t="shared" si="125"/>
        <v>1.6906049643611876E-4</v>
      </c>
      <c r="AF68" s="66">
        <f t="shared" si="125"/>
        <v>1.6947394457787103E-4</v>
      </c>
      <c r="AG68" s="66">
        <f t="shared" si="125"/>
        <v>1.732385651983642E-4</v>
      </c>
      <c r="AH68" s="66">
        <f t="shared" si="125"/>
        <v>1.742081447963801E-4</v>
      </c>
      <c r="AI68" s="66">
        <f t="shared" si="125"/>
        <v>1.7016212246861686E-4</v>
      </c>
      <c r="AJ68" s="66">
        <f t="shared" ref="AJ68:BO68" si="126">AJ16/(AJ$27*1000)</f>
        <v>1.7185897248029073E-4</v>
      </c>
      <c r="AK68" s="66">
        <f t="shared" si="126"/>
        <v>1.7851422259044462E-4</v>
      </c>
      <c r="AL68" s="66">
        <f t="shared" si="126"/>
        <v>1.8961123404612334E-4</v>
      </c>
      <c r="AM68" s="66">
        <f t="shared" si="126"/>
        <v>1.9927800644150588E-4</v>
      </c>
      <c r="AN68" s="66">
        <f t="shared" si="126"/>
        <v>2.0505250082138019E-4</v>
      </c>
      <c r="AO68" s="66">
        <f t="shared" si="126"/>
        <v>2.1038355583810129E-4</v>
      </c>
      <c r="AP68" s="66">
        <f t="shared" si="126"/>
        <v>2.1581523589918227E-4</v>
      </c>
      <c r="AQ68" s="66">
        <f t="shared" si="126"/>
        <v>2.1663744398986947E-4</v>
      </c>
      <c r="AR68" s="66">
        <f t="shared" si="126"/>
        <v>2.1843970584436908E-4</v>
      </c>
      <c r="AS68" s="66">
        <f t="shared" si="126"/>
        <v>2.1820157868702842E-4</v>
      </c>
      <c r="AT68" s="66">
        <f t="shared" si="126"/>
        <v>2.1996117943105049E-4</v>
      </c>
      <c r="AU68" s="66">
        <f t="shared" si="126"/>
        <v>2.1958604383546138E-4</v>
      </c>
      <c r="AV68" s="66">
        <f t="shared" si="126"/>
        <v>2.0908706340355164E-4</v>
      </c>
      <c r="AW68" s="66">
        <f t="shared" si="126"/>
        <v>2.0154969319657813E-4</v>
      </c>
      <c r="AX68" s="66">
        <f t="shared" si="126"/>
        <v>2.0232867861334178E-4</v>
      </c>
      <c r="AY68" s="66">
        <f t="shared" si="126"/>
        <v>2.1310507236528344E-4</v>
      </c>
      <c r="AZ68" s="66">
        <f t="shared" si="126"/>
        <v>2.2687273323215265E-4</v>
      </c>
      <c r="BA68" s="66">
        <f t="shared" si="126"/>
        <v>2.490563424178412E-4</v>
      </c>
      <c r="BB68" s="66">
        <f t="shared" si="126"/>
        <v>2.6651889615427241E-4</v>
      </c>
      <c r="BC68" s="66">
        <f t="shared" si="126"/>
        <v>2.5182016764455859E-4</v>
      </c>
      <c r="BD68" s="66">
        <f t="shared" si="126"/>
        <v>2.4719722428825659E-4</v>
      </c>
      <c r="BE68" s="66">
        <f t="shared" si="126"/>
        <v>2.5218618805800504E-4</v>
      </c>
      <c r="BF68" s="66">
        <f t="shared" si="126"/>
        <v>2.6521499785919626E-4</v>
      </c>
      <c r="BG68" s="66">
        <f t="shared" si="126"/>
        <v>2.9952877608500618E-4</v>
      </c>
      <c r="BH68" s="66">
        <f t="shared" si="126"/>
        <v>3.352387798690841E-4</v>
      </c>
      <c r="BI68" s="66">
        <f t="shared" si="126"/>
        <v>3.4902313831931418E-4</v>
      </c>
      <c r="BJ68" s="66">
        <f t="shared" si="126"/>
        <v>3.3808499323539063E-4</v>
      </c>
      <c r="BK68" s="66">
        <f t="shared" si="126"/>
        <v>3.3061391080066482E-4</v>
      </c>
      <c r="BL68" s="66">
        <f t="shared" si="126"/>
        <v>3.4324527985306607E-4</v>
      </c>
      <c r="BM68" s="66">
        <f t="shared" si="126"/>
        <v>3.4622247978838771E-4</v>
      </c>
      <c r="BN68" s="66">
        <f t="shared" si="126"/>
        <v>3.7166412045639097E-4</v>
      </c>
      <c r="BO68" s="66">
        <f t="shared" si="126"/>
        <v>5.053825304799954E-4</v>
      </c>
      <c r="BP68" s="66">
        <f t="shared" ref="BP68:BV68" si="127">BP16/(BP$27*1000)</f>
        <v>4.8551819531952612E-4</v>
      </c>
      <c r="BQ68" s="66">
        <f t="shared" si="127"/>
        <v>4.594270251623029E-4</v>
      </c>
      <c r="BR68" s="66">
        <f t="shared" si="127"/>
        <v>4.3478975765932307E-4</v>
      </c>
      <c r="BS68" s="66">
        <f t="shared" si="127"/>
        <v>4.0426402629428163E-4</v>
      </c>
      <c r="BT68" s="66">
        <f t="shared" si="127"/>
        <v>3.7119429667505283E-4</v>
      </c>
      <c r="BU68" s="66">
        <f t="shared" si="127"/>
        <v>3.2832273442911407E-4</v>
      </c>
      <c r="BV68" s="66">
        <f t="shared" si="127"/>
        <v>3.2092879449543635E-4</v>
      </c>
    </row>
    <row r="69" spans="1:74" s="63" customFormat="1" x14ac:dyDescent="0.25">
      <c r="A69" s="63" t="s">
        <v>251</v>
      </c>
      <c r="B69" s="63" t="s">
        <v>244</v>
      </c>
      <c r="C69" s="64" t="s">
        <v>75</v>
      </c>
      <c r="D69" s="66">
        <f t="shared" ref="D69:AI69" si="128">D17/(D$27*1000)</f>
        <v>8.9307682240544438E-3</v>
      </c>
      <c r="E69" s="66">
        <f t="shared" si="128"/>
        <v>9.6448405010977657E-3</v>
      </c>
      <c r="F69" s="66">
        <f t="shared" si="128"/>
        <v>1.0122438934350582E-2</v>
      </c>
      <c r="G69" s="66">
        <f t="shared" si="128"/>
        <v>1.3357672561323445E-2</v>
      </c>
      <c r="H69" s="66">
        <f t="shared" si="128"/>
        <v>1.4418127866199082E-2</v>
      </c>
      <c r="I69" s="66">
        <f t="shared" si="128"/>
        <v>1.5234172870795712E-2</v>
      </c>
      <c r="J69" s="66">
        <f t="shared" si="128"/>
        <v>1.6771700356718194E-2</v>
      </c>
      <c r="K69" s="66">
        <f t="shared" si="128"/>
        <v>1.7517428531324569E-2</v>
      </c>
      <c r="L69" s="66">
        <f t="shared" si="128"/>
        <v>1.8167680556190825E-2</v>
      </c>
      <c r="M69" s="66">
        <f t="shared" si="128"/>
        <v>1.7268963162163316E-2</v>
      </c>
      <c r="N69" s="66">
        <f t="shared" si="128"/>
        <v>1.8665480427046265E-2</v>
      </c>
      <c r="O69" s="66">
        <f t="shared" si="128"/>
        <v>1.8899803536345777E-2</v>
      </c>
      <c r="P69" s="66">
        <f t="shared" si="128"/>
        <v>1.8630388044972333E-2</v>
      </c>
      <c r="Q69" s="66">
        <f t="shared" si="128"/>
        <v>1.8565617092155418E-2</v>
      </c>
      <c r="R69" s="66">
        <f t="shared" si="128"/>
        <v>1.832820298257673E-2</v>
      </c>
      <c r="S69" s="66">
        <f t="shared" si="128"/>
        <v>1.7997381834387097E-2</v>
      </c>
      <c r="T69" s="66">
        <f t="shared" si="128"/>
        <v>1.7394098594782078E-2</v>
      </c>
      <c r="U69" s="66">
        <f t="shared" si="128"/>
        <v>1.617025342154919E-2</v>
      </c>
      <c r="V69" s="66">
        <f t="shared" si="128"/>
        <v>1.5582822085889571E-2</v>
      </c>
      <c r="W69" s="66">
        <f t="shared" si="128"/>
        <v>1.5410483042137718E-2</v>
      </c>
      <c r="X69" s="66">
        <f t="shared" si="128"/>
        <v>1.4930603042007799E-2</v>
      </c>
      <c r="Y69" s="66">
        <f t="shared" si="128"/>
        <v>1.4501803958593249E-2</v>
      </c>
      <c r="Z69" s="66">
        <f t="shared" si="128"/>
        <v>1.4130093190410255E-2</v>
      </c>
      <c r="AA69" s="66">
        <f t="shared" si="128"/>
        <v>1.4044566373663289E-2</v>
      </c>
      <c r="AB69" s="66">
        <f t="shared" si="128"/>
        <v>1.36672718066516E-2</v>
      </c>
      <c r="AC69" s="66">
        <f t="shared" si="128"/>
        <v>1.3660296025863775E-2</v>
      </c>
      <c r="AD69" s="66">
        <f t="shared" si="128"/>
        <v>1.3815616382292468E-2</v>
      </c>
      <c r="AE69" s="66">
        <f t="shared" si="128"/>
        <v>1.4595078620294423E-2</v>
      </c>
      <c r="AF69" s="66">
        <f t="shared" si="128"/>
        <v>1.4778702455138076E-2</v>
      </c>
      <c r="AG69" s="66">
        <f t="shared" si="128"/>
        <v>1.5657567114853548E-2</v>
      </c>
      <c r="AH69" s="66">
        <f t="shared" si="128"/>
        <v>1.6337952488687784E-2</v>
      </c>
      <c r="AI69" s="66">
        <f t="shared" si="128"/>
        <v>1.6829084555635039E-2</v>
      </c>
      <c r="AJ69" s="66">
        <f t="shared" ref="AJ69:BO69" si="129">AJ17/(AJ$27*1000)</f>
        <v>1.7472407022068519E-2</v>
      </c>
      <c r="AK69" s="66">
        <f t="shared" si="129"/>
        <v>1.6758906379453188E-2</v>
      </c>
      <c r="AL69" s="66">
        <f t="shared" si="129"/>
        <v>1.6764863192558179E-2</v>
      </c>
      <c r="AM69" s="66">
        <f t="shared" si="129"/>
        <v>1.6457366377674636E-2</v>
      </c>
      <c r="AN69" s="66">
        <f t="shared" si="129"/>
        <v>1.5792643133936728E-2</v>
      </c>
      <c r="AO69" s="66">
        <f t="shared" si="129"/>
        <v>1.5946937910574274E-2</v>
      </c>
      <c r="AP69" s="66">
        <f t="shared" si="129"/>
        <v>1.5608447156039339E-2</v>
      </c>
      <c r="AQ69" s="66">
        <f t="shared" si="129"/>
        <v>1.5555971166958893E-2</v>
      </c>
      <c r="AR69" s="66">
        <f t="shared" si="129"/>
        <v>1.4715899237305959E-2</v>
      </c>
      <c r="AS69" s="66">
        <f t="shared" si="129"/>
        <v>1.4343061370935717E-2</v>
      </c>
      <c r="AT69" s="66">
        <f t="shared" si="129"/>
        <v>1.4956698862828478E-2</v>
      </c>
      <c r="AU69" s="66">
        <f t="shared" si="129"/>
        <v>1.5265003002644214E-2</v>
      </c>
      <c r="AV69" s="66">
        <f t="shared" si="129"/>
        <v>1.5224307110675924E-2</v>
      </c>
      <c r="AW69" s="66">
        <f t="shared" si="129"/>
        <v>1.6198884758364313E-2</v>
      </c>
      <c r="AX69" s="66">
        <f t="shared" si="129"/>
        <v>1.6278597518361748E-2</v>
      </c>
      <c r="AY69" s="66">
        <f t="shared" si="129"/>
        <v>1.6745353770729186E-2</v>
      </c>
      <c r="AZ69" s="66">
        <f t="shared" si="129"/>
        <v>1.593619441891176E-2</v>
      </c>
      <c r="BA69" s="66">
        <f t="shared" si="129"/>
        <v>1.6308342279322645E-2</v>
      </c>
      <c r="BB69" s="66">
        <f t="shared" si="129"/>
        <v>1.5558727695888286E-2</v>
      </c>
      <c r="BC69" s="66">
        <f t="shared" si="129"/>
        <v>1.4733433512700124E-2</v>
      </c>
      <c r="BD69" s="66">
        <f t="shared" si="129"/>
        <v>1.5243906713032371E-2</v>
      </c>
      <c r="BE69" s="66">
        <f t="shared" si="129"/>
        <v>1.5598951363044714E-2</v>
      </c>
      <c r="BF69" s="66">
        <f t="shared" si="129"/>
        <v>1.5935758412484818E-2</v>
      </c>
      <c r="BG69" s="66">
        <f t="shared" si="129"/>
        <v>1.7544262777027791E-2</v>
      </c>
      <c r="BH69" s="66">
        <f t="shared" si="129"/>
        <v>1.7697566235579547E-2</v>
      </c>
      <c r="BI69" s="66">
        <f t="shared" si="129"/>
        <v>1.6891174652656472E-2</v>
      </c>
      <c r="BJ69" s="66">
        <f t="shared" si="129"/>
        <v>1.7521388935135721E-2</v>
      </c>
      <c r="BK69" s="66">
        <f t="shared" si="129"/>
        <v>1.6962989057647929E-2</v>
      </c>
      <c r="BL69" s="66">
        <f t="shared" si="129"/>
        <v>1.7206847527606286E-2</v>
      </c>
      <c r="BM69" s="66">
        <f t="shared" si="129"/>
        <v>1.7298156425542659E-2</v>
      </c>
      <c r="BN69" s="66">
        <f t="shared" si="129"/>
        <v>1.7230714177574082E-2</v>
      </c>
      <c r="BO69" s="66">
        <f t="shared" si="129"/>
        <v>1.7419845424077957E-2</v>
      </c>
      <c r="BP69" s="66">
        <f t="shared" ref="BP69:BV69" si="130">BP17/(BP$27*1000)</f>
        <v>1.8070288397395121E-2</v>
      </c>
      <c r="BQ69" s="66">
        <f t="shared" si="130"/>
        <v>1.8976259185543388E-2</v>
      </c>
      <c r="BR69" s="66">
        <f t="shared" si="130"/>
        <v>2.0214599634034335E-2</v>
      </c>
      <c r="BS69" s="66">
        <f t="shared" si="130"/>
        <v>2.2161679813416602E-2</v>
      </c>
      <c r="BT69" s="66">
        <f t="shared" si="130"/>
        <v>2.2882070063521217E-2</v>
      </c>
      <c r="BU69" s="66">
        <f t="shared" si="130"/>
        <v>2.351159935848136E-2</v>
      </c>
      <c r="BV69" s="66">
        <f t="shared" si="130"/>
        <v>2.3087590399578486E-2</v>
      </c>
    </row>
    <row r="70" spans="1:74" s="63" customFormat="1" x14ac:dyDescent="0.25">
      <c r="A70" s="63" t="s">
        <v>251</v>
      </c>
      <c r="B70" s="63" t="s">
        <v>244</v>
      </c>
      <c r="C70" s="64" t="s">
        <v>316</v>
      </c>
      <c r="D70" s="66">
        <f t="shared" ref="D70:AI70" si="131">D18/(D$27*1000)</f>
        <v>4.6119617851066615E-3</v>
      </c>
      <c r="E70" s="66">
        <f t="shared" si="131"/>
        <v>5.2356967583623917E-3</v>
      </c>
      <c r="F70" s="66">
        <f t="shared" si="131"/>
        <v>5.7860087368485818E-3</v>
      </c>
      <c r="G70" s="66">
        <f t="shared" si="131"/>
        <v>8.1254991443240158E-3</v>
      </c>
      <c r="H70" s="66">
        <f t="shared" si="131"/>
        <v>9.6617210682492585E-3</v>
      </c>
      <c r="I70" s="66">
        <f t="shared" si="131"/>
        <v>1.0433497016737948E-2</v>
      </c>
      <c r="J70" s="66">
        <f t="shared" si="131"/>
        <v>1.1634958382877527E-2</v>
      </c>
      <c r="K70" s="66">
        <f t="shared" si="131"/>
        <v>1.1959013708885042E-2</v>
      </c>
      <c r="L70" s="66">
        <f t="shared" si="131"/>
        <v>1.2259982619036729E-2</v>
      </c>
      <c r="M70" s="66">
        <f t="shared" si="131"/>
        <v>1.1648098348059931E-2</v>
      </c>
      <c r="N70" s="66">
        <f t="shared" si="131"/>
        <v>1.2868003882238757E-2</v>
      </c>
      <c r="O70" s="66">
        <f t="shared" si="131"/>
        <v>1.3011938945141303E-2</v>
      </c>
      <c r="P70" s="66">
        <f t="shared" si="131"/>
        <v>1.2324392908751277E-2</v>
      </c>
      <c r="Q70" s="66">
        <f t="shared" si="131"/>
        <v>1.2128511483391525E-2</v>
      </c>
      <c r="R70" s="66">
        <f t="shared" si="131"/>
        <v>1.138160843967604E-2</v>
      </c>
      <c r="S70" s="66">
        <f t="shared" si="131"/>
        <v>1.0869286689134613E-2</v>
      </c>
      <c r="T70" s="66">
        <f t="shared" si="131"/>
        <v>1.0046160516181684E-2</v>
      </c>
      <c r="U70" s="66">
        <f t="shared" si="131"/>
        <v>8.9636229010915513E-3</v>
      </c>
      <c r="V70" s="66">
        <f t="shared" si="131"/>
        <v>8.5629841923783086E-3</v>
      </c>
      <c r="W70" s="66">
        <f t="shared" si="131"/>
        <v>8.3379239465570399E-3</v>
      </c>
      <c r="X70" s="66">
        <f t="shared" si="131"/>
        <v>7.6223918386959652E-3</v>
      </c>
      <c r="Y70" s="66">
        <f t="shared" si="131"/>
        <v>7.085005226422093E-3</v>
      </c>
      <c r="Z70" s="66">
        <f t="shared" si="131"/>
        <v>6.8410162266440561E-3</v>
      </c>
      <c r="AA70" s="66">
        <f t="shared" si="131"/>
        <v>6.7381445607748724E-3</v>
      </c>
      <c r="AB70" s="66">
        <f t="shared" si="131"/>
        <v>6.4974744667975742E-3</v>
      </c>
      <c r="AC70" s="66">
        <f t="shared" si="131"/>
        <v>6.3265081704018122E-3</v>
      </c>
      <c r="AD70" s="66">
        <f t="shared" si="131"/>
        <v>6.2613644114867034E-3</v>
      </c>
      <c r="AE70" s="66">
        <f t="shared" si="131"/>
        <v>6.2992943873347897E-3</v>
      </c>
      <c r="AF70" s="66">
        <f t="shared" si="131"/>
        <v>6.4604361321003115E-3</v>
      </c>
      <c r="AG70" s="66">
        <f t="shared" si="131"/>
        <v>6.7372900538729685E-3</v>
      </c>
      <c r="AH70" s="66">
        <f t="shared" si="131"/>
        <v>7.0302601809954755E-3</v>
      </c>
      <c r="AI70" s="66">
        <f t="shared" si="131"/>
        <v>7.1711180183202817E-3</v>
      </c>
      <c r="AJ70" s="66">
        <f t="shared" ref="AJ70:BO70" si="132">AJ18/(AJ$27*1000)</f>
        <v>7.5739866944110664E-3</v>
      </c>
      <c r="AK70" s="66">
        <f t="shared" si="132"/>
        <v>7.5101905550952778E-3</v>
      </c>
      <c r="AL70" s="66">
        <f t="shared" si="132"/>
        <v>7.6958249871529995E-3</v>
      </c>
      <c r="AM70" s="66">
        <f t="shared" si="132"/>
        <v>7.2559379591519008E-3</v>
      </c>
      <c r="AN70" s="66">
        <f t="shared" si="132"/>
        <v>6.3586078393425361E-3</v>
      </c>
      <c r="AO70" s="66">
        <f t="shared" si="132"/>
        <v>5.7400296673023946E-3</v>
      </c>
      <c r="AP70" s="66">
        <f t="shared" si="132"/>
        <v>5.123765524541803E-3</v>
      </c>
      <c r="AQ70" s="66">
        <f t="shared" si="132"/>
        <v>4.9115916617962201E-3</v>
      </c>
      <c r="AR70" s="66">
        <f t="shared" si="132"/>
        <v>4.4359495669949412E-3</v>
      </c>
      <c r="AS70" s="66">
        <f t="shared" si="132"/>
        <v>4.2090889457073784E-3</v>
      </c>
      <c r="AT70" s="66">
        <f t="shared" si="132"/>
        <v>4.2902350066299187E-3</v>
      </c>
      <c r="AU70" s="66">
        <f t="shared" si="132"/>
        <v>3.945631702892285E-3</v>
      </c>
      <c r="AV70" s="66">
        <f t="shared" si="132"/>
        <v>3.8168151200594011E-3</v>
      </c>
      <c r="AW70" s="66">
        <f t="shared" si="132"/>
        <v>3.6596945402427553E-3</v>
      </c>
      <c r="AX70" s="66">
        <f t="shared" si="132"/>
        <v>3.2262879597030475E-3</v>
      </c>
      <c r="AY70" s="66">
        <f t="shared" si="132"/>
        <v>2.7174850438491361E-3</v>
      </c>
      <c r="AZ70" s="66">
        <f t="shared" si="132"/>
        <v>2.6977714124205221E-3</v>
      </c>
      <c r="BA70" s="66">
        <f t="shared" si="132"/>
        <v>2.7468227308930981E-3</v>
      </c>
      <c r="BB70" s="66">
        <f t="shared" si="132"/>
        <v>2.6608445084783331E-3</v>
      </c>
      <c r="BC70" s="66">
        <f t="shared" si="132"/>
        <v>2.8464241993444695E-3</v>
      </c>
      <c r="BD70" s="66">
        <f t="shared" si="132"/>
        <v>2.8440141900864099E-3</v>
      </c>
      <c r="BE70" s="66">
        <f t="shared" si="132"/>
        <v>2.8378462610226043E-3</v>
      </c>
      <c r="BF70" s="66">
        <f t="shared" si="132"/>
        <v>2.7678407591552128E-3</v>
      </c>
      <c r="BG70" s="66">
        <f t="shared" si="132"/>
        <v>3.6870694738478332E-3</v>
      </c>
      <c r="BH70" s="66">
        <f t="shared" si="132"/>
        <v>3.8682407913017635E-3</v>
      </c>
      <c r="BI70" s="66">
        <f t="shared" si="132"/>
        <v>3.8290424874365108E-3</v>
      </c>
      <c r="BJ70" s="66">
        <f t="shared" si="132"/>
        <v>3.7729871448175978E-3</v>
      </c>
      <c r="BK70" s="66">
        <f t="shared" si="132"/>
        <v>3.4528234247963537E-3</v>
      </c>
      <c r="BL70" s="66">
        <f t="shared" si="132"/>
        <v>3.0924434204080528E-3</v>
      </c>
      <c r="BM70" s="66">
        <f t="shared" si="132"/>
        <v>2.7614025625283308E-3</v>
      </c>
      <c r="BN70" s="66">
        <f t="shared" si="132"/>
        <v>2.6334695899913291E-3</v>
      </c>
      <c r="BO70" s="66">
        <f t="shared" si="132"/>
        <v>2.3181828544912983E-3</v>
      </c>
      <c r="BP70" s="66">
        <f t="shared" ref="BP70:BV70" si="133">BP18/(BP$27*1000)</f>
        <v>2.3179145478685998E-3</v>
      </c>
      <c r="BQ70" s="66">
        <f t="shared" si="133"/>
        <v>2.3735187221772995E-3</v>
      </c>
      <c r="BR70" s="66">
        <f t="shared" si="133"/>
        <v>2.3054427409371823E-3</v>
      </c>
      <c r="BS70" s="66">
        <f t="shared" si="133"/>
        <v>2.7501116897218486E-3</v>
      </c>
      <c r="BT70" s="66">
        <f t="shared" si="133"/>
        <v>2.5165051920036079E-3</v>
      </c>
      <c r="BU70" s="66">
        <f t="shared" si="133"/>
        <v>2.5197535424114556E-3</v>
      </c>
      <c r="BV70" s="66">
        <f t="shared" si="133"/>
        <v>2.4391466535919255E-3</v>
      </c>
    </row>
    <row r="71" spans="1:74" s="63" customFormat="1" x14ac:dyDescent="0.25">
      <c r="A71" s="63" t="s">
        <v>251</v>
      </c>
      <c r="B71" s="63" t="s">
        <v>244</v>
      </c>
      <c r="C71" s="64" t="s">
        <v>317</v>
      </c>
      <c r="D71" s="66">
        <f t="shared" ref="D71:AI71" si="134">D19/(D$27*1000)</f>
        <v>4.2847794791257693E-3</v>
      </c>
      <c r="E71" s="66">
        <f t="shared" si="134"/>
        <v>4.3729820483016917E-3</v>
      </c>
      <c r="F71" s="66">
        <f t="shared" si="134"/>
        <v>4.301975019996308E-3</v>
      </c>
      <c r="G71" s="66">
        <f t="shared" si="134"/>
        <v>5.195664575014261E-3</v>
      </c>
      <c r="H71" s="66">
        <f t="shared" si="134"/>
        <v>4.7154032910709468E-3</v>
      </c>
      <c r="I71" s="66">
        <f t="shared" si="134"/>
        <v>4.7563229315169759E-3</v>
      </c>
      <c r="J71" s="66">
        <f t="shared" si="134"/>
        <v>5.0911613158937776E-3</v>
      </c>
      <c r="K71" s="66">
        <f t="shared" si="134"/>
        <v>5.5172413793103444E-3</v>
      </c>
      <c r="L71" s="66">
        <f t="shared" si="134"/>
        <v>5.8564698348808489E-3</v>
      </c>
      <c r="M71" s="66">
        <f t="shared" si="134"/>
        <v>5.5645195714346691E-3</v>
      </c>
      <c r="N71" s="66">
        <f t="shared" si="134"/>
        <v>5.7392429634422516E-3</v>
      </c>
      <c r="O71" s="66">
        <f t="shared" si="134"/>
        <v>5.8349705304518665E-3</v>
      </c>
      <c r="P71" s="66">
        <f t="shared" si="134"/>
        <v>6.2496034962816766E-3</v>
      </c>
      <c r="Q71" s="66">
        <f t="shared" si="134"/>
        <v>6.3768858707838171E-3</v>
      </c>
      <c r="R71" s="66">
        <f t="shared" si="134"/>
        <v>6.8880188876602614E-3</v>
      </c>
      <c r="S71" s="66">
        <f t="shared" si="134"/>
        <v>7.0701612678606245E-3</v>
      </c>
      <c r="T71" s="66">
        <f t="shared" si="134"/>
        <v>7.2938716176583103E-3</v>
      </c>
      <c r="U71" s="66">
        <f t="shared" si="134"/>
        <v>7.1550385745336419E-3</v>
      </c>
      <c r="V71" s="66">
        <f t="shared" si="134"/>
        <v>6.9678921678384305E-3</v>
      </c>
      <c r="W71" s="66">
        <f t="shared" si="134"/>
        <v>7.0158273381294963E-3</v>
      </c>
      <c r="X71" s="66">
        <f t="shared" si="134"/>
        <v>7.2431573305734723E-3</v>
      </c>
      <c r="Y71" s="66">
        <f t="shared" si="134"/>
        <v>7.3480122736622041E-3</v>
      </c>
      <c r="Z71" s="66">
        <f t="shared" si="134"/>
        <v>7.2187563203011968E-3</v>
      </c>
      <c r="AA71" s="66">
        <f t="shared" si="134"/>
        <v>7.2375566877554446E-3</v>
      </c>
      <c r="AB71" s="66">
        <f t="shared" si="134"/>
        <v>7.098662517135341E-3</v>
      </c>
      <c r="AC71" s="66">
        <f t="shared" si="134"/>
        <v>7.2594514944247729E-3</v>
      </c>
      <c r="AD71" s="66">
        <f t="shared" si="134"/>
        <v>7.4809740506514132E-3</v>
      </c>
      <c r="AE71" s="66">
        <f t="shared" si="134"/>
        <v>8.2184175650990357E-3</v>
      </c>
      <c r="AF71" s="66">
        <f t="shared" si="134"/>
        <v>8.239752970182479E-3</v>
      </c>
      <c r="AG71" s="66">
        <f t="shared" si="134"/>
        <v>8.8387885372809994E-3</v>
      </c>
      <c r="AH71" s="66">
        <f t="shared" si="134"/>
        <v>9.2242647058823537E-3</v>
      </c>
      <c r="AI71" s="66">
        <f t="shared" si="134"/>
        <v>9.5754176505219446E-3</v>
      </c>
      <c r="AJ71" s="66">
        <f t="shared" ref="AJ71:BO71" si="135">AJ19/(AJ$27*1000)</f>
        <v>9.8137803698602026E-3</v>
      </c>
      <c r="AK71" s="66">
        <f t="shared" si="135"/>
        <v>9.1599005799502895E-3</v>
      </c>
      <c r="AL71" s="66">
        <f t="shared" si="135"/>
        <v>8.9738130945014837E-3</v>
      </c>
      <c r="AM71" s="66">
        <f t="shared" si="135"/>
        <v>9.1008163781611546E-3</v>
      </c>
      <c r="AN71" s="66">
        <f t="shared" si="135"/>
        <v>9.3294387160364912E-3</v>
      </c>
      <c r="AO71" s="66">
        <f t="shared" si="135"/>
        <v>1.0098410680228861E-2</v>
      </c>
      <c r="AP71" s="66">
        <f t="shared" si="135"/>
        <v>1.0371768413019485E-2</v>
      </c>
      <c r="AQ71" s="66">
        <f t="shared" si="135"/>
        <v>1.0530605883498929E-2</v>
      </c>
      <c r="AR71" s="66">
        <f t="shared" si="135"/>
        <v>1.0164235663971838E-2</v>
      </c>
      <c r="AS71" s="66">
        <f t="shared" si="135"/>
        <v>1.0016372085246313E-2</v>
      </c>
      <c r="AT71" s="66">
        <f t="shared" si="135"/>
        <v>1.0546761590783587E-2</v>
      </c>
      <c r="AU71" s="66">
        <f t="shared" si="135"/>
        <v>1.1197127522771362E-2</v>
      </c>
      <c r="AV71" s="66">
        <f t="shared" si="135"/>
        <v>1.1280406814557997E-2</v>
      </c>
      <c r="AW71" s="66">
        <f t="shared" si="135"/>
        <v>1.2413781520132575E-2</v>
      </c>
      <c r="AX71" s="66">
        <f t="shared" si="135"/>
        <v>1.292561678336432E-2</v>
      </c>
      <c r="AY71" s="66">
        <f t="shared" si="135"/>
        <v>1.3892256408102144E-2</v>
      </c>
      <c r="AZ71" s="66">
        <f t="shared" si="135"/>
        <v>1.3088884613648941E-2</v>
      </c>
      <c r="BA71" s="66">
        <f t="shared" si="135"/>
        <v>1.3396959517955467E-2</v>
      </c>
      <c r="BB71" s="66">
        <f t="shared" si="135"/>
        <v>1.2721001884074034E-2</v>
      </c>
      <c r="BC71" s="66">
        <f t="shared" si="135"/>
        <v>1.1720403959786921E-2</v>
      </c>
      <c r="BD71" s="66">
        <f t="shared" si="135"/>
        <v>1.2233692498802566E-2</v>
      </c>
      <c r="BE71" s="66">
        <f t="shared" si="135"/>
        <v>1.2598456377069316E-2</v>
      </c>
      <c r="BF71" s="66">
        <f t="shared" si="135"/>
        <v>1.3001336910077505E-2</v>
      </c>
      <c r="BG71" s="66">
        <f t="shared" si="135"/>
        <v>1.3641535287727059E-2</v>
      </c>
      <c r="BH71" s="66">
        <f t="shared" si="135"/>
        <v>1.3560374085005496E-2</v>
      </c>
      <c r="BI71" s="66">
        <f t="shared" si="135"/>
        <v>1.2735145521485582E-2</v>
      </c>
      <c r="BJ71" s="66">
        <f t="shared" si="135"/>
        <v>1.3432752347408355E-2</v>
      </c>
      <c r="BK71" s="66">
        <f t="shared" si="135"/>
        <v>1.3204568133251186E-2</v>
      </c>
      <c r="BL71" s="66">
        <f t="shared" si="135"/>
        <v>1.3784881447646554E-2</v>
      </c>
      <c r="BM71" s="66">
        <f t="shared" si="135"/>
        <v>1.420108904585124E-2</v>
      </c>
      <c r="BN71" s="66">
        <f t="shared" si="135"/>
        <v>1.4241876212890706E-2</v>
      </c>
      <c r="BO71" s="66">
        <f t="shared" si="135"/>
        <v>1.4745411069223889E-2</v>
      </c>
      <c r="BP71" s="66">
        <f t="shared" ref="BP71:BV71" si="136">BP19/(BP$27*1000)</f>
        <v>1.5419473630560756E-2</v>
      </c>
      <c r="BQ71" s="66">
        <f t="shared" si="136"/>
        <v>1.62789542640372E-2</v>
      </c>
      <c r="BR71" s="66">
        <f t="shared" si="136"/>
        <v>1.7604545678762951E-2</v>
      </c>
      <c r="BS71" s="66">
        <f t="shared" si="136"/>
        <v>1.9101674583640652E-2</v>
      </c>
      <c r="BT71" s="66">
        <f t="shared" si="136"/>
        <v>2.0037667157520662E-2</v>
      </c>
      <c r="BU71" s="66">
        <f t="shared" si="136"/>
        <v>2.0684097136973244E-2</v>
      </c>
      <c r="BV71" s="66">
        <f t="shared" si="136"/>
        <v>2.0343358318041863E-2</v>
      </c>
    </row>
    <row r="72" spans="1:74" s="63" customFormat="1" x14ac:dyDescent="0.25">
      <c r="A72" s="63" t="s">
        <v>251</v>
      </c>
      <c r="B72" s="63" t="s">
        <v>244</v>
      </c>
      <c r="C72" s="64" t="s">
        <v>318</v>
      </c>
      <c r="D72" s="66">
        <f t="shared" ref="D72:AI72" si="137">D20/(D$27*1000)</f>
        <v>7.8523753435414214E-6</v>
      </c>
      <c r="E72" s="66">
        <f t="shared" si="137"/>
        <v>7.7489345215032941E-6</v>
      </c>
      <c r="F72" s="66">
        <f t="shared" si="137"/>
        <v>7.3832523226481265E-6</v>
      </c>
      <c r="G72" s="66">
        <f t="shared" si="137"/>
        <v>9.1272104962920709E-6</v>
      </c>
      <c r="H72" s="66">
        <f t="shared" si="137"/>
        <v>8.6323172376584835E-6</v>
      </c>
      <c r="I72" s="66">
        <f t="shared" si="137"/>
        <v>8.4481757220550195E-6</v>
      </c>
      <c r="J72" s="66">
        <f t="shared" si="137"/>
        <v>9.9088386841062222E-6</v>
      </c>
      <c r="K72" s="66">
        <f t="shared" si="137"/>
        <v>9.3576007111776547E-6</v>
      </c>
      <c r="L72" s="66">
        <f t="shared" si="137"/>
        <v>9.1478754059369715E-6</v>
      </c>
      <c r="M72" s="66">
        <f t="shared" si="137"/>
        <v>1.0244589576130106E-5</v>
      </c>
      <c r="N72" s="66">
        <f t="shared" si="137"/>
        <v>9.7055968942089942E-6</v>
      </c>
      <c r="O72" s="66">
        <f t="shared" si="137"/>
        <v>1.0578812150521384E-5</v>
      </c>
      <c r="P72" s="66">
        <f t="shared" si="137"/>
        <v>1.1278327987875797E-5</v>
      </c>
      <c r="Q72" s="66">
        <f t="shared" si="137"/>
        <v>1.2812710208526858E-5</v>
      </c>
      <c r="R72" s="66">
        <f t="shared" si="137"/>
        <v>1.1954215355189623E-5</v>
      </c>
      <c r="S72" s="66">
        <f t="shared" si="137"/>
        <v>1.002701724089909E-5</v>
      </c>
      <c r="T72" s="66">
        <f t="shared" si="137"/>
        <v>8.160975236540766E-6</v>
      </c>
      <c r="U72" s="66">
        <f t="shared" si="137"/>
        <v>6.6878448419996658E-6</v>
      </c>
      <c r="V72" s="66">
        <f t="shared" si="137"/>
        <v>8.0605436388876442E-6</v>
      </c>
      <c r="W72" s="66">
        <f t="shared" si="137"/>
        <v>1.1510791366906475E-5</v>
      </c>
      <c r="X72" s="66">
        <f t="shared" si="137"/>
        <v>1.4784971076900331E-5</v>
      </c>
      <c r="Y72" s="66">
        <f t="shared" si="137"/>
        <v>1.685942610513538E-5</v>
      </c>
      <c r="Z72" s="66">
        <f t="shared" si="137"/>
        <v>1.680227764208037E-5</v>
      </c>
      <c r="AA72" s="66">
        <f t="shared" si="137"/>
        <v>1.735625104977325E-5</v>
      </c>
      <c r="AB72" s="66">
        <f t="shared" si="137"/>
        <v>1.9759672977412223E-5</v>
      </c>
      <c r="AC72" s="66">
        <f t="shared" si="137"/>
        <v>2.1553146099540345E-5</v>
      </c>
      <c r="AD72" s="66">
        <f t="shared" si="137"/>
        <v>2.1827465577891896E-5</v>
      </c>
      <c r="AE72" s="66">
        <f t="shared" si="137"/>
        <v>2.4356173215373043E-5</v>
      </c>
      <c r="AF72" s="66">
        <f t="shared" si="137"/>
        <v>2.5532797676515412E-5</v>
      </c>
      <c r="AG72" s="66">
        <f t="shared" si="137"/>
        <v>2.6559222539122036E-5</v>
      </c>
      <c r="AH72" s="66">
        <f t="shared" si="137"/>
        <v>2.7432126696832578E-5</v>
      </c>
      <c r="AI72" s="66">
        <f t="shared" si="137"/>
        <v>2.7347483968170567E-5</v>
      </c>
      <c r="AJ72" s="66">
        <f t="shared" ref="AJ72:BO72" si="138">AJ20/(AJ$27*1000)</f>
        <v>2.8135166026787022E-5</v>
      </c>
      <c r="AK72" s="66">
        <f t="shared" si="138"/>
        <v>3.0046948356807513E-5</v>
      </c>
      <c r="AL72" s="66">
        <f t="shared" si="138"/>
        <v>3.2510775749058759E-5</v>
      </c>
      <c r="AM72" s="66">
        <f t="shared" si="138"/>
        <v>3.5029337069795957E-5</v>
      </c>
      <c r="AN72" s="66">
        <f t="shared" si="138"/>
        <v>3.690584957715798E-5</v>
      </c>
      <c r="AO72" s="66">
        <f t="shared" si="138"/>
        <v>3.8313201949565588E-5</v>
      </c>
      <c r="AP72" s="66">
        <f t="shared" si="138"/>
        <v>3.922421397711374E-5</v>
      </c>
      <c r="AQ72" s="66">
        <f t="shared" si="138"/>
        <v>3.8340151957919347E-5</v>
      </c>
      <c r="AR72" s="66">
        <f t="shared" si="138"/>
        <v>3.8226948522764587E-5</v>
      </c>
      <c r="AS72" s="66">
        <f t="shared" si="138"/>
        <v>3.8456983216870909E-5</v>
      </c>
      <c r="AT72" s="66">
        <f t="shared" si="138"/>
        <v>3.8093096618245667E-5</v>
      </c>
      <c r="AU72" s="66">
        <f t="shared" si="138"/>
        <v>3.8358386809745544E-5</v>
      </c>
      <c r="AV72" s="66">
        <f t="shared" si="138"/>
        <v>3.620862558092066E-5</v>
      </c>
      <c r="AW72" s="66">
        <f t="shared" si="138"/>
        <v>3.4263447843418281E-5</v>
      </c>
      <c r="AX72" s="66">
        <f t="shared" si="138"/>
        <v>3.428405659506573E-5</v>
      </c>
      <c r="AY72" s="66">
        <f t="shared" si="138"/>
        <v>3.4792664875964643E-5</v>
      </c>
      <c r="AZ72" s="66">
        <f t="shared" si="138"/>
        <v>3.6197031558396215E-5</v>
      </c>
      <c r="BA72" s="66">
        <f t="shared" si="138"/>
        <v>3.9246920848195219E-5</v>
      </c>
      <c r="BB72" s="66">
        <f t="shared" si="138"/>
        <v>4.1405297572869334E-5</v>
      </c>
      <c r="BC72" s="66">
        <f t="shared" si="138"/>
        <v>3.9988610312655229E-5</v>
      </c>
      <c r="BD72" s="66">
        <f t="shared" si="138"/>
        <v>3.9018843531322163E-5</v>
      </c>
      <c r="BE72" s="66">
        <f t="shared" si="138"/>
        <v>3.8132252919500617E-5</v>
      </c>
      <c r="BF72" s="66">
        <f t="shared" si="138"/>
        <v>3.7748049247223505E-5</v>
      </c>
      <c r="BG72" s="66">
        <f t="shared" si="138"/>
        <v>3.9806509276640036E-5</v>
      </c>
      <c r="BH72" s="66">
        <f t="shared" si="138"/>
        <v>6.3246079088703493E-5</v>
      </c>
      <c r="BI72" s="66">
        <f t="shared" si="138"/>
        <v>8.3308699040606266E-5</v>
      </c>
      <c r="BJ72" s="66">
        <f t="shared" si="138"/>
        <v>8.6638724600386968E-5</v>
      </c>
      <c r="BK72" s="66">
        <f t="shared" si="138"/>
        <v>9.4603004141985205E-5</v>
      </c>
      <c r="BL72" s="66">
        <f t="shared" si="138"/>
        <v>1.0007325721973119E-4</v>
      </c>
      <c r="BM72" s="66">
        <f t="shared" si="138"/>
        <v>1.021912887807621E-4</v>
      </c>
      <c r="BN72" s="66">
        <f t="shared" si="138"/>
        <v>1.0184841102715498E-4</v>
      </c>
      <c r="BO72" s="66">
        <f t="shared" si="138"/>
        <v>1.0498180789187465E-4</v>
      </c>
      <c r="BP72" s="66">
        <f t="shared" ref="BP72:BV72" si="139">BP20/(BP$27*1000)</f>
        <v>1.0792160586936634E-4</v>
      </c>
      <c r="BQ72" s="66">
        <f t="shared" si="139"/>
        <v>1.0721105678246945E-4</v>
      </c>
      <c r="BR72" s="66">
        <f t="shared" si="139"/>
        <v>1.0387035701618188E-4</v>
      </c>
      <c r="BS72" s="66">
        <f t="shared" si="139"/>
        <v>1.0628405657069754E-4</v>
      </c>
      <c r="BT72" s="66">
        <f t="shared" si="139"/>
        <v>1.0558975835855526E-4</v>
      </c>
      <c r="BU72" s="66">
        <f t="shared" si="139"/>
        <v>1.0506484256438944E-4</v>
      </c>
      <c r="BV72" s="66">
        <f t="shared" si="139"/>
        <v>1.0790320544602005E-4</v>
      </c>
    </row>
    <row r="73" spans="1:74" s="63" customFormat="1" x14ac:dyDescent="0.25">
      <c r="A73" s="63" t="s">
        <v>251</v>
      </c>
      <c r="B73" s="63" t="s">
        <v>244</v>
      </c>
      <c r="C73" s="64" t="s">
        <v>237</v>
      </c>
      <c r="D73" s="66">
        <f t="shared" ref="D73:AI73" si="140">D21/(D$27*1000)</f>
        <v>2.6174584478471403E-5</v>
      </c>
      <c r="E73" s="66">
        <f t="shared" si="140"/>
        <v>2.841275991217874E-5</v>
      </c>
      <c r="F73" s="66">
        <f t="shared" si="140"/>
        <v>2.9533009290592506E-5</v>
      </c>
      <c r="G73" s="66">
        <f t="shared" si="140"/>
        <v>2.9663434112949229E-5</v>
      </c>
      <c r="H73" s="66">
        <f t="shared" si="140"/>
        <v>3.2371189641219312E-5</v>
      </c>
      <c r="I73" s="66">
        <f t="shared" si="140"/>
        <v>3.5904746818733828E-5</v>
      </c>
      <c r="J73" s="66">
        <f t="shared" si="140"/>
        <v>3.5671819262782402E-5</v>
      </c>
      <c r="K73" s="66">
        <f t="shared" si="140"/>
        <v>3.3687362560239553E-5</v>
      </c>
      <c r="L73" s="66">
        <f t="shared" si="140"/>
        <v>4.2080226867310064E-5</v>
      </c>
      <c r="M73" s="66">
        <f t="shared" si="140"/>
        <v>4.7808084688607161E-5</v>
      </c>
      <c r="N73" s="66">
        <f t="shared" si="140"/>
        <v>4.8527984471044966E-5</v>
      </c>
      <c r="O73" s="66">
        <f t="shared" si="140"/>
        <v>4.3826507480731452E-5</v>
      </c>
      <c r="P73" s="66">
        <f t="shared" si="140"/>
        <v>4.6523102949987661E-5</v>
      </c>
      <c r="Q73" s="66">
        <f t="shared" si="140"/>
        <v>4.7407027771549378E-5</v>
      </c>
      <c r="R73" s="66">
        <f t="shared" si="140"/>
        <v>4.7816861420758493E-5</v>
      </c>
      <c r="S73" s="66">
        <f t="shared" si="140"/>
        <v>4.7906860150962316E-5</v>
      </c>
      <c r="T73" s="66">
        <f t="shared" si="140"/>
        <v>4.5905485705541814E-5</v>
      </c>
      <c r="U73" s="66">
        <f t="shared" si="140"/>
        <v>4.3948694675997803E-5</v>
      </c>
      <c r="V73" s="66">
        <f t="shared" si="140"/>
        <v>4.4780797993820249E-5</v>
      </c>
      <c r="W73" s="66">
        <f t="shared" si="140"/>
        <v>4.6043165467625902E-5</v>
      </c>
      <c r="X73" s="66">
        <f t="shared" si="140"/>
        <v>5.100815021530614E-5</v>
      </c>
      <c r="Y73" s="66">
        <f t="shared" si="140"/>
        <v>5.1927032403816974E-5</v>
      </c>
      <c r="Z73" s="66">
        <f t="shared" si="140"/>
        <v>5.2896059243586351E-5</v>
      </c>
      <c r="AA73" s="66">
        <f t="shared" si="140"/>
        <v>5.1508874083198029E-5</v>
      </c>
      <c r="AB73" s="66">
        <f t="shared" si="140"/>
        <v>5.1375149741271779E-5</v>
      </c>
      <c r="AC73" s="66">
        <f t="shared" si="140"/>
        <v>5.2783214937649824E-5</v>
      </c>
      <c r="AD73" s="66">
        <f t="shared" si="140"/>
        <v>5.1840230747493255E-5</v>
      </c>
      <c r="AE73" s="66">
        <f t="shared" si="140"/>
        <v>5.3010494645223682E-5</v>
      </c>
      <c r="AF73" s="66">
        <f t="shared" si="140"/>
        <v>5.3299715149725923E-5</v>
      </c>
      <c r="AG73" s="66">
        <f t="shared" si="140"/>
        <v>5.5231110507492419E-5</v>
      </c>
      <c r="AH73" s="66">
        <f t="shared" si="140"/>
        <v>5.5995475113122173E-5</v>
      </c>
      <c r="AI73" s="66">
        <f t="shared" si="140"/>
        <v>5.520140282464059E-5</v>
      </c>
      <c r="AJ73" s="66">
        <f t="shared" ref="AJ73:BO73" si="141">AJ21/(AJ$27*1000)</f>
        <v>5.6270332053574044E-5</v>
      </c>
      <c r="AK73" s="66">
        <f t="shared" si="141"/>
        <v>5.8768296050814692E-5</v>
      </c>
      <c r="AL73" s="66">
        <f t="shared" si="141"/>
        <v>6.2714335154635933E-5</v>
      </c>
      <c r="AM73" s="66">
        <f t="shared" si="141"/>
        <v>6.5582703291784642E-5</v>
      </c>
      <c r="AN73" s="66">
        <f t="shared" si="141"/>
        <v>6.7690728980543421E-5</v>
      </c>
      <c r="AO73" s="66">
        <f t="shared" si="141"/>
        <v>7.0184361093452005E-5</v>
      </c>
      <c r="AP73" s="66">
        <f t="shared" si="141"/>
        <v>7.3524886450824077E-5</v>
      </c>
      <c r="AQ73" s="66">
        <f t="shared" si="141"/>
        <v>7.5277615429573356E-5</v>
      </c>
      <c r="AR73" s="66">
        <f t="shared" si="141"/>
        <v>7.7487057816414713E-5</v>
      </c>
      <c r="AS73" s="66">
        <f t="shared" si="141"/>
        <v>7.9282693660867926E-5</v>
      </c>
      <c r="AT73" s="66">
        <f t="shared" si="141"/>
        <v>8.1741436493318827E-5</v>
      </c>
      <c r="AU73" s="66">
        <f t="shared" si="141"/>
        <v>8.3759624968165688E-5</v>
      </c>
      <c r="AV73" s="66">
        <f t="shared" si="141"/>
        <v>9.0876550477604786E-5</v>
      </c>
      <c r="AW73" s="66">
        <f t="shared" si="141"/>
        <v>9.1257222197339545E-5</v>
      </c>
      <c r="AX73" s="66">
        <f t="shared" si="141"/>
        <v>9.2408718699315637E-5</v>
      </c>
      <c r="AY73" s="66">
        <f t="shared" si="141"/>
        <v>1.0081965390194301E-4</v>
      </c>
      <c r="AZ73" s="66">
        <f t="shared" si="141"/>
        <v>1.1334136128390206E-4</v>
      </c>
      <c r="BA73" s="66">
        <f t="shared" si="141"/>
        <v>1.2531310962588449E-4</v>
      </c>
      <c r="BB73" s="66">
        <f t="shared" si="141"/>
        <v>1.3556466807048654E-4</v>
      </c>
      <c r="BC73" s="66">
        <f t="shared" si="141"/>
        <v>1.2653360685210241E-4</v>
      </c>
      <c r="BD73" s="66">
        <f t="shared" si="141"/>
        <v>1.2710329868885782E-4</v>
      </c>
      <c r="BE73" s="66">
        <f t="shared" si="141"/>
        <v>1.2451647203329239E-4</v>
      </c>
      <c r="BF73" s="66">
        <f t="shared" si="141"/>
        <v>1.2876279020997353E-4</v>
      </c>
      <c r="BG73" s="66">
        <f t="shared" si="141"/>
        <v>1.7585150617626039E-4</v>
      </c>
      <c r="BH73" s="66">
        <f t="shared" si="141"/>
        <v>2.0577440158149759E-4</v>
      </c>
      <c r="BI73" s="66">
        <f t="shared" si="141"/>
        <v>2.4367794469377335E-4</v>
      </c>
      <c r="BJ73" s="66">
        <f t="shared" si="141"/>
        <v>2.2907537407400823E-4</v>
      </c>
      <c r="BK73" s="66">
        <f t="shared" si="141"/>
        <v>2.1099449545840401E-4</v>
      </c>
      <c r="BL73" s="66">
        <f t="shared" si="141"/>
        <v>2.2944940233194657E-4</v>
      </c>
      <c r="BM73" s="66">
        <f t="shared" si="141"/>
        <v>2.3347352838232511E-4</v>
      </c>
      <c r="BN73" s="66">
        <f t="shared" si="141"/>
        <v>2.5351996366489122E-4</v>
      </c>
      <c r="BO73" s="66">
        <f t="shared" si="141"/>
        <v>2.5126969247089463E-4</v>
      </c>
      <c r="BP73" s="66">
        <f t="shared" ref="BP73:BV73" si="142">BP21/(BP$27*1000)</f>
        <v>2.2497861309639784E-4</v>
      </c>
      <c r="BQ73" s="66">
        <f t="shared" si="142"/>
        <v>2.1657514254642163E-4</v>
      </c>
      <c r="BR73" s="66">
        <f t="shared" si="142"/>
        <v>2.0074085731802135E-4</v>
      </c>
      <c r="BS73" s="66">
        <f t="shared" si="142"/>
        <v>2.03609483483406E-4</v>
      </c>
      <c r="BT73" s="66">
        <f t="shared" si="142"/>
        <v>2.2230795563839094E-4</v>
      </c>
      <c r="BU73" s="66">
        <f t="shared" si="142"/>
        <v>2.0268383653227238E-4</v>
      </c>
      <c r="BV73" s="66">
        <f t="shared" si="142"/>
        <v>1.9718222249867818E-4</v>
      </c>
    </row>
    <row r="74" spans="1:74" s="63" customFormat="1" x14ac:dyDescent="0.25">
      <c r="A74" s="63" t="s">
        <v>319</v>
      </c>
      <c r="B74" s="63" t="s">
        <v>244</v>
      </c>
      <c r="C74" s="64" t="s">
        <v>75</v>
      </c>
      <c r="D74" s="66">
        <f t="shared" ref="D74:AI74" si="143">D22/(D$27*1000)</f>
        <v>4.0675304279544564E-3</v>
      </c>
      <c r="E74" s="66">
        <f t="shared" si="143"/>
        <v>4.3109905721296655E-3</v>
      </c>
      <c r="F74" s="66">
        <f t="shared" si="143"/>
        <v>4.4791730757398635E-3</v>
      </c>
      <c r="G74" s="66">
        <f t="shared" si="143"/>
        <v>5.2960638904734738E-3</v>
      </c>
      <c r="H74" s="66">
        <f t="shared" si="143"/>
        <v>6.1807391421634748E-3</v>
      </c>
      <c r="I74" s="66">
        <f t="shared" si="143"/>
        <v>6.9612967949733351E-3</v>
      </c>
      <c r="J74" s="66">
        <f t="shared" si="143"/>
        <v>7.1442726912405866E-3</v>
      </c>
      <c r="K74" s="66">
        <f t="shared" si="143"/>
        <v>7.2221962288869131E-3</v>
      </c>
      <c r="L74" s="66">
        <f t="shared" si="143"/>
        <v>7.4921099574623796E-3</v>
      </c>
      <c r="M74" s="66">
        <f t="shared" si="143"/>
        <v>8.3937337260425997E-3</v>
      </c>
      <c r="N74" s="66">
        <f t="shared" si="143"/>
        <v>8.5894532513749594E-3</v>
      </c>
      <c r="O74" s="66">
        <f t="shared" si="143"/>
        <v>8.9073598307390055E-3</v>
      </c>
      <c r="P74" s="66">
        <f t="shared" si="143"/>
        <v>8.8450287244915948E-3</v>
      </c>
      <c r="Q74" s="66">
        <f t="shared" si="143"/>
        <v>8.62039142829687E-3</v>
      </c>
      <c r="R74" s="66">
        <f t="shared" si="143"/>
        <v>8.520964705179164E-3</v>
      </c>
      <c r="S74" s="66">
        <f t="shared" si="143"/>
        <v>8.395955769712837E-3</v>
      </c>
      <c r="T74" s="66">
        <f t="shared" si="143"/>
        <v>8.0701843870342512E-3</v>
      </c>
      <c r="U74" s="66">
        <f t="shared" si="143"/>
        <v>7.8849690687176066E-3</v>
      </c>
      <c r="V74" s="66">
        <f t="shared" si="143"/>
        <v>7.5160091352827908E-3</v>
      </c>
      <c r="W74" s="66">
        <f t="shared" si="143"/>
        <v>7.2378211716341212E-3</v>
      </c>
      <c r="X74" s="66">
        <f t="shared" si="143"/>
        <v>7.0243397586353474E-3</v>
      </c>
      <c r="Y74" s="66">
        <f t="shared" si="143"/>
        <v>7.0742151937148064E-3</v>
      </c>
      <c r="Z74" s="66">
        <f t="shared" si="143"/>
        <v>7.1602595018435836E-3</v>
      </c>
      <c r="AA74" s="66">
        <f t="shared" si="143"/>
        <v>7.1490957953082137E-3</v>
      </c>
      <c r="AB74" s="66">
        <f t="shared" si="143"/>
        <v>6.8650043841774417E-3</v>
      </c>
      <c r="AC74" s="66">
        <f t="shared" si="143"/>
        <v>6.88557038861642E-3</v>
      </c>
      <c r="AD74" s="66">
        <f t="shared" si="143"/>
        <v>6.8814982996014537E-3</v>
      </c>
      <c r="AE74" s="66">
        <f t="shared" si="143"/>
        <v>7.1191661592463909E-3</v>
      </c>
      <c r="AF74" s="66">
        <f t="shared" si="143"/>
        <v>7.3151465343216657E-3</v>
      </c>
      <c r="AG74" s="66">
        <f t="shared" si="143"/>
        <v>7.6475470445319695E-3</v>
      </c>
      <c r="AH74" s="66">
        <f t="shared" si="143"/>
        <v>7.9612556561085967E-3</v>
      </c>
      <c r="AI74" s="66">
        <f t="shared" si="143"/>
        <v>7.8755689479448245E-3</v>
      </c>
      <c r="AJ74" s="66">
        <f t="shared" ref="AJ74:BO74" si="144">AJ22/(AJ$27*1000)</f>
        <v>8.1610738255033562E-3</v>
      </c>
      <c r="AK74" s="66">
        <f t="shared" si="144"/>
        <v>8.2761668047500684E-3</v>
      </c>
      <c r="AL74" s="66">
        <f t="shared" si="144"/>
        <v>8.1887302968967936E-3</v>
      </c>
      <c r="AM74" s="66">
        <f t="shared" si="144"/>
        <v>8.1005341973903137E-3</v>
      </c>
      <c r="AN74" s="66">
        <f t="shared" si="144"/>
        <v>8.2217231431181842E-3</v>
      </c>
      <c r="AO74" s="66">
        <f t="shared" si="144"/>
        <v>8.2990464081373165E-3</v>
      </c>
      <c r="AP74" s="66">
        <f t="shared" si="144"/>
        <v>8.8482605538163592E-3</v>
      </c>
      <c r="AQ74" s="66">
        <f t="shared" si="144"/>
        <v>8.3609585037989487E-3</v>
      </c>
      <c r="AR74" s="66">
        <f t="shared" si="144"/>
        <v>7.9231623575252846E-3</v>
      </c>
      <c r="AS74" s="66">
        <f t="shared" si="144"/>
        <v>7.4389181883416818E-3</v>
      </c>
      <c r="AT74" s="66">
        <f t="shared" si="144"/>
        <v>7.6617385927378419E-3</v>
      </c>
      <c r="AU74" s="66">
        <f t="shared" si="144"/>
        <v>7.7009806541677014E-3</v>
      </c>
      <c r="AV74" s="66">
        <f t="shared" si="144"/>
        <v>7.7824879230625867E-3</v>
      </c>
      <c r="AW74" s="66">
        <f t="shared" si="144"/>
        <v>7.4707752944864958E-3</v>
      </c>
      <c r="AX74" s="66">
        <f t="shared" si="144"/>
        <v>7.8291071640492101E-3</v>
      </c>
      <c r="AY74" s="66">
        <f t="shared" si="144"/>
        <v>7.9863003882050896E-3</v>
      </c>
      <c r="AZ74" s="66">
        <f t="shared" si="144"/>
        <v>8.6224939374722406E-3</v>
      </c>
      <c r="BA74" s="66">
        <f t="shared" si="144"/>
        <v>7.448788539899112E-3</v>
      </c>
      <c r="BB74" s="66">
        <f t="shared" si="144"/>
        <v>8.3296464590490969E-3</v>
      </c>
      <c r="BC74" s="66">
        <f t="shared" si="144"/>
        <v>8.5855795750482706E-3</v>
      </c>
      <c r="BD74" s="66">
        <f t="shared" si="144"/>
        <v>8.1946580788866009E-3</v>
      </c>
      <c r="BE74" s="66">
        <f t="shared" si="144"/>
        <v>8.2862852219187117E-3</v>
      </c>
      <c r="BF74" s="66">
        <f t="shared" si="144"/>
        <v>8.4873692580585969E-3</v>
      </c>
      <c r="BG74" s="66">
        <f t="shared" si="144"/>
        <v>7.6069630978790699E-3</v>
      </c>
      <c r="BH74" s="66">
        <f t="shared" si="144"/>
        <v>7.7338549694829029E-3</v>
      </c>
      <c r="BI74" s="66">
        <f t="shared" si="144"/>
        <v>8.002606756066755E-3</v>
      </c>
      <c r="BJ74" s="66">
        <f t="shared" si="144"/>
        <v>7.8304596539946758E-3</v>
      </c>
      <c r="BK74" s="66">
        <f t="shared" si="144"/>
        <v>7.7578187924149996E-3</v>
      </c>
      <c r="BL74" s="66">
        <f t="shared" si="144"/>
        <v>7.4501843415314493E-3</v>
      </c>
      <c r="BM74" s="66">
        <f t="shared" si="144"/>
        <v>7.3822734549377159E-3</v>
      </c>
      <c r="BN74" s="66">
        <f t="shared" si="144"/>
        <v>7.3935890554248044E-3</v>
      </c>
      <c r="BO74" s="66">
        <f t="shared" si="144"/>
        <v>7.9578570729280235E-3</v>
      </c>
      <c r="BP74" s="66">
        <f t="shared" ref="BP74:BV74" si="145">BP22/(BP$27*1000)</f>
        <v>7.8747159703073649E-3</v>
      </c>
      <c r="BQ74" s="66">
        <f t="shared" si="145"/>
        <v>7.8581643225971408E-3</v>
      </c>
      <c r="BR74" s="66">
        <f t="shared" si="145"/>
        <v>8.2015301029072889E-3</v>
      </c>
      <c r="BS74" s="66">
        <f t="shared" si="145"/>
        <v>8.3630918529236913E-3</v>
      </c>
      <c r="BT74" s="66">
        <f t="shared" si="145"/>
        <v>8.3069884205550087E-3</v>
      </c>
      <c r="BU74" s="66">
        <f t="shared" si="145"/>
        <v>8.4057360466266873E-3</v>
      </c>
      <c r="BV74" s="66">
        <f t="shared" si="145"/>
        <v>8.2845439360703689E-3</v>
      </c>
    </row>
    <row r="75" spans="1:74" s="63" customFormat="1" x14ac:dyDescent="0.25">
      <c r="A75" s="63" t="s">
        <v>319</v>
      </c>
      <c r="B75" s="63" t="s">
        <v>244</v>
      </c>
      <c r="C75" s="64" t="s">
        <v>316</v>
      </c>
      <c r="D75" s="66">
        <f t="shared" ref="D75:AI75" si="146">D23/(D$27*1000)</f>
        <v>2.3818871875408978E-3</v>
      </c>
      <c r="E75" s="66">
        <f t="shared" si="146"/>
        <v>2.4641611778380471E-3</v>
      </c>
      <c r="F75" s="66">
        <f t="shared" si="146"/>
        <v>2.5349166307758568E-3</v>
      </c>
      <c r="G75" s="66">
        <f t="shared" si="146"/>
        <v>2.9138619509412435E-3</v>
      </c>
      <c r="H75" s="66">
        <f t="shared" si="146"/>
        <v>3.3925006743997844E-3</v>
      </c>
      <c r="I75" s="66">
        <f t="shared" si="146"/>
        <v>3.778446591689107E-3</v>
      </c>
      <c r="J75" s="66">
        <f t="shared" si="146"/>
        <v>3.8049940546967895E-3</v>
      </c>
      <c r="K75" s="66">
        <f t="shared" si="146"/>
        <v>3.8834042951387264E-3</v>
      </c>
      <c r="L75" s="66">
        <f t="shared" si="146"/>
        <v>3.9738370763390202E-3</v>
      </c>
      <c r="M75" s="66">
        <f t="shared" si="146"/>
        <v>4.2549195372860371E-3</v>
      </c>
      <c r="N75" s="66">
        <f t="shared" si="146"/>
        <v>4.3173730184406338E-3</v>
      </c>
      <c r="O75" s="66">
        <f t="shared" si="146"/>
        <v>4.3766057125585612E-3</v>
      </c>
      <c r="P75" s="66">
        <f t="shared" si="146"/>
        <v>4.2505198604306915E-3</v>
      </c>
      <c r="Q75" s="66">
        <f t="shared" si="146"/>
        <v>4.0193471924148752E-3</v>
      </c>
      <c r="R75" s="66">
        <f t="shared" si="146"/>
        <v>3.8946833627207795E-3</v>
      </c>
      <c r="S75" s="66">
        <f t="shared" si="146"/>
        <v>3.7300504136144612E-3</v>
      </c>
      <c r="T75" s="66">
        <f t="shared" si="146"/>
        <v>3.5347223993267194E-3</v>
      </c>
      <c r="U75" s="66">
        <f t="shared" si="146"/>
        <v>3.4690806601858264E-3</v>
      </c>
      <c r="V75" s="66">
        <f t="shared" si="146"/>
        <v>3.2618333258698671E-3</v>
      </c>
      <c r="W75" s="66">
        <f t="shared" si="146"/>
        <v>3.1309352517985612E-3</v>
      </c>
      <c r="X75" s="66">
        <f t="shared" si="146"/>
        <v>2.9836071633184869E-3</v>
      </c>
      <c r="Y75" s="66">
        <f t="shared" si="146"/>
        <v>2.8930775196412315E-3</v>
      </c>
      <c r="Z75" s="66">
        <f t="shared" si="146"/>
        <v>3.0051184716150411E-3</v>
      </c>
      <c r="AA75" s="66">
        <f t="shared" si="146"/>
        <v>2.9326465483455575E-3</v>
      </c>
      <c r="AB75" s="66">
        <f t="shared" si="146"/>
        <v>2.7391846664937694E-3</v>
      </c>
      <c r="AC75" s="66">
        <f t="shared" si="146"/>
        <v>2.6611537531065119E-3</v>
      </c>
      <c r="AD75" s="66">
        <f t="shared" si="146"/>
        <v>2.615008331465656E-3</v>
      </c>
      <c r="AE75" s="66">
        <f t="shared" si="146"/>
        <v>2.6999534367276763E-3</v>
      </c>
      <c r="AF75" s="66">
        <f t="shared" si="146"/>
        <v>2.7144555529845446E-3</v>
      </c>
      <c r="AG75" s="66">
        <f t="shared" si="146"/>
        <v>2.8801665987595636E-3</v>
      </c>
      <c r="AH75" s="66">
        <f t="shared" si="146"/>
        <v>3.0780542986425341E-3</v>
      </c>
      <c r="AI75" s="66">
        <f t="shared" si="146"/>
        <v>3.0596263776611569E-3</v>
      </c>
      <c r="AJ75" s="66">
        <f t="shared" ref="AJ75:BO75" si="147">AJ23/(AJ$27*1000)</f>
        <v>3.2460947803405527E-3</v>
      </c>
      <c r="AK75" s="66">
        <f t="shared" si="147"/>
        <v>3.212151339409003E-3</v>
      </c>
      <c r="AL75" s="66">
        <f t="shared" si="147"/>
        <v>3.1694860151227542E-3</v>
      </c>
      <c r="AM75" s="66">
        <f t="shared" si="147"/>
        <v>2.923782000758969E-3</v>
      </c>
      <c r="AN75" s="66">
        <f t="shared" si="147"/>
        <v>2.9605692502261607E-3</v>
      </c>
      <c r="AO75" s="66">
        <f t="shared" si="147"/>
        <v>3.1201525746980294E-3</v>
      </c>
      <c r="AP75" s="66">
        <f t="shared" si="147"/>
        <v>3.5181986402819548E-3</v>
      </c>
      <c r="AQ75" s="66">
        <f t="shared" si="147"/>
        <v>3.2129359049288915E-3</v>
      </c>
      <c r="AR75" s="66">
        <f t="shared" si="147"/>
        <v>3.1306247301789952E-3</v>
      </c>
      <c r="AS75" s="66">
        <f t="shared" si="147"/>
        <v>2.9432132481520446E-3</v>
      </c>
      <c r="AT75" s="66">
        <f t="shared" si="147"/>
        <v>2.6794789975431274E-3</v>
      </c>
      <c r="AU75" s="66">
        <f t="shared" si="147"/>
        <v>2.8004137675167345E-3</v>
      </c>
      <c r="AV75" s="66">
        <f t="shared" si="147"/>
        <v>2.7485423365804741E-3</v>
      </c>
      <c r="AW75" s="66">
        <f t="shared" si="147"/>
        <v>2.1674430062256461E-3</v>
      </c>
      <c r="AX75" s="66">
        <f t="shared" si="147"/>
        <v>2.2467133457283383E-3</v>
      </c>
      <c r="AY75" s="66">
        <f t="shared" si="147"/>
        <v>2.3311085466896312E-3</v>
      </c>
      <c r="AZ75" s="66">
        <f t="shared" si="147"/>
        <v>2.6596742742186403E-3</v>
      </c>
      <c r="BA75" s="66">
        <f t="shared" si="147"/>
        <v>2.5595456591751219E-3</v>
      </c>
      <c r="BB75" s="66">
        <f t="shared" si="147"/>
        <v>2.7694558350881081E-3</v>
      </c>
      <c r="BC75" s="66">
        <f t="shared" si="147"/>
        <v>2.6012549440180238E-3</v>
      </c>
      <c r="BD75" s="66">
        <f t="shared" si="147"/>
        <v>2.5823309280799379E-3</v>
      </c>
      <c r="BE75" s="66">
        <f t="shared" si="147"/>
        <v>2.514748748785451E-3</v>
      </c>
      <c r="BF75" s="66">
        <f t="shared" si="147"/>
        <v>2.840750417238276E-3</v>
      </c>
      <c r="BG75" s="66">
        <f t="shared" si="147"/>
        <v>2.765842771046678E-3</v>
      </c>
      <c r="BH75" s="66">
        <f t="shared" si="147"/>
        <v>3.3372502125482988E-3</v>
      </c>
      <c r="BI75" s="66">
        <f t="shared" si="147"/>
        <v>3.170097551799199E-3</v>
      </c>
      <c r="BJ75" s="66">
        <f t="shared" si="147"/>
        <v>2.8806729371982395E-3</v>
      </c>
      <c r="BK75" s="66">
        <f t="shared" si="147"/>
        <v>2.8286546540301719E-3</v>
      </c>
      <c r="BL75" s="66">
        <f t="shared" si="147"/>
        <v>3.2075576282638036E-3</v>
      </c>
      <c r="BM75" s="66">
        <f t="shared" si="147"/>
        <v>3.2234150595876775E-3</v>
      </c>
      <c r="BN75" s="66">
        <f t="shared" si="147"/>
        <v>3.1290033995348006E-3</v>
      </c>
      <c r="BO75" s="66">
        <f t="shared" si="147"/>
        <v>3.315644140102702E-3</v>
      </c>
      <c r="BP75" s="66">
        <f t="shared" ref="BP75:BV75" si="148">BP23/(BP$27*1000)</f>
        <v>3.3504213510329585E-3</v>
      </c>
      <c r="BQ75" s="66">
        <f t="shared" si="148"/>
        <v>3.4227778233121659E-3</v>
      </c>
      <c r="BR75" s="66">
        <f t="shared" si="148"/>
        <v>3.5525917086932112E-3</v>
      </c>
      <c r="BS75" s="66">
        <f t="shared" si="148"/>
        <v>3.7842471174671E-3</v>
      </c>
      <c r="BT75" s="66">
        <f t="shared" si="148"/>
        <v>3.6421294007053084E-3</v>
      </c>
      <c r="BU75" s="66">
        <f t="shared" si="148"/>
        <v>3.6037123433555109E-3</v>
      </c>
      <c r="BV75" s="66">
        <f t="shared" si="148"/>
        <v>3.5455478493453176E-3</v>
      </c>
    </row>
    <row r="76" spans="1:74" s="63" customFormat="1" x14ac:dyDescent="0.25">
      <c r="A76" s="63" t="s">
        <v>319</v>
      </c>
      <c r="B76" s="63" t="s">
        <v>244</v>
      </c>
      <c r="C76" s="64" t="s">
        <v>317</v>
      </c>
      <c r="D76" s="66">
        <f t="shared" ref="D76:AI76" si="149">D24/(D$27*1000)</f>
        <v>1.2092658029053789E-3</v>
      </c>
      <c r="E76" s="66">
        <f t="shared" si="149"/>
        <v>1.3457316285677386E-3</v>
      </c>
      <c r="F76" s="66">
        <f t="shared" si="149"/>
        <v>1.4643450439918784E-3</v>
      </c>
      <c r="G76" s="66">
        <f t="shared" si="149"/>
        <v>1.9007415858528238E-3</v>
      </c>
      <c r="H76" s="66">
        <f t="shared" si="149"/>
        <v>2.2400863231723765E-3</v>
      </c>
      <c r="I76" s="66">
        <f t="shared" si="149"/>
        <v>2.5069961455198267E-3</v>
      </c>
      <c r="J76" s="66">
        <f t="shared" si="149"/>
        <v>2.4455013872374158E-3</v>
      </c>
      <c r="K76" s="66">
        <f t="shared" si="149"/>
        <v>2.3562438590745334E-3</v>
      </c>
      <c r="L76" s="66">
        <f t="shared" si="149"/>
        <v>2.2595252252664319E-3</v>
      </c>
      <c r="M76" s="66">
        <f t="shared" si="149"/>
        <v>2.5935885943569386E-3</v>
      </c>
      <c r="N76" s="66">
        <f t="shared" si="149"/>
        <v>2.4927208023293431E-3</v>
      </c>
      <c r="O76" s="66">
        <f t="shared" si="149"/>
        <v>2.5132235151881519E-3</v>
      </c>
      <c r="P76" s="66">
        <f t="shared" si="149"/>
        <v>2.4530363373629861E-3</v>
      </c>
      <c r="Q76" s="66">
        <f t="shared" si="149"/>
        <v>2.495915948621032E-3</v>
      </c>
      <c r="R76" s="66">
        <f t="shared" si="149"/>
        <v>2.4219240309614177E-3</v>
      </c>
      <c r="S76" s="66">
        <f t="shared" si="149"/>
        <v>2.5412918140545358E-3</v>
      </c>
      <c r="T76" s="66">
        <f t="shared" si="149"/>
        <v>2.5411236642778811E-3</v>
      </c>
      <c r="U76" s="66">
        <f t="shared" si="149"/>
        <v>2.5079418157498744E-3</v>
      </c>
      <c r="V76" s="66">
        <f t="shared" si="149"/>
        <v>2.4253280193453049E-3</v>
      </c>
      <c r="W76" s="66">
        <f t="shared" si="149"/>
        <v>2.3301130524152106E-3</v>
      </c>
      <c r="X76" s="66">
        <f t="shared" si="149"/>
        <v>2.3042377423349164E-3</v>
      </c>
      <c r="Y76" s="66">
        <f t="shared" si="149"/>
        <v>2.4162929493880027E-3</v>
      </c>
      <c r="Z76" s="66">
        <f t="shared" si="149"/>
        <v>2.354808096208597E-3</v>
      </c>
      <c r="AA76" s="66">
        <f t="shared" si="149"/>
        <v>2.3985219192654388E-3</v>
      </c>
      <c r="AB76" s="66">
        <f t="shared" si="149"/>
        <v>2.3434972151210897E-3</v>
      </c>
      <c r="AC76" s="66">
        <f t="shared" si="149"/>
        <v>2.3664474697046339E-3</v>
      </c>
      <c r="AD76" s="66">
        <f t="shared" si="149"/>
        <v>2.4411681591845883E-3</v>
      </c>
      <c r="AE76" s="66">
        <f t="shared" si="149"/>
        <v>2.5939324474372289E-3</v>
      </c>
      <c r="AF76" s="66">
        <f t="shared" si="149"/>
        <v>2.9190370943676246E-3</v>
      </c>
      <c r="AG76" s="66">
        <f t="shared" si="149"/>
        <v>3.0992801847073204E-3</v>
      </c>
      <c r="AH76" s="66">
        <f t="shared" si="149"/>
        <v>3.2005090497737557E-3</v>
      </c>
      <c r="AI76" s="66">
        <f t="shared" si="149"/>
        <v>3.2166211930339879E-3</v>
      </c>
      <c r="AJ76" s="66">
        <f t="shared" ref="AJ76:BO76" si="150">AJ24/(AJ$27*1000)</f>
        <v>3.3448023211511972E-3</v>
      </c>
      <c r="AK76" s="66">
        <f t="shared" si="150"/>
        <v>3.6816349074841204E-3</v>
      </c>
      <c r="AL76" s="66">
        <f t="shared" si="150"/>
        <v>3.5468207607521527E-3</v>
      </c>
      <c r="AM76" s="66">
        <f t="shared" si="150"/>
        <v>3.5940099833610649E-3</v>
      </c>
      <c r="AN76" s="66">
        <f t="shared" si="150"/>
        <v>3.630455427185209E-3</v>
      </c>
      <c r="AO76" s="66">
        <f t="shared" si="150"/>
        <v>3.5361729179911E-3</v>
      </c>
      <c r="AP76" s="66">
        <f t="shared" si="150"/>
        <v>3.9508138203810002E-3</v>
      </c>
      <c r="AQ76" s="66">
        <f t="shared" si="150"/>
        <v>3.7309955191895576E-3</v>
      </c>
      <c r="AR76" s="66">
        <f t="shared" si="150"/>
        <v>3.3673661411076222E-3</v>
      </c>
      <c r="AS76" s="66">
        <f t="shared" si="150"/>
        <v>3.1212858008736423E-3</v>
      </c>
      <c r="AT76" s="66">
        <f t="shared" si="150"/>
        <v>3.561836801502561E-3</v>
      </c>
      <c r="AU76" s="66">
        <f t="shared" si="150"/>
        <v>3.6240500797036974E-3</v>
      </c>
      <c r="AV76" s="66">
        <f t="shared" si="150"/>
        <v>3.9820021831671309E-3</v>
      </c>
      <c r="AW76" s="66">
        <f t="shared" si="150"/>
        <v>3.7844314059210819E-3</v>
      </c>
      <c r="AX76" s="66">
        <f t="shared" si="150"/>
        <v>4.0543797882300198E-3</v>
      </c>
      <c r="AY76" s="66">
        <f t="shared" si="150"/>
        <v>4.1125522940177869E-3</v>
      </c>
      <c r="AZ76" s="66">
        <f t="shared" si="150"/>
        <v>4.3699602640198182E-3</v>
      </c>
      <c r="BA76" s="66">
        <f t="shared" si="150"/>
        <v>2.9744548718126304E-3</v>
      </c>
      <c r="BB76" s="66">
        <f t="shared" si="150"/>
        <v>3.4918763160811262E-3</v>
      </c>
      <c r="BC76" s="66">
        <f t="shared" si="150"/>
        <v>3.945653732720618E-3</v>
      </c>
      <c r="BD76" s="66">
        <f t="shared" si="150"/>
        <v>3.6943290277610115E-3</v>
      </c>
      <c r="BE76" s="66">
        <f t="shared" si="150"/>
        <v>3.9041560489119476E-3</v>
      </c>
      <c r="BF76" s="66">
        <f t="shared" si="150"/>
        <v>4.0235925307795144E-3</v>
      </c>
      <c r="BG76" s="66">
        <f t="shared" si="150"/>
        <v>3.4367412728959234E-3</v>
      </c>
      <c r="BH76" s="66">
        <f t="shared" si="150"/>
        <v>2.9372446828364656E-3</v>
      </c>
      <c r="BI76" s="66">
        <f t="shared" si="150"/>
        <v>3.2943887560130071E-3</v>
      </c>
      <c r="BJ76" s="66">
        <f t="shared" si="150"/>
        <v>3.3719920925999861E-3</v>
      </c>
      <c r="BK76" s="66">
        <f t="shared" si="150"/>
        <v>3.5273760547008971E-3</v>
      </c>
      <c r="BL76" s="66">
        <f t="shared" si="150"/>
        <v>3.3496376838733741E-3</v>
      </c>
      <c r="BM76" s="66">
        <f t="shared" si="150"/>
        <v>3.3502217682937325E-3</v>
      </c>
      <c r="BN76" s="66">
        <f t="shared" si="150"/>
        <v>3.4467704419395241E-3</v>
      </c>
      <c r="BO76" s="66">
        <f t="shared" si="150"/>
        <v>3.805630769272034E-3</v>
      </c>
      <c r="BP76" s="66">
        <f t="shared" ref="BP76:BV76" si="151">BP24/(BP$27*1000)</f>
        <v>3.7647143832249259E-3</v>
      </c>
      <c r="BQ76" s="66">
        <f t="shared" si="151"/>
        <v>3.7401049356966089E-3</v>
      </c>
      <c r="BR76" s="66">
        <f t="shared" si="151"/>
        <v>4.0811513589822492E-3</v>
      </c>
      <c r="BS76" s="66">
        <f t="shared" si="151"/>
        <v>4.1600874287208512E-3</v>
      </c>
      <c r="BT76" s="66">
        <f t="shared" si="151"/>
        <v>4.4360739649954087E-3</v>
      </c>
      <c r="BU76" s="66">
        <f t="shared" si="151"/>
        <v>4.5445540965393461E-3</v>
      </c>
      <c r="BV76" s="66">
        <f t="shared" si="151"/>
        <v>4.5002478956313657E-3</v>
      </c>
    </row>
    <row r="77" spans="1:74" s="63" customFormat="1" x14ac:dyDescent="0.25">
      <c r="A77" s="63" t="s">
        <v>319</v>
      </c>
      <c r="B77" s="63" t="s">
        <v>244</v>
      </c>
      <c r="C77" s="64" t="s">
        <v>318</v>
      </c>
      <c r="D77" s="66">
        <f t="shared" ref="D77:AI77" si="152">D25/(D$27*1000)</f>
        <v>1.6489988221436984E-4</v>
      </c>
      <c r="E77" s="66">
        <f t="shared" si="152"/>
        <v>1.7822549399457575E-4</v>
      </c>
      <c r="F77" s="66">
        <f t="shared" si="152"/>
        <v>1.8704239217375254E-4</v>
      </c>
      <c r="G77" s="66">
        <f t="shared" si="152"/>
        <v>1.9851682829435255E-4</v>
      </c>
      <c r="H77" s="66">
        <f t="shared" si="152"/>
        <v>2.2012408956029135E-4</v>
      </c>
      <c r="I77" s="66">
        <f t="shared" si="152"/>
        <v>2.4710913987010928E-4</v>
      </c>
      <c r="J77" s="66">
        <f t="shared" si="152"/>
        <v>2.6159334126040428E-4</v>
      </c>
      <c r="K77" s="66">
        <f t="shared" si="152"/>
        <v>2.7137042062415199E-4</v>
      </c>
      <c r="L77" s="66">
        <f t="shared" si="152"/>
        <v>3.0919818872066963E-4</v>
      </c>
      <c r="M77" s="66">
        <f t="shared" si="152"/>
        <v>3.3294916122422844E-4</v>
      </c>
      <c r="N77" s="66">
        <f t="shared" si="152"/>
        <v>3.5587188612099647E-4</v>
      </c>
      <c r="O77" s="66">
        <f t="shared" si="152"/>
        <v>3.5665709536043523E-4</v>
      </c>
      <c r="P77" s="66">
        <f t="shared" si="152"/>
        <v>3.6372607760899446E-4</v>
      </c>
      <c r="Q77" s="66">
        <f t="shared" si="152"/>
        <v>3.6516224094301547E-4</v>
      </c>
      <c r="R77" s="66">
        <f t="shared" si="152"/>
        <v>3.7297151908191628E-4</v>
      </c>
      <c r="S77" s="66">
        <f t="shared" si="152"/>
        <v>3.7879842910063227E-4</v>
      </c>
      <c r="T77" s="66">
        <f t="shared" si="152"/>
        <v>3.8458595802198363E-4</v>
      </c>
      <c r="U77" s="66">
        <f t="shared" si="152"/>
        <v>4.0318150333197984E-4</v>
      </c>
      <c r="V77" s="66">
        <f t="shared" si="152"/>
        <v>4.1646142134252833E-4</v>
      </c>
      <c r="W77" s="66">
        <f t="shared" si="152"/>
        <v>4.0698869475847894E-4</v>
      </c>
      <c r="X77" s="66">
        <f t="shared" si="152"/>
        <v>3.8662699366094367E-4</v>
      </c>
      <c r="Y77" s="66">
        <f t="shared" si="152"/>
        <v>3.884411774623192E-4</v>
      </c>
      <c r="Z77" s="66">
        <f t="shared" si="152"/>
        <v>3.9392006471988426E-4</v>
      </c>
      <c r="AA77" s="66">
        <f t="shared" si="152"/>
        <v>3.8575667655786351E-4</v>
      </c>
      <c r="AB77" s="66">
        <f t="shared" si="152"/>
        <v>3.8136168846405593E-4</v>
      </c>
      <c r="AC77" s="66">
        <f t="shared" si="152"/>
        <v>3.8355802854692209E-4</v>
      </c>
      <c r="AD77" s="66">
        <f t="shared" si="152"/>
        <v>3.7730333356070277E-4</v>
      </c>
      <c r="AE77" s="66">
        <f t="shared" si="152"/>
        <v>3.8611698126723737E-4</v>
      </c>
      <c r="AF77" s="66">
        <f t="shared" si="152"/>
        <v>3.8714104477016492E-4</v>
      </c>
      <c r="AG77" s="66">
        <f t="shared" si="152"/>
        <v>4.1076252131528511E-4</v>
      </c>
      <c r="AH77" s="66">
        <f t="shared" si="152"/>
        <v>4.2618778280542987E-4</v>
      </c>
      <c r="AI77" s="66">
        <f t="shared" si="152"/>
        <v>4.2363278406249409E-4</v>
      </c>
      <c r="AJ77" s="66">
        <f t="shared" ref="AJ77:BO77" si="153">AJ25/(AJ$27*1000)</f>
        <v>4.4500454265701474E-4</v>
      </c>
      <c r="AK77" s="66">
        <f t="shared" si="153"/>
        <v>4.7765810549571942E-4</v>
      </c>
      <c r="AL77" s="66">
        <f t="shared" si="153"/>
        <v>5.0716810168531664E-4</v>
      </c>
      <c r="AM77" s="66">
        <f t="shared" si="153"/>
        <v>5.2602387833143593E-4</v>
      </c>
      <c r="AN77" s="66">
        <f t="shared" si="153"/>
        <v>5.4476634546575628E-4</v>
      </c>
      <c r="AO77" s="66">
        <f t="shared" si="153"/>
        <v>5.7029031574486124E-4</v>
      </c>
      <c r="AP77" s="66">
        <f t="shared" si="153"/>
        <v>6.0116441756555489E-4</v>
      </c>
      <c r="AQ77" s="66">
        <f t="shared" si="153"/>
        <v>6.0549386323787259E-4</v>
      </c>
      <c r="AR77" s="66">
        <f t="shared" si="153"/>
        <v>6.0808891086405444E-4</v>
      </c>
      <c r="AS77" s="66">
        <f t="shared" si="153"/>
        <v>6.1419703630422821E-4</v>
      </c>
      <c r="AT77" s="66">
        <f t="shared" si="153"/>
        <v>6.2258404785445263E-4</v>
      </c>
      <c r="AU77" s="66">
        <f t="shared" si="153"/>
        <v>6.386356990815996E-4</v>
      </c>
      <c r="AV77" s="66">
        <f t="shared" si="153"/>
        <v>6.3104771314722175E-4</v>
      </c>
      <c r="AW77" s="66">
        <f t="shared" si="153"/>
        <v>6.3387378510323825E-4</v>
      </c>
      <c r="AX77" s="66">
        <f t="shared" si="153"/>
        <v>6.4570064744122262E-4</v>
      </c>
      <c r="AY77" s="66">
        <f t="shared" si="153"/>
        <v>6.8152109181754612E-4</v>
      </c>
      <c r="AZ77" s="66">
        <f t="shared" si="153"/>
        <v>7.2356060983922723E-4</v>
      </c>
      <c r="BA77" s="66">
        <f t="shared" si="153"/>
        <v>7.8890928189678062E-4</v>
      </c>
      <c r="BB77" s="66">
        <f t="shared" si="153"/>
        <v>8.3058849606561008E-4</v>
      </c>
      <c r="BC77" s="66">
        <f t="shared" si="153"/>
        <v>7.97444386941765E-4</v>
      </c>
      <c r="BD77" s="66">
        <f t="shared" si="153"/>
        <v>7.9626478296255046E-4</v>
      </c>
      <c r="BE77" s="66">
        <f t="shared" si="153"/>
        <v>7.952041358828167E-4</v>
      </c>
      <c r="BF77" s="66">
        <f t="shared" si="153"/>
        <v>8.2752112405302199E-4</v>
      </c>
      <c r="BG77" s="66">
        <f t="shared" si="153"/>
        <v>8.8223119201571987E-4</v>
      </c>
      <c r="BH77" s="66">
        <f t="shared" si="153"/>
        <v>9.4122607535614806E-4</v>
      </c>
      <c r="BI77" s="66">
        <f t="shared" si="153"/>
        <v>9.335277202977614E-4</v>
      </c>
      <c r="BJ77" s="66">
        <f t="shared" si="153"/>
        <v>9.2237913817098537E-4</v>
      </c>
      <c r="BK77" s="66">
        <f t="shared" si="153"/>
        <v>9.1455778216789239E-4</v>
      </c>
      <c r="BL77" s="66">
        <f t="shared" si="153"/>
        <v>9.3937028753084204E-4</v>
      </c>
      <c r="BM77" s="66">
        <f t="shared" si="153"/>
        <v>9.5105031529541374E-4</v>
      </c>
      <c r="BN77" s="66">
        <f t="shared" si="153"/>
        <v>9.9382027884443351E-4</v>
      </c>
      <c r="BO77" s="66">
        <f t="shared" si="153"/>
        <v>8.5315823848358414E-4</v>
      </c>
      <c r="BP77" s="66">
        <f t="shared" ref="BP77:BV77" si="154">BP25/(BP$27*1000)</f>
        <v>8.7080503788998032E-4</v>
      </c>
      <c r="BQ77" s="66">
        <f t="shared" si="154"/>
        <v>8.7642959289402573E-4</v>
      </c>
      <c r="BR77" s="66">
        <f t="shared" si="154"/>
        <v>8.8080747340406795E-4</v>
      </c>
      <c r="BS77" s="66">
        <f t="shared" si="154"/>
        <v>9.4004636442626666E-4</v>
      </c>
      <c r="BT77" s="66">
        <f t="shared" si="154"/>
        <v>8.9462216015605896E-4</v>
      </c>
      <c r="BU77" s="66">
        <f t="shared" si="154"/>
        <v>8.9005322802029581E-4</v>
      </c>
      <c r="BV77" s="66">
        <f t="shared" si="154"/>
        <v>8.7519049544366003E-4</v>
      </c>
    </row>
    <row r="78" spans="1:74" s="63" customFormat="1" x14ac:dyDescent="0.25">
      <c r="A78" s="63" t="s">
        <v>319</v>
      </c>
      <c r="B78" s="63" t="s">
        <v>244</v>
      </c>
      <c r="C78" s="64" t="s">
        <v>237</v>
      </c>
      <c r="D78" s="66">
        <f t="shared" ref="D78:AI78" si="155">D26/(D$27*1000)</f>
        <v>3.5047768616673211E-3</v>
      </c>
      <c r="E78" s="66">
        <f t="shared" si="155"/>
        <v>3.6962417667570709E-3</v>
      </c>
      <c r="F78" s="66">
        <f t="shared" si="155"/>
        <v>3.8294468713468283E-3</v>
      </c>
      <c r="G78" s="66">
        <f t="shared" si="155"/>
        <v>4.5339418140330863E-3</v>
      </c>
      <c r="H78" s="66">
        <f t="shared" si="155"/>
        <v>5.3477205287294311E-3</v>
      </c>
      <c r="I78" s="66">
        <f t="shared" si="155"/>
        <v>5.9791963672844398E-3</v>
      </c>
      <c r="J78" s="66">
        <f t="shared" si="155"/>
        <v>5.9770114942528738E-3</v>
      </c>
      <c r="K78" s="66">
        <f t="shared" si="155"/>
        <v>5.8840593271885086E-3</v>
      </c>
      <c r="L78" s="66">
        <f t="shared" si="155"/>
        <v>5.8747655856927232E-3</v>
      </c>
      <c r="M78" s="66">
        <f t="shared" si="155"/>
        <v>6.4831177700943356E-3</v>
      </c>
      <c r="N78" s="66">
        <f t="shared" si="155"/>
        <v>6.4202523455192491E-3</v>
      </c>
      <c r="O78" s="66">
        <f t="shared" si="155"/>
        <v>6.5150370258425265E-3</v>
      </c>
      <c r="P78" s="66">
        <f t="shared" si="155"/>
        <v>6.3426497021816519E-3</v>
      </c>
      <c r="Q78" s="66">
        <f t="shared" si="155"/>
        <v>6.1385694609052176E-3</v>
      </c>
      <c r="R78" s="66">
        <f t="shared" si="155"/>
        <v>5.9651534622396224E-3</v>
      </c>
      <c r="S78" s="66">
        <f t="shared" si="155"/>
        <v>5.8869732334345323E-3</v>
      </c>
      <c r="T78" s="66">
        <f t="shared" si="155"/>
        <v>5.7239040065287803E-3</v>
      </c>
      <c r="U78" s="66">
        <f t="shared" si="155"/>
        <v>5.6560059235197168E-3</v>
      </c>
      <c r="V78" s="66">
        <f t="shared" si="155"/>
        <v>5.3871299986565759E-3</v>
      </c>
      <c r="W78" s="66">
        <f t="shared" si="155"/>
        <v>5.2226104830421375E-3</v>
      </c>
      <c r="X78" s="66">
        <f t="shared" si="155"/>
        <v>5.0919440388844739E-3</v>
      </c>
      <c r="Y78" s="66">
        <f t="shared" si="155"/>
        <v>5.1272886670937724E-3</v>
      </c>
      <c r="Z78" s="66">
        <f t="shared" si="155"/>
        <v>5.2248860401076591E-3</v>
      </c>
      <c r="AA78" s="66">
        <f t="shared" si="155"/>
        <v>5.2186327753205308E-3</v>
      </c>
      <c r="AB78" s="66">
        <f t="shared" si="155"/>
        <v>4.958195941857162E-3</v>
      </c>
      <c r="AC78" s="66">
        <f t="shared" si="155"/>
        <v>4.8886054234753345E-3</v>
      </c>
      <c r="AD78" s="66">
        <f t="shared" si="155"/>
        <v>4.8842851992243457E-3</v>
      </c>
      <c r="AE78" s="66">
        <f t="shared" si="155"/>
        <v>5.0865002328163616E-3</v>
      </c>
      <c r="AF78" s="66">
        <f t="shared" si="155"/>
        <v>5.3810371103256227E-3</v>
      </c>
      <c r="AG78" s="66">
        <f t="shared" si="155"/>
        <v>5.6716012494906964E-3</v>
      </c>
      <c r="AH78" s="66">
        <f t="shared" si="155"/>
        <v>5.9145927601809952E-3</v>
      </c>
      <c r="AI78" s="66">
        <f t="shared" si="155"/>
        <v>5.8551469610741485E-3</v>
      </c>
      <c r="AJ78" s="66">
        <f t="shared" ref="AJ78:BO78" si="156">AJ26/(AJ$27*1000)</f>
        <v>6.1273702412004338E-3</v>
      </c>
      <c r="AK78" s="66">
        <f t="shared" si="156"/>
        <v>6.196741231703949E-3</v>
      </c>
      <c r="AL78" s="66">
        <f t="shared" si="156"/>
        <v>6.0522479628328423E-3</v>
      </c>
      <c r="AM78" s="66">
        <f t="shared" si="156"/>
        <v>5.945646145313367E-3</v>
      </c>
      <c r="AN78" s="66">
        <f t="shared" si="156"/>
        <v>6.0158335096112733E-3</v>
      </c>
      <c r="AO78" s="66">
        <f t="shared" si="156"/>
        <v>6.12638270820089E-3</v>
      </c>
      <c r="AP78" s="66">
        <f t="shared" si="156"/>
        <v>6.5558596298317378E-3</v>
      </c>
      <c r="AQ78" s="66">
        <f t="shared" si="156"/>
        <v>6.1291252678745377E-3</v>
      </c>
      <c r="AR78" s="66">
        <f t="shared" si="156"/>
        <v>5.7212015659765395E-3</v>
      </c>
      <c r="AS78" s="66">
        <f t="shared" si="156"/>
        <v>5.320440025916663E-3</v>
      </c>
      <c r="AT78" s="66">
        <f t="shared" si="156"/>
        <v>5.6344716070855809E-3</v>
      </c>
      <c r="AU78" s="66">
        <f t="shared" si="156"/>
        <v>5.648869842447642E-3</v>
      </c>
      <c r="AV78" s="66">
        <f t="shared" si="156"/>
        <v>5.7132714670705626E-3</v>
      </c>
      <c r="AW78" s="66">
        <f t="shared" si="156"/>
        <v>5.3799211716755498E-3</v>
      </c>
      <c r="AX78" s="66">
        <f t="shared" si="156"/>
        <v>5.6722707913023987E-3</v>
      </c>
      <c r="AY78" s="66">
        <f t="shared" si="156"/>
        <v>5.7980196845432101E-3</v>
      </c>
      <c r="AZ78" s="66">
        <f t="shared" si="156"/>
        <v>6.3030337577696547E-3</v>
      </c>
      <c r="BA78" s="66">
        <f t="shared" si="156"/>
        <v>4.9144532557629482E-3</v>
      </c>
      <c r="BB78" s="66">
        <f t="shared" si="156"/>
        <v>5.6801507259226424E-3</v>
      </c>
      <c r="BC78" s="66">
        <f t="shared" si="156"/>
        <v>5.9992060473420252E-3</v>
      </c>
      <c r="BD78" s="66">
        <f t="shared" si="156"/>
        <v>5.6719068220670637E-3</v>
      </c>
      <c r="BE78" s="66">
        <f t="shared" si="156"/>
        <v>5.871120318257649E-3</v>
      </c>
      <c r="BF78" s="66">
        <f t="shared" si="156"/>
        <v>6.229546586510315E-3</v>
      </c>
      <c r="BG78" s="66">
        <f t="shared" si="156"/>
        <v>5.4791733897878395E-3</v>
      </c>
      <c r="BH78" s="66">
        <f t="shared" si="156"/>
        <v>5.4665348752013163E-3</v>
      </c>
      <c r="BI78" s="66">
        <f t="shared" si="156"/>
        <v>5.6739270645776788E-3</v>
      </c>
      <c r="BJ78" s="66">
        <f t="shared" si="156"/>
        <v>5.6492974342976206E-3</v>
      </c>
      <c r="BK78" s="66">
        <f t="shared" si="156"/>
        <v>5.735524390224977E-3</v>
      </c>
      <c r="BL78" s="66">
        <f t="shared" si="156"/>
        <v>5.6366411939278898E-3</v>
      </c>
      <c r="BM78" s="66">
        <f t="shared" si="156"/>
        <v>5.6187421463039572E-3</v>
      </c>
      <c r="BN78" s="66">
        <f t="shared" si="156"/>
        <v>5.71507218850214E-3</v>
      </c>
      <c r="BO78" s="66">
        <f t="shared" si="156"/>
        <v>6.3774436634734923E-3</v>
      </c>
      <c r="BP78" s="66">
        <f t="shared" ref="BP78:BV78" si="157">BP26/(BP$27*1000)</f>
        <v>6.3330008632180093E-3</v>
      </c>
      <c r="BQ78" s="66">
        <f t="shared" si="157"/>
        <v>6.2450073582212065E-3</v>
      </c>
      <c r="BR78" s="66">
        <f t="shared" si="157"/>
        <v>6.5466512262668452E-3</v>
      </c>
      <c r="BS78" s="66">
        <f t="shared" si="157"/>
        <v>6.6120315334383195E-3</v>
      </c>
      <c r="BT78" s="66">
        <f t="shared" si="157"/>
        <v>6.6183782256443134E-3</v>
      </c>
      <c r="BU78" s="66">
        <f t="shared" si="157"/>
        <v>6.6623101920930969E-3</v>
      </c>
      <c r="BV78" s="66">
        <f t="shared" si="157"/>
        <v>6.5565192892073007E-3</v>
      </c>
    </row>
    <row r="82" spans="68:77" s="44" customFormat="1" x14ac:dyDescent="0.25">
      <c r="BP82" s="45"/>
      <c r="BQ82" s="45"/>
      <c r="BR82" s="45"/>
      <c r="BS82" s="45"/>
      <c r="BT82" s="45"/>
      <c r="BU82" s="45"/>
      <c r="BV82" s="45"/>
      <c r="BW82" s="45"/>
      <c r="BX82" s="45"/>
      <c r="BY82" s="45"/>
    </row>
    <row r="83" spans="68:77" s="44" customFormat="1" x14ac:dyDescent="0.25">
      <c r="BP83" s="45"/>
      <c r="BQ83" s="45"/>
      <c r="BR83" s="45"/>
      <c r="BS83" s="45"/>
      <c r="BT83" s="45"/>
      <c r="BU83" s="45"/>
      <c r="BV83" s="45"/>
      <c r="BW83" s="45"/>
      <c r="BX83" s="45"/>
      <c r="BY83" s="45"/>
    </row>
    <row r="84" spans="68:77" s="44" customFormat="1" x14ac:dyDescent="0.25"/>
    <row r="85" spans="68:77" s="44" customForma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22EC-35A7-4DD4-BF33-41E233E51B31}">
  <dimension ref="A1:P573"/>
  <sheetViews>
    <sheetView workbookViewId="0">
      <pane xSplit="2" ySplit="1" topLeftCell="C2" activePane="bottomRight" state="frozen"/>
      <selection pane="topRight" activeCell="C1" sqref="C1"/>
      <selection pane="bottomLeft" activeCell="A2" sqref="A2"/>
      <selection pane="bottomRight" activeCell="C12" sqref="C12"/>
    </sheetView>
  </sheetViews>
  <sheetFormatPr defaultRowHeight="14.5" x14ac:dyDescent="0.35"/>
  <cols>
    <col min="1" max="3" width="26.08984375" customWidth="1"/>
    <col min="16" max="16" width="8.7265625" customWidth="1"/>
  </cols>
  <sheetData>
    <row r="1" spans="1:14" ht="31.5" customHeight="1" x14ac:dyDescent="0.35">
      <c r="A1" s="15" t="s">
        <v>58</v>
      </c>
      <c r="B1" s="15" t="s">
        <v>246</v>
      </c>
      <c r="C1" s="15" t="s">
        <v>85</v>
      </c>
      <c r="D1" s="4" t="s">
        <v>122</v>
      </c>
      <c r="E1" s="4" t="s">
        <v>123</v>
      </c>
      <c r="F1" s="4" t="s">
        <v>124</v>
      </c>
      <c r="G1" s="4" t="s">
        <v>125</v>
      </c>
      <c r="H1" s="4" t="s">
        <v>126</v>
      </c>
      <c r="I1" s="4" t="s">
        <v>127</v>
      </c>
      <c r="J1" s="4" t="s">
        <v>128</v>
      </c>
      <c r="K1" s="4" t="s">
        <v>129</v>
      </c>
      <c r="L1" s="4" t="s">
        <v>130</v>
      </c>
      <c r="M1" s="4" t="s">
        <v>131</v>
      </c>
      <c r="N1" s="5" t="s">
        <v>132</v>
      </c>
    </row>
    <row r="2" spans="1:14" x14ac:dyDescent="0.35">
      <c r="A2" s="10" t="s">
        <v>133</v>
      </c>
      <c r="B2" s="10"/>
      <c r="C2" s="10">
        <v>1</v>
      </c>
      <c r="D2" s="6">
        <v>2660820</v>
      </c>
      <c r="E2" s="6">
        <v>28239</v>
      </c>
      <c r="F2" s="6">
        <v>37974</v>
      </c>
      <c r="G2" s="6">
        <v>2038836</v>
      </c>
      <c r="H2" s="6">
        <v>9780</v>
      </c>
      <c r="I2" s="6">
        <v>114525</v>
      </c>
      <c r="J2" s="6">
        <v>13117</v>
      </c>
      <c r="K2" s="6">
        <v>187251</v>
      </c>
      <c r="L2" s="6">
        <v>107421</v>
      </c>
      <c r="M2" s="6">
        <v>123677</v>
      </c>
      <c r="N2" s="8">
        <v>2021</v>
      </c>
    </row>
    <row r="3" spans="1:14" x14ac:dyDescent="0.35">
      <c r="A3" s="10" t="s">
        <v>133</v>
      </c>
      <c r="B3" s="16" t="s">
        <v>134</v>
      </c>
      <c r="C3" s="10">
        <v>1</v>
      </c>
      <c r="D3" s="6">
        <v>6663</v>
      </c>
      <c r="E3" s="6">
        <v>0</v>
      </c>
      <c r="F3" s="6">
        <v>0</v>
      </c>
      <c r="G3" s="6">
        <v>6663</v>
      </c>
      <c r="H3" s="6">
        <v>0</v>
      </c>
      <c r="I3" s="6">
        <v>0</v>
      </c>
      <c r="J3" s="6">
        <v>0</v>
      </c>
      <c r="K3" s="6">
        <v>0</v>
      </c>
      <c r="L3" s="6">
        <v>0</v>
      </c>
      <c r="M3" s="6">
        <v>0</v>
      </c>
      <c r="N3">
        <v>2021</v>
      </c>
    </row>
    <row r="4" spans="1:14" x14ac:dyDescent="0.35">
      <c r="A4" s="10" t="s">
        <v>133</v>
      </c>
      <c r="B4" s="16" t="s">
        <v>135</v>
      </c>
      <c r="C4" s="10">
        <v>1</v>
      </c>
      <c r="D4" s="6">
        <v>1359363</v>
      </c>
      <c r="E4" s="6">
        <v>1767</v>
      </c>
      <c r="F4" s="6">
        <v>5981</v>
      </c>
      <c r="G4" s="6">
        <v>1248847</v>
      </c>
      <c r="H4" s="6">
        <v>0</v>
      </c>
      <c r="I4" s="6">
        <v>87271</v>
      </c>
      <c r="J4" s="6">
        <v>0</v>
      </c>
      <c r="K4" s="6">
        <v>3262</v>
      </c>
      <c r="L4" s="6">
        <v>12234</v>
      </c>
      <c r="M4" s="6">
        <v>0</v>
      </c>
      <c r="N4" s="8">
        <v>2021</v>
      </c>
    </row>
    <row r="5" spans="1:14" ht="21.5" x14ac:dyDescent="0.35">
      <c r="A5" s="10" t="s">
        <v>133</v>
      </c>
      <c r="B5" s="16" t="s">
        <v>136</v>
      </c>
      <c r="C5" s="10">
        <v>1</v>
      </c>
      <c r="D5" s="6">
        <v>21101</v>
      </c>
      <c r="E5" s="6">
        <v>0</v>
      </c>
      <c r="F5" s="6">
        <v>0</v>
      </c>
      <c r="G5" s="6">
        <v>21101</v>
      </c>
      <c r="H5" s="6">
        <v>0</v>
      </c>
      <c r="I5" s="6">
        <v>0</v>
      </c>
      <c r="J5" s="6">
        <v>0</v>
      </c>
      <c r="K5" s="6">
        <v>0</v>
      </c>
      <c r="L5" s="6">
        <v>0</v>
      </c>
      <c r="M5" s="6">
        <v>0</v>
      </c>
      <c r="N5">
        <v>2021</v>
      </c>
    </row>
    <row r="6" spans="1:14" x14ac:dyDescent="0.35">
      <c r="A6" s="10" t="s">
        <v>133</v>
      </c>
      <c r="B6" s="16" t="s">
        <v>137</v>
      </c>
      <c r="C6" s="10">
        <v>1</v>
      </c>
      <c r="D6" s="6">
        <v>85476</v>
      </c>
      <c r="E6" s="6">
        <v>0</v>
      </c>
      <c r="F6" s="6">
        <v>0</v>
      </c>
      <c r="G6" s="6">
        <v>0</v>
      </c>
      <c r="H6" s="6">
        <v>0</v>
      </c>
      <c r="I6" s="6">
        <v>0</v>
      </c>
      <c r="J6" s="6">
        <v>0</v>
      </c>
      <c r="K6" s="6">
        <v>85476</v>
      </c>
      <c r="L6" s="6">
        <v>0</v>
      </c>
      <c r="M6" s="6">
        <v>0</v>
      </c>
      <c r="N6" s="8">
        <v>2021</v>
      </c>
    </row>
    <row r="7" spans="1:14" x14ac:dyDescent="0.35">
      <c r="A7" s="10" t="s">
        <v>133</v>
      </c>
      <c r="B7" s="16" t="s">
        <v>138</v>
      </c>
      <c r="C7" s="10">
        <v>1</v>
      </c>
      <c r="D7" s="6">
        <v>233378</v>
      </c>
      <c r="E7" s="6">
        <v>0</v>
      </c>
      <c r="F7" s="6">
        <v>4688</v>
      </c>
      <c r="G7" s="6">
        <v>180699</v>
      </c>
      <c r="H7" s="6">
        <v>0</v>
      </c>
      <c r="I7" s="6">
        <v>5149</v>
      </c>
      <c r="J7" s="6">
        <v>0</v>
      </c>
      <c r="K7" s="6">
        <v>34844</v>
      </c>
      <c r="L7" s="6">
        <v>7996</v>
      </c>
      <c r="M7" s="6">
        <v>0</v>
      </c>
      <c r="N7">
        <v>2021</v>
      </c>
    </row>
    <row r="8" spans="1:14" ht="21.5" x14ac:dyDescent="0.35">
      <c r="A8" s="10" t="s">
        <v>133</v>
      </c>
      <c r="B8" s="16" t="s">
        <v>139</v>
      </c>
      <c r="C8" s="10">
        <v>1</v>
      </c>
      <c r="D8" s="6">
        <v>5151</v>
      </c>
      <c r="E8" s="6">
        <v>5151</v>
      </c>
      <c r="F8" s="6">
        <v>0</v>
      </c>
      <c r="G8" s="6">
        <v>0</v>
      </c>
      <c r="H8" s="6">
        <v>0</v>
      </c>
      <c r="I8" s="6">
        <v>0</v>
      </c>
      <c r="J8" s="6">
        <v>0</v>
      </c>
      <c r="K8" s="6">
        <v>0</v>
      </c>
      <c r="L8" s="6">
        <v>0</v>
      </c>
      <c r="M8" s="6">
        <v>0</v>
      </c>
      <c r="N8" s="8">
        <v>2021</v>
      </c>
    </row>
    <row r="9" spans="1:14" ht="21.5" x14ac:dyDescent="0.35">
      <c r="A9" s="10" t="s">
        <v>133</v>
      </c>
      <c r="B9" s="16" t="s">
        <v>140</v>
      </c>
      <c r="C9" s="10">
        <v>1</v>
      </c>
      <c r="D9" s="6">
        <v>937440</v>
      </c>
      <c r="E9" s="6">
        <v>21321</v>
      </c>
      <c r="F9" s="6">
        <v>27304</v>
      </c>
      <c r="G9" s="6">
        <v>569278</v>
      </c>
      <c r="H9" s="6">
        <v>9780</v>
      </c>
      <c r="I9" s="6">
        <v>22105</v>
      </c>
      <c r="J9" s="6">
        <v>13117</v>
      </c>
      <c r="K9" s="6">
        <v>63669</v>
      </c>
      <c r="L9" s="6">
        <v>87190</v>
      </c>
      <c r="M9" s="6">
        <v>123677</v>
      </c>
      <c r="N9">
        <v>2021</v>
      </c>
    </row>
    <row r="10" spans="1:14" ht="21.5" x14ac:dyDescent="0.35">
      <c r="A10" s="10" t="s">
        <v>133</v>
      </c>
      <c r="B10" s="16" t="s">
        <v>141</v>
      </c>
      <c r="C10" s="10">
        <v>1</v>
      </c>
      <c r="D10" s="6">
        <v>12248</v>
      </c>
      <c r="E10" s="6">
        <v>0</v>
      </c>
      <c r="F10" s="6">
        <v>0</v>
      </c>
      <c r="G10" s="6">
        <v>12248</v>
      </c>
      <c r="H10" s="6">
        <v>0</v>
      </c>
      <c r="I10" s="6">
        <v>0</v>
      </c>
      <c r="J10" s="6">
        <v>0</v>
      </c>
      <c r="K10" s="6">
        <v>0</v>
      </c>
      <c r="L10" s="6">
        <v>0</v>
      </c>
      <c r="M10" s="6">
        <v>0</v>
      </c>
      <c r="N10" s="8">
        <v>2021</v>
      </c>
    </row>
    <row r="11" spans="1:14" x14ac:dyDescent="0.35">
      <c r="A11" s="10" t="s">
        <v>133</v>
      </c>
      <c r="B11" s="10"/>
      <c r="C11" s="10">
        <v>1</v>
      </c>
      <c r="D11" s="6">
        <v>2860100</v>
      </c>
      <c r="E11" s="6">
        <v>19399</v>
      </c>
      <c r="F11" s="6">
        <v>24172</v>
      </c>
      <c r="G11" s="6">
        <v>2256782</v>
      </c>
      <c r="H11" s="6">
        <v>8816</v>
      </c>
      <c r="I11" s="6">
        <v>133362</v>
      </c>
      <c r="J11" s="6">
        <v>10632</v>
      </c>
      <c r="K11" s="6">
        <v>192417</v>
      </c>
      <c r="L11" s="6">
        <v>108014</v>
      </c>
      <c r="M11" s="6">
        <v>106506</v>
      </c>
      <c r="N11" s="22">
        <v>2022</v>
      </c>
    </row>
    <row r="12" spans="1:14" x14ac:dyDescent="0.35">
      <c r="A12" s="10" t="s">
        <v>133</v>
      </c>
      <c r="B12" s="16" t="s">
        <v>134</v>
      </c>
      <c r="C12" s="10">
        <v>1</v>
      </c>
      <c r="D12" s="6">
        <v>9865</v>
      </c>
      <c r="E12" s="6">
        <v>0</v>
      </c>
      <c r="F12" s="6">
        <v>0</v>
      </c>
      <c r="G12" s="6">
        <v>9865</v>
      </c>
      <c r="H12" s="6">
        <v>0</v>
      </c>
      <c r="I12" s="6">
        <v>0</v>
      </c>
      <c r="J12" s="6">
        <v>0</v>
      </c>
      <c r="K12" s="6">
        <v>0</v>
      </c>
      <c r="L12" s="6">
        <v>0</v>
      </c>
      <c r="M12" s="6">
        <v>0</v>
      </c>
      <c r="N12" s="24">
        <v>2022</v>
      </c>
    </row>
    <row r="13" spans="1:14" x14ac:dyDescent="0.35">
      <c r="A13" s="10" t="s">
        <v>133</v>
      </c>
      <c r="B13" s="16" t="s">
        <v>135</v>
      </c>
      <c r="C13" s="10">
        <v>1</v>
      </c>
      <c r="D13" s="6">
        <v>1485517</v>
      </c>
      <c r="E13" s="6">
        <v>1931</v>
      </c>
      <c r="F13" s="6">
        <v>6536</v>
      </c>
      <c r="G13" s="6">
        <v>1364744</v>
      </c>
      <c r="H13" s="6">
        <v>0</v>
      </c>
      <c r="I13" s="6">
        <v>95370</v>
      </c>
      <c r="J13" s="6">
        <v>0</v>
      </c>
      <c r="K13" s="6">
        <v>3565</v>
      </c>
      <c r="L13" s="6">
        <v>13370</v>
      </c>
      <c r="M13" s="6">
        <v>0</v>
      </c>
      <c r="N13" s="22">
        <v>2022</v>
      </c>
    </row>
    <row r="14" spans="1:14" ht="21.5" x14ac:dyDescent="0.35">
      <c r="A14" s="10" t="s">
        <v>133</v>
      </c>
      <c r="B14" s="16" t="s">
        <v>136</v>
      </c>
      <c r="C14" s="10">
        <v>1</v>
      </c>
      <c r="D14" s="6">
        <v>23598</v>
      </c>
      <c r="E14" s="6">
        <v>0</v>
      </c>
      <c r="F14" s="6">
        <v>0</v>
      </c>
      <c r="G14" s="6">
        <v>23598</v>
      </c>
      <c r="H14" s="6">
        <v>0</v>
      </c>
      <c r="I14" s="6">
        <v>0</v>
      </c>
      <c r="J14" s="6">
        <v>0</v>
      </c>
      <c r="K14" s="6">
        <v>0</v>
      </c>
      <c r="L14" s="6">
        <v>0</v>
      </c>
      <c r="M14" s="6">
        <v>0</v>
      </c>
      <c r="N14" s="24">
        <v>2022</v>
      </c>
    </row>
    <row r="15" spans="1:14" x14ac:dyDescent="0.35">
      <c r="A15" s="10" t="s">
        <v>133</v>
      </c>
      <c r="B15" s="16" t="s">
        <v>137</v>
      </c>
      <c r="C15" s="10">
        <v>1</v>
      </c>
      <c r="D15" s="6">
        <v>87794</v>
      </c>
      <c r="E15" s="6">
        <v>0</v>
      </c>
      <c r="F15" s="6">
        <v>0</v>
      </c>
      <c r="G15" s="6">
        <v>0</v>
      </c>
      <c r="H15" s="6">
        <v>0</v>
      </c>
      <c r="I15" s="6">
        <v>0</v>
      </c>
      <c r="J15" s="6">
        <v>0</v>
      </c>
      <c r="K15" s="6">
        <v>87794</v>
      </c>
      <c r="L15" s="6">
        <v>0</v>
      </c>
      <c r="M15" s="6">
        <v>0</v>
      </c>
      <c r="N15" s="22">
        <v>2022</v>
      </c>
    </row>
    <row r="16" spans="1:14" x14ac:dyDescent="0.35">
      <c r="A16" s="10" t="s">
        <v>133</v>
      </c>
      <c r="B16" s="16" t="s">
        <v>138</v>
      </c>
      <c r="C16" s="10">
        <v>1</v>
      </c>
      <c r="D16" s="6">
        <v>245837</v>
      </c>
      <c r="E16" s="6">
        <v>0</v>
      </c>
      <c r="F16" s="6">
        <v>4980</v>
      </c>
      <c r="G16" s="6">
        <v>189548</v>
      </c>
      <c r="H16" s="6">
        <v>0</v>
      </c>
      <c r="I16" s="6">
        <v>6467</v>
      </c>
      <c r="J16" s="6">
        <v>0</v>
      </c>
      <c r="K16" s="6">
        <v>35687</v>
      </c>
      <c r="L16" s="6">
        <v>9155</v>
      </c>
      <c r="M16" s="6">
        <v>0</v>
      </c>
      <c r="N16" s="24">
        <v>2022</v>
      </c>
    </row>
    <row r="17" spans="1:14" ht="21.5" x14ac:dyDescent="0.35">
      <c r="A17" s="10" t="s">
        <v>133</v>
      </c>
      <c r="B17" s="16" t="s">
        <v>139</v>
      </c>
      <c r="C17" s="10">
        <v>1</v>
      </c>
      <c r="D17" s="6">
        <v>6126</v>
      </c>
      <c r="E17" s="6">
        <v>6126</v>
      </c>
      <c r="F17" s="6">
        <v>0</v>
      </c>
      <c r="G17" s="6">
        <v>0</v>
      </c>
      <c r="H17" s="6">
        <v>0</v>
      </c>
      <c r="I17" s="6">
        <v>0</v>
      </c>
      <c r="J17" s="6">
        <v>0</v>
      </c>
      <c r="K17" s="6">
        <v>0</v>
      </c>
      <c r="L17" s="6">
        <v>0</v>
      </c>
      <c r="M17" s="6">
        <v>0</v>
      </c>
      <c r="N17" s="22">
        <v>2022</v>
      </c>
    </row>
    <row r="18" spans="1:14" ht="21.5" x14ac:dyDescent="0.35">
      <c r="A18" s="10" t="s">
        <v>133</v>
      </c>
      <c r="B18" s="16" t="s">
        <v>140</v>
      </c>
      <c r="C18" s="10">
        <v>1</v>
      </c>
      <c r="D18" s="6">
        <v>985983</v>
      </c>
      <c r="E18" s="6">
        <v>11342</v>
      </c>
      <c r="F18" s="6">
        <v>12656</v>
      </c>
      <c r="G18" s="6">
        <v>653648</v>
      </c>
      <c r="H18" s="6">
        <v>8816</v>
      </c>
      <c r="I18" s="6">
        <v>31524</v>
      </c>
      <c r="J18" s="6">
        <v>10632</v>
      </c>
      <c r="K18" s="6">
        <v>65370</v>
      </c>
      <c r="L18" s="6">
        <v>85489</v>
      </c>
      <c r="M18" s="6">
        <v>106506</v>
      </c>
      <c r="N18" s="24">
        <v>2022</v>
      </c>
    </row>
    <row r="19" spans="1:14" ht="21.5" x14ac:dyDescent="0.35">
      <c r="A19" s="10" t="s">
        <v>133</v>
      </c>
      <c r="B19" s="16" t="s">
        <v>141</v>
      </c>
      <c r="C19" s="10">
        <v>1</v>
      </c>
      <c r="D19" s="6">
        <v>15379</v>
      </c>
      <c r="E19" s="6">
        <v>0</v>
      </c>
      <c r="F19" s="6">
        <v>0</v>
      </c>
      <c r="G19" s="6">
        <v>15379</v>
      </c>
      <c r="H19" s="6">
        <v>0</v>
      </c>
      <c r="I19" s="6">
        <v>0</v>
      </c>
      <c r="J19" s="6">
        <v>0</v>
      </c>
      <c r="K19" s="6">
        <v>0</v>
      </c>
      <c r="L19" s="6">
        <v>0</v>
      </c>
      <c r="M19" s="6">
        <v>0</v>
      </c>
      <c r="N19" s="22">
        <v>2022</v>
      </c>
    </row>
    <row r="20" spans="1:14" x14ac:dyDescent="0.35">
      <c r="A20" s="10" t="s">
        <v>133</v>
      </c>
      <c r="B20" s="10"/>
      <c r="C20" s="10">
        <v>1</v>
      </c>
      <c r="D20" s="6">
        <v>3224710</v>
      </c>
      <c r="E20" s="6">
        <v>34839</v>
      </c>
      <c r="F20" s="6">
        <v>31292</v>
      </c>
      <c r="G20" s="6">
        <v>2404514</v>
      </c>
      <c r="H20" s="6">
        <v>7408</v>
      </c>
      <c r="I20" s="6">
        <v>145793</v>
      </c>
      <c r="J20" s="6">
        <v>10852</v>
      </c>
      <c r="K20" s="6">
        <v>243905</v>
      </c>
      <c r="L20" s="6">
        <v>171041</v>
      </c>
      <c r="M20" s="6">
        <v>175064</v>
      </c>
      <c r="N20" s="8">
        <v>2023</v>
      </c>
    </row>
    <row r="21" spans="1:14" x14ac:dyDescent="0.35">
      <c r="A21" s="10" t="s">
        <v>133</v>
      </c>
      <c r="B21" s="16" t="s">
        <v>134</v>
      </c>
      <c r="C21" s="10">
        <v>1</v>
      </c>
      <c r="D21" s="6">
        <v>6638</v>
      </c>
      <c r="E21" s="6">
        <v>0</v>
      </c>
      <c r="F21" s="6">
        <v>0</v>
      </c>
      <c r="G21" s="6">
        <v>6638</v>
      </c>
      <c r="H21" s="6">
        <v>0</v>
      </c>
      <c r="I21" s="6">
        <v>0</v>
      </c>
      <c r="J21" s="6">
        <v>0</v>
      </c>
      <c r="K21" s="6">
        <v>0</v>
      </c>
      <c r="L21" s="6">
        <v>0</v>
      </c>
      <c r="M21" s="6">
        <v>0</v>
      </c>
      <c r="N21" s="22">
        <v>2023</v>
      </c>
    </row>
    <row r="22" spans="1:14" x14ac:dyDescent="0.35">
      <c r="A22" s="10" t="s">
        <v>133</v>
      </c>
      <c r="B22" s="16" t="s">
        <v>135</v>
      </c>
      <c r="C22" s="10">
        <v>1</v>
      </c>
      <c r="D22" s="6">
        <v>1569814</v>
      </c>
      <c r="E22" s="6">
        <v>2041</v>
      </c>
      <c r="F22" s="6">
        <v>6907</v>
      </c>
      <c r="G22" s="6">
        <v>1442188</v>
      </c>
      <c r="H22" s="6">
        <v>0</v>
      </c>
      <c r="I22" s="6">
        <v>100782</v>
      </c>
      <c r="J22" s="6">
        <v>0</v>
      </c>
      <c r="K22" s="6">
        <v>3768</v>
      </c>
      <c r="L22" s="6">
        <v>14128</v>
      </c>
      <c r="M22" s="6">
        <v>0</v>
      </c>
      <c r="N22" s="8">
        <v>2023</v>
      </c>
    </row>
    <row r="23" spans="1:14" ht="21.5" x14ac:dyDescent="0.35">
      <c r="A23" s="10" t="s">
        <v>133</v>
      </c>
      <c r="B23" s="16" t="s">
        <v>136</v>
      </c>
      <c r="C23" s="10">
        <v>1</v>
      </c>
      <c r="D23" s="6">
        <v>25463</v>
      </c>
      <c r="E23" s="6">
        <v>0</v>
      </c>
      <c r="F23" s="6">
        <v>0</v>
      </c>
      <c r="G23" s="6">
        <v>25463</v>
      </c>
      <c r="H23" s="6">
        <v>0</v>
      </c>
      <c r="I23" s="6">
        <v>0</v>
      </c>
      <c r="J23" s="6">
        <v>0</v>
      </c>
      <c r="K23" s="6">
        <v>0</v>
      </c>
      <c r="L23" s="6">
        <v>0</v>
      </c>
      <c r="M23" s="6">
        <v>0</v>
      </c>
      <c r="N23" s="22">
        <v>2023</v>
      </c>
    </row>
    <row r="24" spans="1:14" x14ac:dyDescent="0.35">
      <c r="A24" s="10" t="s">
        <v>133</v>
      </c>
      <c r="B24" s="16" t="s">
        <v>137</v>
      </c>
      <c r="C24" s="10">
        <v>1</v>
      </c>
      <c r="D24" s="6">
        <v>92612</v>
      </c>
      <c r="E24" s="6">
        <v>0</v>
      </c>
      <c r="F24" s="6">
        <v>0</v>
      </c>
      <c r="G24" s="6">
        <v>0</v>
      </c>
      <c r="H24" s="6">
        <v>0</v>
      </c>
      <c r="I24" s="6">
        <v>0</v>
      </c>
      <c r="J24" s="6">
        <v>0</v>
      </c>
      <c r="K24" s="6">
        <v>92612</v>
      </c>
      <c r="L24" s="6">
        <v>0</v>
      </c>
      <c r="M24" s="6">
        <v>0</v>
      </c>
      <c r="N24" s="8">
        <v>2023</v>
      </c>
    </row>
    <row r="25" spans="1:14" ht="15.5" x14ac:dyDescent="0.35">
      <c r="A25" s="10" t="s">
        <v>133</v>
      </c>
      <c r="B25" s="16" t="s">
        <v>138</v>
      </c>
      <c r="C25" s="10">
        <v>1</v>
      </c>
      <c r="D25" s="6">
        <v>254115</v>
      </c>
      <c r="E25" s="7" t="s">
        <v>143</v>
      </c>
      <c r="F25" s="6">
        <v>5147</v>
      </c>
      <c r="G25" s="6">
        <v>195930</v>
      </c>
      <c r="H25" s="6">
        <v>0</v>
      </c>
      <c r="I25" s="6">
        <v>6685</v>
      </c>
      <c r="J25" s="6">
        <v>0</v>
      </c>
      <c r="K25" s="6">
        <v>36889</v>
      </c>
      <c r="L25" s="6">
        <v>9463</v>
      </c>
      <c r="M25" s="7" t="s">
        <v>143</v>
      </c>
      <c r="N25" s="22">
        <v>2023</v>
      </c>
    </row>
    <row r="26" spans="1:14" ht="21.5" x14ac:dyDescent="0.35">
      <c r="A26" s="10" t="s">
        <v>133</v>
      </c>
      <c r="B26" s="16" t="s">
        <v>139</v>
      </c>
      <c r="C26" s="10">
        <v>1</v>
      </c>
      <c r="D26" s="6">
        <v>6255</v>
      </c>
      <c r="E26" s="6">
        <v>6255</v>
      </c>
      <c r="F26" s="6">
        <v>0</v>
      </c>
      <c r="G26" s="6">
        <v>0</v>
      </c>
      <c r="H26" s="6">
        <v>0</v>
      </c>
      <c r="I26" s="6">
        <v>0</v>
      </c>
      <c r="J26" s="6">
        <v>0</v>
      </c>
      <c r="K26" s="6">
        <v>0</v>
      </c>
      <c r="L26" s="6">
        <v>0</v>
      </c>
      <c r="M26" s="6">
        <v>0</v>
      </c>
      <c r="N26" s="8">
        <v>2023</v>
      </c>
    </row>
    <row r="27" spans="1:14" ht="21.5" x14ac:dyDescent="0.35">
      <c r="A27" s="10" t="s">
        <v>133</v>
      </c>
      <c r="B27" s="16" t="s">
        <v>140</v>
      </c>
      <c r="C27" s="10">
        <v>1</v>
      </c>
      <c r="D27" s="6">
        <v>1248935</v>
      </c>
      <c r="E27" s="6">
        <v>26543</v>
      </c>
      <c r="F27" s="6">
        <v>19238</v>
      </c>
      <c r="G27" s="6">
        <v>713417</v>
      </c>
      <c r="H27" s="6">
        <v>7408</v>
      </c>
      <c r="I27" s="6">
        <v>38326</v>
      </c>
      <c r="J27" s="6">
        <v>10852</v>
      </c>
      <c r="K27" s="6">
        <v>110637</v>
      </c>
      <c r="L27" s="6">
        <v>147449</v>
      </c>
      <c r="M27" s="6">
        <v>175064</v>
      </c>
      <c r="N27" s="22">
        <v>2023</v>
      </c>
    </row>
    <row r="28" spans="1:14" ht="21.5" x14ac:dyDescent="0.35">
      <c r="A28" s="10" t="s">
        <v>133</v>
      </c>
      <c r="B28" s="16" t="s">
        <v>141</v>
      </c>
      <c r="C28" s="10">
        <v>1</v>
      </c>
      <c r="D28" s="6">
        <v>20877</v>
      </c>
      <c r="E28" s="6">
        <v>0</v>
      </c>
      <c r="F28" s="6">
        <v>0</v>
      </c>
      <c r="G28" s="6">
        <v>20877</v>
      </c>
      <c r="H28" s="6">
        <v>0</v>
      </c>
      <c r="I28" s="6">
        <v>0</v>
      </c>
      <c r="J28" s="6">
        <v>0</v>
      </c>
      <c r="K28" s="6">
        <v>0</v>
      </c>
      <c r="L28" s="6">
        <v>0</v>
      </c>
      <c r="M28" s="6">
        <v>0</v>
      </c>
      <c r="N28" s="8">
        <v>2023</v>
      </c>
    </row>
    <row r="29" spans="1:14" x14ac:dyDescent="0.35">
      <c r="A29" s="10" t="s">
        <v>133</v>
      </c>
      <c r="B29" s="10"/>
      <c r="C29" s="10">
        <v>1</v>
      </c>
      <c r="D29" s="6">
        <v>3334501</v>
      </c>
      <c r="E29" s="6">
        <v>34983</v>
      </c>
      <c r="F29" s="6">
        <v>24268</v>
      </c>
      <c r="G29" s="6">
        <v>2515363</v>
      </c>
      <c r="H29" s="6">
        <v>7408</v>
      </c>
      <c r="I29" s="6">
        <v>153312</v>
      </c>
      <c r="J29" s="6">
        <v>10852</v>
      </c>
      <c r="K29" s="6">
        <v>241351</v>
      </c>
      <c r="L29" s="6">
        <v>171900</v>
      </c>
      <c r="M29" s="6">
        <v>175064</v>
      </c>
      <c r="N29" s="22">
        <v>2024</v>
      </c>
    </row>
    <row r="30" spans="1:14" x14ac:dyDescent="0.35">
      <c r="A30" s="10" t="s">
        <v>133</v>
      </c>
      <c r="B30" s="16" t="s">
        <v>134</v>
      </c>
      <c r="C30" s="10">
        <v>1</v>
      </c>
      <c r="D30" s="6">
        <v>6970</v>
      </c>
      <c r="E30" s="6">
        <v>0</v>
      </c>
      <c r="F30" s="6">
        <v>0</v>
      </c>
      <c r="G30" s="6">
        <v>6970</v>
      </c>
      <c r="H30" s="6">
        <v>0</v>
      </c>
      <c r="I30" s="6">
        <v>0</v>
      </c>
      <c r="J30" s="6">
        <v>0</v>
      </c>
      <c r="K30" s="6">
        <v>0</v>
      </c>
      <c r="L30" s="6">
        <v>0</v>
      </c>
      <c r="M30" s="6">
        <v>0</v>
      </c>
      <c r="N30" s="8">
        <v>2024</v>
      </c>
    </row>
    <row r="31" spans="1:14" x14ac:dyDescent="0.35">
      <c r="A31" s="10" t="s">
        <v>133</v>
      </c>
      <c r="B31" s="16" t="s">
        <v>135</v>
      </c>
      <c r="C31" s="10">
        <v>1</v>
      </c>
      <c r="D31" s="6">
        <v>1689300</v>
      </c>
      <c r="E31" s="6">
        <v>2196</v>
      </c>
      <c r="F31" s="6">
        <v>0</v>
      </c>
      <c r="G31" s="6">
        <v>1559393</v>
      </c>
      <c r="H31" s="6">
        <v>0</v>
      </c>
      <c r="I31" s="6">
        <v>108453</v>
      </c>
      <c r="J31" s="6">
        <v>0</v>
      </c>
      <c r="K31" s="6">
        <v>4054</v>
      </c>
      <c r="L31" s="6">
        <v>15204</v>
      </c>
      <c r="M31" s="6">
        <v>0</v>
      </c>
      <c r="N31" s="22">
        <v>2024</v>
      </c>
    </row>
    <row r="32" spans="1:14" ht="21.5" x14ac:dyDescent="0.35">
      <c r="A32" s="10" t="s">
        <v>133</v>
      </c>
      <c r="B32" s="16" t="s">
        <v>136</v>
      </c>
      <c r="C32" s="10">
        <v>1</v>
      </c>
      <c r="D32" s="6">
        <v>25500</v>
      </c>
      <c r="E32" s="6">
        <v>0</v>
      </c>
      <c r="F32" s="6">
        <v>0</v>
      </c>
      <c r="G32" s="6">
        <v>25500</v>
      </c>
      <c r="H32" s="6">
        <v>0</v>
      </c>
      <c r="I32" s="6">
        <v>0</v>
      </c>
      <c r="J32" s="6">
        <v>0</v>
      </c>
      <c r="K32" s="6">
        <v>0</v>
      </c>
      <c r="L32" s="6">
        <v>0</v>
      </c>
      <c r="M32" s="6">
        <v>0</v>
      </c>
      <c r="N32" s="8">
        <v>2024</v>
      </c>
    </row>
    <row r="33" spans="1:14" ht="31.5" customHeight="1" x14ac:dyDescent="0.35">
      <c r="A33" s="10" t="s">
        <v>133</v>
      </c>
      <c r="B33" s="16" t="s">
        <v>137</v>
      </c>
      <c r="C33" s="10">
        <v>1</v>
      </c>
      <c r="D33" s="6">
        <v>90612</v>
      </c>
      <c r="E33" s="6">
        <v>0</v>
      </c>
      <c r="F33" s="6">
        <v>0</v>
      </c>
      <c r="G33" s="6">
        <v>0</v>
      </c>
      <c r="H33" s="6">
        <v>0</v>
      </c>
      <c r="I33" s="6">
        <v>0</v>
      </c>
      <c r="J33" s="6">
        <v>0</v>
      </c>
      <c r="K33" s="6">
        <v>90612</v>
      </c>
      <c r="L33" s="6">
        <v>0</v>
      </c>
      <c r="M33" s="6">
        <v>0</v>
      </c>
      <c r="N33" s="22">
        <v>2024</v>
      </c>
    </row>
    <row r="34" spans="1:14" x14ac:dyDescent="0.35">
      <c r="A34" s="10" t="s">
        <v>133</v>
      </c>
      <c r="B34" s="16" t="s">
        <v>138</v>
      </c>
      <c r="C34" s="10">
        <v>1</v>
      </c>
      <c r="D34" s="6">
        <v>248321</v>
      </c>
      <c r="E34" s="6">
        <v>0</v>
      </c>
      <c r="F34" s="6">
        <v>5030</v>
      </c>
      <c r="G34" s="6">
        <v>191463</v>
      </c>
      <c r="H34" s="6">
        <v>0</v>
      </c>
      <c r="I34" s="6">
        <v>6533</v>
      </c>
      <c r="J34" s="6">
        <v>0</v>
      </c>
      <c r="K34" s="6">
        <v>36048</v>
      </c>
      <c r="L34" s="6">
        <v>9247</v>
      </c>
      <c r="M34" s="6">
        <v>0</v>
      </c>
      <c r="N34" s="8">
        <v>2024</v>
      </c>
    </row>
    <row r="35" spans="1:14" ht="21.5" x14ac:dyDescent="0.35">
      <c r="A35" s="10" t="s">
        <v>133</v>
      </c>
      <c r="B35" s="16" t="s">
        <v>139</v>
      </c>
      <c r="C35" s="10">
        <v>1</v>
      </c>
      <c r="D35" s="6">
        <v>6243</v>
      </c>
      <c r="E35" s="6">
        <v>6243</v>
      </c>
      <c r="F35" s="6">
        <v>0</v>
      </c>
      <c r="G35" s="6">
        <v>0</v>
      </c>
      <c r="H35" s="6">
        <v>0</v>
      </c>
      <c r="I35" s="6">
        <v>0</v>
      </c>
      <c r="J35" s="6">
        <v>0</v>
      </c>
      <c r="K35" s="6">
        <v>0</v>
      </c>
      <c r="L35" s="6">
        <v>0</v>
      </c>
      <c r="M35" s="6">
        <v>0</v>
      </c>
      <c r="N35" s="22">
        <v>2024</v>
      </c>
    </row>
    <row r="36" spans="1:14" ht="21.5" x14ac:dyDescent="0.35">
      <c r="A36" s="10" t="s">
        <v>133</v>
      </c>
      <c r="B36" s="16" t="s">
        <v>140</v>
      </c>
      <c r="C36" s="10">
        <v>1</v>
      </c>
      <c r="D36" s="6">
        <v>1250000</v>
      </c>
      <c r="E36" s="6">
        <v>26543</v>
      </c>
      <c r="F36" s="6">
        <v>19238</v>
      </c>
      <c r="G36" s="6">
        <v>714482</v>
      </c>
      <c r="H36" s="6">
        <v>7408</v>
      </c>
      <c r="I36" s="6">
        <v>38326</v>
      </c>
      <c r="J36" s="6">
        <v>10852</v>
      </c>
      <c r="K36" s="6">
        <v>110637</v>
      </c>
      <c r="L36" s="6">
        <v>147449</v>
      </c>
      <c r="M36" s="6">
        <v>175064</v>
      </c>
      <c r="N36" s="8">
        <v>2024</v>
      </c>
    </row>
    <row r="37" spans="1:14" ht="21.5" x14ac:dyDescent="0.35">
      <c r="A37" s="10" t="s">
        <v>133</v>
      </c>
      <c r="B37" s="16" t="s">
        <v>141</v>
      </c>
      <c r="C37" s="10">
        <v>1</v>
      </c>
      <c r="D37" s="6">
        <v>17556</v>
      </c>
      <c r="E37" s="6">
        <v>0</v>
      </c>
      <c r="F37" s="6">
        <v>0</v>
      </c>
      <c r="G37" s="6">
        <v>17556</v>
      </c>
      <c r="H37" s="6">
        <v>0</v>
      </c>
      <c r="I37" s="6">
        <v>0</v>
      </c>
      <c r="J37" s="6">
        <v>0</v>
      </c>
      <c r="K37" s="6">
        <v>0</v>
      </c>
      <c r="L37" s="6">
        <v>0</v>
      </c>
      <c r="M37" s="6">
        <v>0</v>
      </c>
      <c r="N37" s="22">
        <v>2024</v>
      </c>
    </row>
    <row r="38" spans="1:14" ht="15.5" x14ac:dyDescent="0.35">
      <c r="A38" s="10" t="s">
        <v>142</v>
      </c>
      <c r="B38" s="10"/>
      <c r="C38" s="10">
        <v>2</v>
      </c>
      <c r="D38" s="6">
        <v>1505953</v>
      </c>
      <c r="E38" s="6">
        <v>191659</v>
      </c>
      <c r="F38" s="6">
        <v>541903</v>
      </c>
      <c r="G38" s="6">
        <v>95746</v>
      </c>
      <c r="H38" s="6">
        <v>11297</v>
      </c>
      <c r="I38" s="6">
        <v>282839</v>
      </c>
      <c r="J38" s="7" t="s">
        <v>143</v>
      </c>
      <c r="K38" s="6">
        <v>52563</v>
      </c>
      <c r="L38" s="6">
        <v>314308</v>
      </c>
      <c r="M38" s="6">
        <v>15597</v>
      </c>
      <c r="N38" s="24">
        <v>2021</v>
      </c>
    </row>
    <row r="39" spans="1:14" x14ac:dyDescent="0.35">
      <c r="A39" s="10" t="s">
        <v>142</v>
      </c>
      <c r="B39" s="16" t="s">
        <v>144</v>
      </c>
      <c r="C39" s="10">
        <v>2</v>
      </c>
      <c r="D39" s="6">
        <v>55936</v>
      </c>
      <c r="E39" s="6">
        <v>14013</v>
      </c>
      <c r="F39" s="6">
        <v>0</v>
      </c>
      <c r="G39" s="6">
        <v>0</v>
      </c>
      <c r="H39" s="6">
        <v>5692</v>
      </c>
      <c r="I39" s="6">
        <v>0</v>
      </c>
      <c r="J39" s="6">
        <v>0</v>
      </c>
      <c r="K39" s="6">
        <v>36232</v>
      </c>
      <c r="L39" s="6">
        <v>0</v>
      </c>
      <c r="M39" s="6">
        <v>0</v>
      </c>
      <c r="N39" s="22">
        <v>2021</v>
      </c>
    </row>
    <row r="40" spans="1:14" ht="21.5" x14ac:dyDescent="0.35">
      <c r="A40" s="10" t="s">
        <v>142</v>
      </c>
      <c r="B40" s="16" t="s">
        <v>145</v>
      </c>
      <c r="C40" s="10">
        <v>2</v>
      </c>
      <c r="D40" s="6">
        <v>784412</v>
      </c>
      <c r="E40" s="6">
        <v>173961</v>
      </c>
      <c r="F40" s="6">
        <v>9020</v>
      </c>
      <c r="G40" s="6">
        <v>40274</v>
      </c>
      <c r="H40" s="6">
        <v>3763</v>
      </c>
      <c r="I40" s="6">
        <v>258897</v>
      </c>
      <c r="J40" s="7" t="s">
        <v>143</v>
      </c>
      <c r="K40" s="6">
        <v>399</v>
      </c>
      <c r="L40" s="6">
        <v>298058</v>
      </c>
      <c r="M40" s="6">
        <v>0</v>
      </c>
      <c r="N40" s="24">
        <v>2021</v>
      </c>
    </row>
    <row r="41" spans="1:14" ht="21.5" x14ac:dyDescent="0.35">
      <c r="A41" s="10" t="s">
        <v>142</v>
      </c>
      <c r="B41" s="16" t="s">
        <v>146</v>
      </c>
      <c r="C41" s="10">
        <v>2</v>
      </c>
      <c r="D41" s="6">
        <v>658725</v>
      </c>
      <c r="E41" s="6">
        <v>3685</v>
      </c>
      <c r="F41" s="6">
        <v>532883</v>
      </c>
      <c r="G41" s="6">
        <v>55472</v>
      </c>
      <c r="H41" s="6">
        <v>1842</v>
      </c>
      <c r="I41" s="6">
        <v>23942</v>
      </c>
      <c r="J41" s="6">
        <v>0</v>
      </c>
      <c r="K41" s="6">
        <v>15932</v>
      </c>
      <c r="L41" s="6">
        <v>9371</v>
      </c>
      <c r="M41" s="6">
        <v>15597</v>
      </c>
      <c r="N41" s="22">
        <v>2021</v>
      </c>
    </row>
    <row r="42" spans="1:14" ht="21.5" x14ac:dyDescent="0.35">
      <c r="A42" s="10" t="s">
        <v>142</v>
      </c>
      <c r="B42" s="16" t="s">
        <v>147</v>
      </c>
      <c r="C42" s="10">
        <v>2</v>
      </c>
      <c r="D42" s="6">
        <v>6879</v>
      </c>
      <c r="E42" s="6">
        <v>0</v>
      </c>
      <c r="F42" s="6">
        <v>0</v>
      </c>
      <c r="G42" s="6">
        <v>0</v>
      </c>
      <c r="H42" s="6">
        <v>0</v>
      </c>
      <c r="I42" s="6">
        <v>0</v>
      </c>
      <c r="J42" s="6">
        <v>0</v>
      </c>
      <c r="K42" s="6">
        <v>0</v>
      </c>
      <c r="L42" s="6">
        <v>6879</v>
      </c>
      <c r="M42" s="6">
        <v>0</v>
      </c>
      <c r="N42" s="24">
        <v>2021</v>
      </c>
    </row>
    <row r="43" spans="1:14" x14ac:dyDescent="0.35">
      <c r="A43" s="10" t="s">
        <v>142</v>
      </c>
      <c r="B43" s="10"/>
      <c r="C43" s="10">
        <v>2</v>
      </c>
      <c r="D43" s="6">
        <v>1689980</v>
      </c>
      <c r="E43" s="6">
        <v>248546</v>
      </c>
      <c r="F43" s="6">
        <v>624857</v>
      </c>
      <c r="G43" s="6">
        <v>91477</v>
      </c>
      <c r="H43" s="6">
        <v>12909</v>
      </c>
      <c r="I43" s="6">
        <v>282550</v>
      </c>
      <c r="J43" s="6">
        <v>0</v>
      </c>
      <c r="K43" s="6">
        <v>87589</v>
      </c>
      <c r="L43" s="6">
        <v>325010</v>
      </c>
      <c r="M43" s="6">
        <v>17041</v>
      </c>
      <c r="N43">
        <v>2022</v>
      </c>
    </row>
    <row r="44" spans="1:14" x14ac:dyDescent="0.35">
      <c r="A44" s="10" t="s">
        <v>142</v>
      </c>
      <c r="B44" s="16" t="s">
        <v>144</v>
      </c>
      <c r="C44" s="10">
        <v>2</v>
      </c>
      <c r="D44" s="6">
        <v>150213</v>
      </c>
      <c r="E44" s="6">
        <v>72996</v>
      </c>
      <c r="F44" s="6">
        <v>0</v>
      </c>
      <c r="G44" s="6">
        <v>0</v>
      </c>
      <c r="H44" s="6">
        <v>7685</v>
      </c>
      <c r="I44" s="6">
        <v>0</v>
      </c>
      <c r="J44" s="6">
        <v>0</v>
      </c>
      <c r="K44" s="6">
        <v>69532</v>
      </c>
      <c r="L44" s="6">
        <v>0</v>
      </c>
      <c r="M44" s="6">
        <v>0</v>
      </c>
      <c r="N44" s="8">
        <v>2022</v>
      </c>
    </row>
    <row r="45" spans="1:14" ht="21.5" x14ac:dyDescent="0.35">
      <c r="A45" s="10" t="s">
        <v>142</v>
      </c>
      <c r="B45" s="16" t="s">
        <v>145</v>
      </c>
      <c r="C45" s="10">
        <v>2</v>
      </c>
      <c r="D45" s="6">
        <v>780207</v>
      </c>
      <c r="E45" s="6">
        <v>171527</v>
      </c>
      <c r="F45" s="6">
        <v>10153</v>
      </c>
      <c r="G45" s="6">
        <v>34468</v>
      </c>
      <c r="H45" s="6">
        <v>5023</v>
      </c>
      <c r="I45" s="6">
        <v>254588</v>
      </c>
      <c r="J45" s="6">
        <v>0</v>
      </c>
      <c r="K45" s="6">
        <v>796</v>
      </c>
      <c r="L45" s="6">
        <v>303652</v>
      </c>
      <c r="M45" s="6">
        <v>0</v>
      </c>
      <c r="N45">
        <v>2022</v>
      </c>
    </row>
    <row r="46" spans="1:14" ht="21.5" x14ac:dyDescent="0.35">
      <c r="A46" s="10" t="s">
        <v>142</v>
      </c>
      <c r="B46" s="16" t="s">
        <v>146</v>
      </c>
      <c r="C46" s="10">
        <v>2</v>
      </c>
      <c r="D46" s="6">
        <v>748259</v>
      </c>
      <c r="E46" s="6">
        <v>4023</v>
      </c>
      <c r="F46" s="6">
        <v>614704</v>
      </c>
      <c r="G46" s="6">
        <v>57009</v>
      </c>
      <c r="H46" s="6">
        <v>201</v>
      </c>
      <c r="I46" s="6">
        <v>27962</v>
      </c>
      <c r="J46" s="6">
        <v>0</v>
      </c>
      <c r="K46" s="6">
        <v>17260</v>
      </c>
      <c r="L46" s="6">
        <v>10058</v>
      </c>
      <c r="M46" s="6">
        <v>17041</v>
      </c>
      <c r="N46" s="22">
        <v>2022</v>
      </c>
    </row>
    <row r="47" spans="1:14" ht="21.5" x14ac:dyDescent="0.35">
      <c r="A47" s="10" t="s">
        <v>142</v>
      </c>
      <c r="B47" s="16" t="s">
        <v>147</v>
      </c>
      <c r="C47" s="10">
        <v>2</v>
      </c>
      <c r="D47" s="6">
        <v>11300</v>
      </c>
      <c r="E47" s="6">
        <v>0</v>
      </c>
      <c r="F47" s="6">
        <v>0</v>
      </c>
      <c r="G47" s="6">
        <v>0</v>
      </c>
      <c r="H47" s="6">
        <v>0</v>
      </c>
      <c r="I47" s="6">
        <v>0</v>
      </c>
      <c r="J47" s="6">
        <v>0</v>
      </c>
      <c r="K47" s="6">
        <v>0</v>
      </c>
      <c r="L47" s="6">
        <v>11300</v>
      </c>
      <c r="M47" s="6">
        <v>0</v>
      </c>
      <c r="N47" s="24">
        <v>2022</v>
      </c>
    </row>
    <row r="48" spans="1:14" x14ac:dyDescent="0.35">
      <c r="A48" s="10" t="s">
        <v>142</v>
      </c>
      <c r="B48" s="10"/>
      <c r="C48" s="10">
        <v>2</v>
      </c>
      <c r="D48" s="6">
        <v>1879411</v>
      </c>
      <c r="E48" s="6">
        <v>219669</v>
      </c>
      <c r="F48" s="6">
        <v>773381</v>
      </c>
      <c r="G48" s="6">
        <v>105103</v>
      </c>
      <c r="H48" s="6">
        <v>17064</v>
      </c>
      <c r="I48" s="6">
        <v>311602</v>
      </c>
      <c r="J48" s="6">
        <v>0</v>
      </c>
      <c r="K48" s="6">
        <v>134493</v>
      </c>
      <c r="L48" s="6">
        <v>305096</v>
      </c>
      <c r="M48" s="6">
        <v>13003</v>
      </c>
      <c r="N48" s="22">
        <v>2023</v>
      </c>
    </row>
    <row r="49" spans="1:14" x14ac:dyDescent="0.35">
      <c r="A49" s="10" t="s">
        <v>142</v>
      </c>
      <c r="B49" s="16" t="s">
        <v>144</v>
      </c>
      <c r="C49" s="10">
        <v>2</v>
      </c>
      <c r="D49" s="6">
        <v>151257</v>
      </c>
      <c r="E49" s="6">
        <v>26530</v>
      </c>
      <c r="F49" s="6">
        <v>0</v>
      </c>
      <c r="G49" s="6">
        <v>0</v>
      </c>
      <c r="H49" s="6">
        <v>12020</v>
      </c>
      <c r="I49" s="6">
        <v>0</v>
      </c>
      <c r="J49" s="6">
        <v>0</v>
      </c>
      <c r="K49" s="6">
        <v>112697</v>
      </c>
      <c r="L49" s="6">
        <v>0</v>
      </c>
      <c r="M49" s="6">
        <v>10</v>
      </c>
      <c r="N49" s="8">
        <v>2023</v>
      </c>
    </row>
    <row r="50" spans="1:14" ht="21.5" x14ac:dyDescent="0.35">
      <c r="A50" s="10" t="s">
        <v>142</v>
      </c>
      <c r="B50" s="16" t="s">
        <v>145</v>
      </c>
      <c r="C50" s="10">
        <v>2</v>
      </c>
      <c r="D50" s="6">
        <v>808741</v>
      </c>
      <c r="E50" s="6">
        <v>188033</v>
      </c>
      <c r="F50" s="6">
        <v>11547</v>
      </c>
      <c r="G50" s="6">
        <v>46398</v>
      </c>
      <c r="H50" s="6">
        <v>4789</v>
      </c>
      <c r="I50" s="6">
        <v>276113</v>
      </c>
      <c r="J50" s="6">
        <v>0</v>
      </c>
      <c r="K50" s="6">
        <v>374</v>
      </c>
      <c r="L50" s="6">
        <v>281488</v>
      </c>
      <c r="M50" s="6">
        <v>0</v>
      </c>
      <c r="N50" s="22">
        <v>2023</v>
      </c>
    </row>
    <row r="51" spans="1:14" ht="21.5" x14ac:dyDescent="0.35">
      <c r="A51" s="10" t="s">
        <v>142</v>
      </c>
      <c r="B51" s="16" t="s">
        <v>146</v>
      </c>
      <c r="C51" s="10">
        <v>2</v>
      </c>
      <c r="D51" s="6">
        <v>908572</v>
      </c>
      <c r="E51" s="6">
        <v>5106</v>
      </c>
      <c r="F51" s="6">
        <v>761833</v>
      </c>
      <c r="G51" s="6">
        <v>58705</v>
      </c>
      <c r="H51" s="6">
        <v>255</v>
      </c>
      <c r="I51" s="6">
        <v>35490</v>
      </c>
      <c r="J51" s="6">
        <v>0</v>
      </c>
      <c r="K51" s="6">
        <v>21422</v>
      </c>
      <c r="L51" s="6">
        <v>12766</v>
      </c>
      <c r="M51" s="6">
        <v>12994</v>
      </c>
      <c r="N51" s="8">
        <v>2023</v>
      </c>
    </row>
    <row r="52" spans="1:14" ht="21.5" x14ac:dyDescent="0.35">
      <c r="A52" s="10" t="s">
        <v>142</v>
      </c>
      <c r="B52" s="16" t="s">
        <v>147</v>
      </c>
      <c r="C52" s="10">
        <v>2</v>
      </c>
      <c r="D52" s="6">
        <v>10842</v>
      </c>
      <c r="E52" s="6">
        <v>0</v>
      </c>
      <c r="F52" s="6">
        <v>0</v>
      </c>
      <c r="G52" s="6">
        <v>0</v>
      </c>
      <c r="H52" s="6">
        <v>0</v>
      </c>
      <c r="I52" s="6">
        <v>0</v>
      </c>
      <c r="J52" s="6">
        <v>0</v>
      </c>
      <c r="K52" s="6">
        <v>0</v>
      </c>
      <c r="L52" s="6">
        <v>10842</v>
      </c>
      <c r="M52" s="6">
        <v>0</v>
      </c>
      <c r="N52" s="22">
        <v>2023</v>
      </c>
    </row>
    <row r="53" spans="1:14" x14ac:dyDescent="0.35">
      <c r="A53" s="10" t="s">
        <v>142</v>
      </c>
      <c r="B53" s="10"/>
      <c r="C53" s="10">
        <v>2</v>
      </c>
      <c r="D53" s="6">
        <v>1972585</v>
      </c>
      <c r="E53" s="6">
        <v>237371</v>
      </c>
      <c r="F53" s="6">
        <v>720583</v>
      </c>
      <c r="G53" s="6">
        <v>110448</v>
      </c>
      <c r="H53" s="6">
        <v>20709</v>
      </c>
      <c r="I53" s="6">
        <v>349833</v>
      </c>
      <c r="J53" s="6">
        <v>0</v>
      </c>
      <c r="K53" s="6">
        <v>149525</v>
      </c>
      <c r="L53" s="6">
        <v>364294</v>
      </c>
      <c r="M53" s="6">
        <v>19820</v>
      </c>
      <c r="N53" s="8">
        <v>2024</v>
      </c>
    </row>
    <row r="54" spans="1:14" x14ac:dyDescent="0.35">
      <c r="A54" s="10" t="s">
        <v>142</v>
      </c>
      <c r="B54" s="16" t="s">
        <v>144</v>
      </c>
      <c r="C54" s="10">
        <v>2</v>
      </c>
      <c r="D54" s="6">
        <v>175167</v>
      </c>
      <c r="E54" s="6">
        <v>28461</v>
      </c>
      <c r="F54" s="6">
        <v>0</v>
      </c>
      <c r="G54" s="6">
        <v>0</v>
      </c>
      <c r="H54" s="6">
        <v>12741</v>
      </c>
      <c r="I54" s="6">
        <v>0</v>
      </c>
      <c r="J54" s="6">
        <v>0</v>
      </c>
      <c r="K54" s="6">
        <v>133958</v>
      </c>
      <c r="L54" s="6">
        <v>0</v>
      </c>
      <c r="M54" s="6">
        <v>6</v>
      </c>
      <c r="N54" s="22">
        <v>2024</v>
      </c>
    </row>
    <row r="55" spans="1:14" ht="21.5" x14ac:dyDescent="0.35">
      <c r="A55" s="10" t="s">
        <v>142</v>
      </c>
      <c r="B55" s="16" t="s">
        <v>145</v>
      </c>
      <c r="C55" s="10">
        <v>2</v>
      </c>
      <c r="D55" s="6">
        <v>928731</v>
      </c>
      <c r="E55" s="6">
        <v>203945</v>
      </c>
      <c r="F55" s="6">
        <v>12013</v>
      </c>
      <c r="G55" s="6">
        <v>50232</v>
      </c>
      <c r="H55" s="6">
        <v>5514</v>
      </c>
      <c r="I55" s="6">
        <v>317701</v>
      </c>
      <c r="J55" s="6">
        <v>0</v>
      </c>
      <c r="K55" s="6">
        <v>388</v>
      </c>
      <c r="L55" s="6">
        <v>338938</v>
      </c>
      <c r="M55" s="6">
        <v>0</v>
      </c>
      <c r="N55" s="8">
        <v>2024</v>
      </c>
    </row>
    <row r="56" spans="1:14" ht="21.5" x14ac:dyDescent="0.35">
      <c r="A56" s="10" t="s">
        <v>142</v>
      </c>
      <c r="B56" s="16" t="s">
        <v>146</v>
      </c>
      <c r="C56" s="10">
        <v>2</v>
      </c>
      <c r="D56" s="6">
        <v>856482</v>
      </c>
      <c r="E56" s="6">
        <v>4966</v>
      </c>
      <c r="F56" s="6">
        <v>708570</v>
      </c>
      <c r="G56" s="6">
        <v>60216</v>
      </c>
      <c r="H56" s="6">
        <v>2454</v>
      </c>
      <c r="I56" s="6">
        <v>32132</v>
      </c>
      <c r="J56" s="6">
        <v>0</v>
      </c>
      <c r="K56" s="6">
        <v>15178</v>
      </c>
      <c r="L56" s="6">
        <v>13152</v>
      </c>
      <c r="M56" s="6">
        <v>19814</v>
      </c>
      <c r="N56" s="22">
        <v>2024</v>
      </c>
    </row>
    <row r="57" spans="1:14" ht="21.5" x14ac:dyDescent="0.35">
      <c r="A57" s="10" t="s">
        <v>142</v>
      </c>
      <c r="B57" s="16" t="s">
        <v>147</v>
      </c>
      <c r="C57" s="10">
        <v>2</v>
      </c>
      <c r="D57" s="6">
        <v>12205</v>
      </c>
      <c r="E57" s="6">
        <v>0</v>
      </c>
      <c r="F57" s="6">
        <v>0</v>
      </c>
      <c r="G57" s="6">
        <v>0</v>
      </c>
      <c r="H57" s="6">
        <v>0</v>
      </c>
      <c r="I57" s="6">
        <v>0</v>
      </c>
      <c r="J57" s="6">
        <v>0</v>
      </c>
      <c r="K57" s="6">
        <v>0</v>
      </c>
      <c r="L57" s="6">
        <v>12205</v>
      </c>
      <c r="M57" s="6">
        <v>0</v>
      </c>
      <c r="N57" s="8">
        <v>2024</v>
      </c>
    </row>
    <row r="58" spans="1:14" x14ac:dyDescent="0.35">
      <c r="A58" s="10" t="s">
        <v>148</v>
      </c>
      <c r="B58" s="10"/>
      <c r="C58" s="10">
        <v>3</v>
      </c>
      <c r="D58" s="6">
        <v>9735418</v>
      </c>
      <c r="E58" s="6">
        <v>2577396</v>
      </c>
      <c r="F58" s="6">
        <v>483403</v>
      </c>
      <c r="G58" s="6">
        <v>1090223</v>
      </c>
      <c r="H58" s="6">
        <v>71529</v>
      </c>
      <c r="I58" s="6">
        <v>611672</v>
      </c>
      <c r="J58" s="6">
        <v>108663</v>
      </c>
      <c r="K58" s="6">
        <v>61066</v>
      </c>
      <c r="L58" s="6">
        <v>3566248</v>
      </c>
      <c r="M58" s="6">
        <v>1165221</v>
      </c>
      <c r="N58" s="22">
        <v>2021</v>
      </c>
    </row>
    <row r="59" spans="1:14" ht="21.5" x14ac:dyDescent="0.35">
      <c r="A59" s="10" t="s">
        <v>148</v>
      </c>
      <c r="B59" s="16" t="s">
        <v>149</v>
      </c>
      <c r="C59" s="10">
        <v>3</v>
      </c>
      <c r="D59" s="6">
        <v>1845346</v>
      </c>
      <c r="E59" s="6">
        <v>971573</v>
      </c>
      <c r="F59" s="6">
        <v>67164</v>
      </c>
      <c r="G59" s="6">
        <v>286581</v>
      </c>
      <c r="H59" s="6">
        <v>3950</v>
      </c>
      <c r="I59" s="6">
        <v>76984</v>
      </c>
      <c r="J59" s="6">
        <v>21340</v>
      </c>
      <c r="K59" s="6">
        <v>167</v>
      </c>
      <c r="L59" s="6">
        <v>317500</v>
      </c>
      <c r="M59" s="6">
        <v>100085</v>
      </c>
      <c r="N59" s="24">
        <v>2021</v>
      </c>
    </row>
    <row r="60" spans="1:14" ht="15.5" x14ac:dyDescent="0.35">
      <c r="A60" s="10" t="s">
        <v>148</v>
      </c>
      <c r="B60" s="16" t="s">
        <v>150</v>
      </c>
      <c r="C60" s="10">
        <v>3</v>
      </c>
      <c r="D60" s="6">
        <v>132700</v>
      </c>
      <c r="E60" s="6">
        <v>0</v>
      </c>
      <c r="F60" s="6">
        <v>0</v>
      </c>
      <c r="G60" s="6">
        <v>129779</v>
      </c>
      <c r="H60" s="6">
        <v>0</v>
      </c>
      <c r="I60" s="7" t="s">
        <v>143</v>
      </c>
      <c r="J60" s="6">
        <v>0</v>
      </c>
      <c r="K60" s="6">
        <v>0</v>
      </c>
      <c r="L60" s="6">
        <v>388</v>
      </c>
      <c r="M60" s="6">
        <v>2519</v>
      </c>
      <c r="N60" s="22">
        <v>2021</v>
      </c>
    </row>
    <row r="61" spans="1:14" x14ac:dyDescent="0.35">
      <c r="A61" s="10" t="s">
        <v>148</v>
      </c>
      <c r="B61" s="16" t="s">
        <v>151</v>
      </c>
      <c r="C61" s="10">
        <v>3</v>
      </c>
      <c r="D61" s="6">
        <v>2386786</v>
      </c>
      <c r="E61" s="6">
        <v>217129</v>
      </c>
      <c r="F61" s="6">
        <v>0</v>
      </c>
      <c r="G61" s="6">
        <v>101034</v>
      </c>
      <c r="H61" s="6">
        <v>0</v>
      </c>
      <c r="I61" s="6">
        <v>302937</v>
      </c>
      <c r="J61" s="6">
        <v>300</v>
      </c>
      <c r="K61" s="6">
        <v>12994</v>
      </c>
      <c r="L61" s="6">
        <v>1608466</v>
      </c>
      <c r="M61" s="6">
        <v>143926</v>
      </c>
      <c r="N61" s="24">
        <v>2021</v>
      </c>
    </row>
    <row r="62" spans="1:14" x14ac:dyDescent="0.35">
      <c r="A62" s="10" t="s">
        <v>148</v>
      </c>
      <c r="B62" s="16" t="s">
        <v>152</v>
      </c>
      <c r="C62" s="10">
        <v>3</v>
      </c>
      <c r="D62" s="6">
        <v>1914094</v>
      </c>
      <c r="E62" s="6">
        <v>891472</v>
      </c>
      <c r="F62" s="6">
        <v>13584</v>
      </c>
      <c r="G62" s="6">
        <v>320396</v>
      </c>
      <c r="H62" s="6">
        <v>11441</v>
      </c>
      <c r="I62" s="6">
        <v>45935</v>
      </c>
      <c r="J62" s="6">
        <v>71157</v>
      </c>
      <c r="K62" s="6">
        <v>2597</v>
      </c>
      <c r="L62" s="6">
        <v>0</v>
      </c>
      <c r="M62" s="6">
        <v>557512</v>
      </c>
      <c r="N62" s="22">
        <v>2021</v>
      </c>
    </row>
    <row r="63" spans="1:14" x14ac:dyDescent="0.35">
      <c r="A63" s="10" t="s">
        <v>148</v>
      </c>
      <c r="B63" s="16" t="s">
        <v>153</v>
      </c>
      <c r="C63" s="10">
        <v>3</v>
      </c>
      <c r="D63" s="6">
        <v>1654154</v>
      </c>
      <c r="E63" s="6">
        <v>203093</v>
      </c>
      <c r="F63" s="6">
        <v>392903</v>
      </c>
      <c r="G63" s="6">
        <v>95443</v>
      </c>
      <c r="H63" s="6">
        <v>11787</v>
      </c>
      <c r="I63" s="6">
        <v>48372</v>
      </c>
      <c r="J63" s="6">
        <v>8637</v>
      </c>
      <c r="K63" s="6">
        <v>8380</v>
      </c>
      <c r="L63" s="6">
        <v>641261</v>
      </c>
      <c r="M63" s="6">
        <v>244279</v>
      </c>
      <c r="N63" s="24">
        <v>2021</v>
      </c>
    </row>
    <row r="64" spans="1:14" x14ac:dyDescent="0.35">
      <c r="A64" s="10" t="s">
        <v>148</v>
      </c>
      <c r="B64" s="16" t="s">
        <v>154</v>
      </c>
      <c r="C64" s="10">
        <v>3</v>
      </c>
      <c r="D64" s="6">
        <v>98285</v>
      </c>
      <c r="E64" s="6">
        <v>0</v>
      </c>
      <c r="F64" s="6">
        <v>0</v>
      </c>
      <c r="G64" s="6">
        <v>0</v>
      </c>
      <c r="H64" s="6">
        <v>0</v>
      </c>
      <c r="I64" s="6">
        <v>0</v>
      </c>
      <c r="J64" s="6">
        <v>0</v>
      </c>
      <c r="K64" s="6">
        <v>0</v>
      </c>
      <c r="L64" s="6">
        <v>98285</v>
      </c>
      <c r="M64" s="6">
        <v>0</v>
      </c>
      <c r="N64" s="22">
        <v>2021</v>
      </c>
    </row>
    <row r="65" spans="1:14" x14ac:dyDescent="0.35">
      <c r="A65" s="10" t="s">
        <v>148</v>
      </c>
      <c r="B65" s="16" t="s">
        <v>155</v>
      </c>
      <c r="C65" s="10">
        <v>3</v>
      </c>
      <c r="D65" s="6">
        <v>1704053</v>
      </c>
      <c r="E65" s="6">
        <v>294129</v>
      </c>
      <c r="F65" s="6">
        <v>9751</v>
      </c>
      <c r="G65" s="6">
        <v>156989</v>
      </c>
      <c r="H65" s="6">
        <v>44351</v>
      </c>
      <c r="I65" s="6">
        <v>137431</v>
      </c>
      <c r="J65" s="6">
        <v>7229</v>
      </c>
      <c r="K65" s="6">
        <v>36928</v>
      </c>
      <c r="L65" s="6">
        <v>900347</v>
      </c>
      <c r="M65" s="6">
        <v>116899</v>
      </c>
      <c r="N65" s="24">
        <v>2021</v>
      </c>
    </row>
    <row r="66" spans="1:14" x14ac:dyDescent="0.35">
      <c r="A66" s="10" t="s">
        <v>148</v>
      </c>
      <c r="B66" s="10"/>
      <c r="C66" s="10">
        <v>3</v>
      </c>
      <c r="D66" s="6">
        <v>10165798</v>
      </c>
      <c r="E66" s="6">
        <v>1814420</v>
      </c>
      <c r="F66" s="6">
        <v>546911</v>
      </c>
      <c r="G66" s="6">
        <v>937656</v>
      </c>
      <c r="H66" s="6">
        <v>109971</v>
      </c>
      <c r="I66" s="6">
        <v>418127</v>
      </c>
      <c r="J66" s="6">
        <v>103715</v>
      </c>
      <c r="K66" s="6">
        <v>47072</v>
      </c>
      <c r="L66" s="6">
        <v>4864353</v>
      </c>
      <c r="M66" s="6">
        <v>1323572</v>
      </c>
      <c r="N66" s="22">
        <v>2022</v>
      </c>
    </row>
    <row r="67" spans="1:14" ht="21.5" x14ac:dyDescent="0.35">
      <c r="A67" s="10" t="s">
        <v>148</v>
      </c>
      <c r="B67" s="16" t="s">
        <v>149</v>
      </c>
      <c r="C67" s="10">
        <v>3</v>
      </c>
      <c r="D67" s="6">
        <v>1798258</v>
      </c>
      <c r="E67" s="6">
        <v>994693</v>
      </c>
      <c r="F67" s="6">
        <v>94937</v>
      </c>
      <c r="G67" s="6">
        <v>256577</v>
      </c>
      <c r="H67" s="6">
        <v>5188</v>
      </c>
      <c r="I67" s="6">
        <v>60419</v>
      </c>
      <c r="J67" s="6">
        <v>17241</v>
      </c>
      <c r="K67" s="6">
        <v>14435</v>
      </c>
      <c r="L67" s="6">
        <v>326379</v>
      </c>
      <c r="M67" s="6">
        <v>28389</v>
      </c>
      <c r="N67" s="24">
        <v>2022</v>
      </c>
    </row>
    <row r="68" spans="1:14" x14ac:dyDescent="0.35">
      <c r="A68" s="10" t="s">
        <v>148</v>
      </c>
      <c r="B68" s="16" t="s">
        <v>150</v>
      </c>
      <c r="C68" s="10">
        <v>3</v>
      </c>
      <c r="D68" s="6">
        <v>145348</v>
      </c>
      <c r="E68" s="6">
        <v>0</v>
      </c>
      <c r="F68" s="6">
        <v>0</v>
      </c>
      <c r="G68" s="6">
        <v>144769</v>
      </c>
      <c r="H68" s="6">
        <v>0</v>
      </c>
      <c r="I68" s="6">
        <v>0</v>
      </c>
      <c r="J68" s="6">
        <v>0</v>
      </c>
      <c r="K68" s="6">
        <v>0</v>
      </c>
      <c r="L68" s="6">
        <v>0</v>
      </c>
      <c r="M68" s="6">
        <v>579</v>
      </c>
      <c r="N68" s="22">
        <v>2022</v>
      </c>
    </row>
    <row r="69" spans="1:14" x14ac:dyDescent="0.35">
      <c r="A69" s="10" t="s">
        <v>148</v>
      </c>
      <c r="B69" s="16" t="s">
        <v>151</v>
      </c>
      <c r="C69" s="10">
        <v>3</v>
      </c>
      <c r="D69" s="6">
        <v>2925568</v>
      </c>
      <c r="E69" s="6">
        <v>55457</v>
      </c>
      <c r="F69" s="6">
        <v>0</v>
      </c>
      <c r="G69" s="6">
        <v>17961</v>
      </c>
      <c r="H69" s="6">
        <v>6260</v>
      </c>
      <c r="I69" s="6">
        <v>60131</v>
      </c>
      <c r="J69" s="6">
        <v>402</v>
      </c>
      <c r="K69" s="6">
        <v>2454</v>
      </c>
      <c r="L69" s="6">
        <v>2353740</v>
      </c>
      <c r="M69" s="6">
        <v>429163</v>
      </c>
      <c r="N69" s="24">
        <v>2022</v>
      </c>
    </row>
    <row r="70" spans="1:14" x14ac:dyDescent="0.35">
      <c r="A70" s="10" t="s">
        <v>148</v>
      </c>
      <c r="B70" s="16" t="s">
        <v>152</v>
      </c>
      <c r="C70" s="10">
        <v>3</v>
      </c>
      <c r="D70" s="6">
        <v>1803812</v>
      </c>
      <c r="E70" s="6">
        <v>180524</v>
      </c>
      <c r="F70" s="6">
        <v>12811</v>
      </c>
      <c r="G70" s="6">
        <v>302066</v>
      </c>
      <c r="H70" s="6">
        <v>40193</v>
      </c>
      <c r="I70" s="6">
        <v>43501</v>
      </c>
      <c r="J70" s="6">
        <v>67052</v>
      </c>
      <c r="K70" s="6">
        <v>2461</v>
      </c>
      <c r="L70" s="6">
        <v>629192</v>
      </c>
      <c r="M70" s="6">
        <v>526012</v>
      </c>
      <c r="N70" s="22">
        <v>2022</v>
      </c>
    </row>
    <row r="71" spans="1:14" x14ac:dyDescent="0.35">
      <c r="A71" s="10" t="s">
        <v>148</v>
      </c>
      <c r="B71" s="16" t="s">
        <v>153</v>
      </c>
      <c r="C71" s="10">
        <v>3</v>
      </c>
      <c r="D71" s="6">
        <v>1738918</v>
      </c>
      <c r="E71" s="6">
        <v>170188</v>
      </c>
      <c r="F71" s="6">
        <v>410770</v>
      </c>
      <c r="G71" s="6">
        <v>65551</v>
      </c>
      <c r="H71" s="6">
        <v>11250</v>
      </c>
      <c r="I71" s="6">
        <v>102629</v>
      </c>
      <c r="J71" s="6">
        <v>11280</v>
      </c>
      <c r="K71" s="6">
        <v>10889</v>
      </c>
      <c r="L71" s="6">
        <v>772284</v>
      </c>
      <c r="M71" s="6">
        <v>184076</v>
      </c>
      <c r="N71" s="24">
        <v>2022</v>
      </c>
    </row>
    <row r="72" spans="1:14" x14ac:dyDescent="0.35">
      <c r="A72" s="10" t="s">
        <v>148</v>
      </c>
      <c r="B72" s="16" t="s">
        <v>154</v>
      </c>
      <c r="C72" s="10">
        <v>3</v>
      </c>
      <c r="D72" s="6">
        <v>175192</v>
      </c>
      <c r="E72" s="6">
        <v>0</v>
      </c>
      <c r="F72" s="6">
        <v>0</v>
      </c>
      <c r="G72" s="6">
        <v>0</v>
      </c>
      <c r="H72" s="6">
        <v>0</v>
      </c>
      <c r="I72" s="6">
        <v>0</v>
      </c>
      <c r="J72" s="6">
        <v>0</v>
      </c>
      <c r="K72" s="6">
        <v>0</v>
      </c>
      <c r="L72" s="6">
        <v>175192</v>
      </c>
      <c r="M72" s="6">
        <v>0</v>
      </c>
      <c r="N72" s="22">
        <v>2022</v>
      </c>
    </row>
    <row r="73" spans="1:14" x14ac:dyDescent="0.35">
      <c r="A73" s="10" t="s">
        <v>148</v>
      </c>
      <c r="B73" s="16" t="s">
        <v>155</v>
      </c>
      <c r="C73" s="10">
        <v>3</v>
      </c>
      <c r="D73" s="6">
        <v>1578702</v>
      </c>
      <c r="E73" s="6">
        <v>413558</v>
      </c>
      <c r="F73" s="6">
        <v>28393</v>
      </c>
      <c r="G73" s="6">
        <v>150734</v>
      </c>
      <c r="H73" s="6">
        <v>47080</v>
      </c>
      <c r="I73" s="6">
        <v>151446</v>
      </c>
      <c r="J73" s="6">
        <v>7741</v>
      </c>
      <c r="K73" s="6">
        <v>16833</v>
      </c>
      <c r="L73" s="6">
        <v>607566</v>
      </c>
      <c r="M73" s="6">
        <v>155351</v>
      </c>
      <c r="N73" s="24">
        <v>2022</v>
      </c>
    </row>
    <row r="74" spans="1:14" x14ac:dyDescent="0.35">
      <c r="A74" s="10" t="s">
        <v>148</v>
      </c>
      <c r="B74" s="10"/>
      <c r="C74" s="10">
        <v>3</v>
      </c>
      <c r="D74" s="6">
        <v>11577947</v>
      </c>
      <c r="E74" s="6">
        <v>2013179</v>
      </c>
      <c r="F74" s="6">
        <v>568712</v>
      </c>
      <c r="G74" s="6">
        <v>1257639</v>
      </c>
      <c r="H74" s="6">
        <v>148345</v>
      </c>
      <c r="I74" s="6">
        <v>824988</v>
      </c>
      <c r="J74" s="6">
        <v>118514</v>
      </c>
      <c r="K74" s="6">
        <v>54644</v>
      </c>
      <c r="L74" s="6">
        <v>4452289</v>
      </c>
      <c r="M74" s="6">
        <v>2139635</v>
      </c>
      <c r="N74" s="22">
        <v>2023</v>
      </c>
    </row>
    <row r="75" spans="1:14" ht="21.5" x14ac:dyDescent="0.35">
      <c r="A75" s="10" t="s">
        <v>148</v>
      </c>
      <c r="B75" s="16" t="s">
        <v>149</v>
      </c>
      <c r="C75" s="10">
        <v>3</v>
      </c>
      <c r="D75" s="6">
        <v>1907755</v>
      </c>
      <c r="E75" s="6">
        <v>960205</v>
      </c>
      <c r="F75" s="6">
        <v>34946</v>
      </c>
      <c r="G75" s="6">
        <v>337786</v>
      </c>
      <c r="H75" s="6">
        <v>3317</v>
      </c>
      <c r="I75" s="6">
        <v>89518</v>
      </c>
      <c r="J75" s="6">
        <v>14779</v>
      </c>
      <c r="K75" s="6">
        <v>9588</v>
      </c>
      <c r="L75" s="6">
        <v>316546</v>
      </c>
      <c r="M75" s="6">
        <v>141069</v>
      </c>
      <c r="N75" s="8">
        <v>2023</v>
      </c>
    </row>
    <row r="76" spans="1:14" x14ac:dyDescent="0.35">
      <c r="A76" s="10" t="s">
        <v>148</v>
      </c>
      <c r="B76" s="16" t="s">
        <v>150</v>
      </c>
      <c r="C76" s="10">
        <v>3</v>
      </c>
      <c r="D76" s="6">
        <v>309860</v>
      </c>
      <c r="E76" s="6">
        <v>0</v>
      </c>
      <c r="F76" s="6">
        <v>0</v>
      </c>
      <c r="G76" s="6">
        <v>307386</v>
      </c>
      <c r="H76" s="6">
        <v>0</v>
      </c>
      <c r="I76" s="6">
        <v>1017</v>
      </c>
      <c r="J76" s="6">
        <v>0</v>
      </c>
      <c r="K76" s="6">
        <v>0</v>
      </c>
      <c r="L76" s="6">
        <v>0</v>
      </c>
      <c r="M76" s="6">
        <v>1457</v>
      </c>
      <c r="N76" s="22">
        <v>2023</v>
      </c>
    </row>
    <row r="77" spans="1:14" x14ac:dyDescent="0.35">
      <c r="A77" s="10" t="s">
        <v>148</v>
      </c>
      <c r="B77" s="16" t="s">
        <v>151</v>
      </c>
      <c r="C77" s="10">
        <v>3</v>
      </c>
      <c r="D77" s="6">
        <v>3614554</v>
      </c>
      <c r="E77" s="6">
        <v>282408</v>
      </c>
      <c r="F77" s="6">
        <v>0</v>
      </c>
      <c r="G77" s="6">
        <v>67796</v>
      </c>
      <c r="H77" s="6">
        <v>18961</v>
      </c>
      <c r="I77" s="6">
        <v>228550</v>
      </c>
      <c r="J77" s="6">
        <v>1547</v>
      </c>
      <c r="K77" s="6">
        <v>7034</v>
      </c>
      <c r="L77" s="6">
        <v>1935978</v>
      </c>
      <c r="M77" s="6">
        <v>1072280</v>
      </c>
      <c r="N77" s="8">
        <v>2023</v>
      </c>
    </row>
    <row r="78" spans="1:14" x14ac:dyDescent="0.35">
      <c r="A78" s="10" t="s">
        <v>148</v>
      </c>
      <c r="B78" s="16" t="s">
        <v>152</v>
      </c>
      <c r="C78" s="10">
        <v>3</v>
      </c>
      <c r="D78" s="6">
        <v>2165195</v>
      </c>
      <c r="E78" s="6">
        <v>216085</v>
      </c>
      <c r="F78" s="6">
        <v>15331</v>
      </c>
      <c r="G78" s="6">
        <v>361941</v>
      </c>
      <c r="H78" s="6">
        <v>48269</v>
      </c>
      <c r="I78" s="6">
        <v>51159</v>
      </c>
      <c r="J78" s="6">
        <v>80513</v>
      </c>
      <c r="K78" s="6">
        <v>2885</v>
      </c>
      <c r="L78" s="6">
        <v>760701</v>
      </c>
      <c r="M78" s="6">
        <v>628311</v>
      </c>
      <c r="N78" s="22">
        <v>2023</v>
      </c>
    </row>
    <row r="79" spans="1:14" x14ac:dyDescent="0.35">
      <c r="A79" s="10" t="s">
        <v>148</v>
      </c>
      <c r="B79" s="16" t="s">
        <v>153</v>
      </c>
      <c r="C79" s="10">
        <v>3</v>
      </c>
      <c r="D79" s="6">
        <v>1945628</v>
      </c>
      <c r="E79" s="6">
        <v>158512</v>
      </c>
      <c r="F79" s="6">
        <v>495596</v>
      </c>
      <c r="G79" s="6">
        <v>29140</v>
      </c>
      <c r="H79" s="6">
        <v>11787</v>
      </c>
      <c r="I79" s="6">
        <v>124630</v>
      </c>
      <c r="J79" s="6">
        <v>12644</v>
      </c>
      <c r="K79" s="6">
        <v>5462</v>
      </c>
      <c r="L79" s="6">
        <v>870019</v>
      </c>
      <c r="M79" s="6">
        <v>237839</v>
      </c>
      <c r="N79" s="8">
        <v>2023</v>
      </c>
    </row>
    <row r="80" spans="1:14" x14ac:dyDescent="0.35">
      <c r="A80" s="10" t="s">
        <v>148</v>
      </c>
      <c r="B80" s="16" t="s">
        <v>155</v>
      </c>
      <c r="C80" s="10">
        <v>3</v>
      </c>
      <c r="D80" s="6">
        <v>1634955</v>
      </c>
      <c r="E80" s="6">
        <v>395969</v>
      </c>
      <c r="F80" s="6">
        <v>22839</v>
      </c>
      <c r="G80" s="6">
        <v>153591</v>
      </c>
      <c r="H80" s="6">
        <v>66011</v>
      </c>
      <c r="I80" s="6">
        <v>330114</v>
      </c>
      <c r="J80" s="6">
        <v>9031</v>
      </c>
      <c r="K80" s="6">
        <v>29675</v>
      </c>
      <c r="L80" s="6">
        <v>569044</v>
      </c>
      <c r="M80" s="6">
        <v>58680</v>
      </c>
      <c r="N80" s="22">
        <v>2023</v>
      </c>
    </row>
    <row r="81" spans="1:14" x14ac:dyDescent="0.35">
      <c r="A81" s="10" t="s">
        <v>148</v>
      </c>
      <c r="B81" s="10"/>
      <c r="C81" s="10">
        <v>3</v>
      </c>
      <c r="D81" s="6">
        <v>11834263</v>
      </c>
      <c r="E81" s="6">
        <v>2165215</v>
      </c>
      <c r="F81" s="6">
        <v>564438</v>
      </c>
      <c r="G81" s="6">
        <v>1308889</v>
      </c>
      <c r="H81" s="6">
        <v>155266</v>
      </c>
      <c r="I81" s="6">
        <v>709412</v>
      </c>
      <c r="J81" s="6">
        <v>117745</v>
      </c>
      <c r="K81" s="6">
        <v>57565</v>
      </c>
      <c r="L81" s="6">
        <v>4458481</v>
      </c>
      <c r="M81" s="6">
        <v>2297251</v>
      </c>
      <c r="N81" s="8">
        <v>2024</v>
      </c>
    </row>
    <row r="82" spans="1:14" ht="21.5" x14ac:dyDescent="0.35">
      <c r="A82" s="10" t="s">
        <v>148</v>
      </c>
      <c r="B82" s="16" t="s">
        <v>149</v>
      </c>
      <c r="C82" s="10">
        <v>3</v>
      </c>
      <c r="D82" s="6">
        <v>2160221</v>
      </c>
      <c r="E82" s="6">
        <v>1091855</v>
      </c>
      <c r="F82" s="6">
        <v>40376</v>
      </c>
      <c r="G82" s="6">
        <v>369214</v>
      </c>
      <c r="H82" s="6">
        <v>2841</v>
      </c>
      <c r="I82" s="6">
        <v>102488</v>
      </c>
      <c r="J82" s="6">
        <v>17051</v>
      </c>
      <c r="K82" s="6">
        <v>11707</v>
      </c>
      <c r="L82" s="6">
        <v>379675</v>
      </c>
      <c r="M82" s="6">
        <v>145013</v>
      </c>
      <c r="N82" s="8">
        <v>2024</v>
      </c>
    </row>
    <row r="83" spans="1:14" x14ac:dyDescent="0.35">
      <c r="A83" s="10" t="s">
        <v>148</v>
      </c>
      <c r="B83" s="16" t="s">
        <v>150</v>
      </c>
      <c r="C83" s="10">
        <v>3</v>
      </c>
      <c r="D83" s="6">
        <v>307681</v>
      </c>
      <c r="E83" s="6">
        <v>0</v>
      </c>
      <c r="F83" s="6">
        <v>0</v>
      </c>
      <c r="G83" s="6">
        <v>307381</v>
      </c>
      <c r="H83" s="6">
        <v>0</v>
      </c>
      <c r="I83" s="6">
        <v>0</v>
      </c>
      <c r="J83" s="6">
        <v>0</v>
      </c>
      <c r="K83" s="6">
        <v>0</v>
      </c>
      <c r="L83" s="6">
        <v>0</v>
      </c>
      <c r="M83" s="6">
        <v>300</v>
      </c>
      <c r="N83" s="22">
        <v>2024</v>
      </c>
    </row>
    <row r="84" spans="1:14" x14ac:dyDescent="0.35">
      <c r="A84" s="10" t="s">
        <v>148</v>
      </c>
      <c r="B84" s="16" t="s">
        <v>151</v>
      </c>
      <c r="C84" s="10">
        <v>3</v>
      </c>
      <c r="D84" s="6">
        <v>3649832</v>
      </c>
      <c r="E84" s="6">
        <v>293327</v>
      </c>
      <c r="F84" s="6">
        <v>0</v>
      </c>
      <c r="G84" s="6">
        <v>70508</v>
      </c>
      <c r="H84" s="6">
        <v>19719</v>
      </c>
      <c r="I84" s="6">
        <v>237692</v>
      </c>
      <c r="J84" s="6">
        <v>1609</v>
      </c>
      <c r="K84" s="6">
        <v>7315</v>
      </c>
      <c r="L84" s="6">
        <v>1924361</v>
      </c>
      <c r="M84" s="6">
        <v>1095299</v>
      </c>
      <c r="N84" s="8">
        <v>2024</v>
      </c>
    </row>
    <row r="85" spans="1:14" x14ac:dyDescent="0.35">
      <c r="A85" s="10" t="s">
        <v>148</v>
      </c>
      <c r="B85" s="16" t="s">
        <v>152</v>
      </c>
      <c r="C85" s="10">
        <v>3</v>
      </c>
      <c r="D85" s="6">
        <v>2259604</v>
      </c>
      <c r="E85" s="6">
        <v>222118</v>
      </c>
      <c r="F85" s="6">
        <v>15733</v>
      </c>
      <c r="G85" s="6">
        <v>374128</v>
      </c>
      <c r="H85" s="6">
        <v>50507</v>
      </c>
      <c r="I85" s="6">
        <v>47471</v>
      </c>
      <c r="J85" s="6">
        <v>84181</v>
      </c>
      <c r="K85" s="6">
        <v>2622</v>
      </c>
      <c r="L85" s="6">
        <v>824406</v>
      </c>
      <c r="M85" s="6">
        <v>638439</v>
      </c>
      <c r="N85" s="22">
        <v>2024</v>
      </c>
    </row>
    <row r="86" spans="1:14" x14ac:dyDescent="0.35">
      <c r="A86" s="10" t="s">
        <v>148</v>
      </c>
      <c r="B86" s="16" t="s">
        <v>153</v>
      </c>
      <c r="C86" s="10">
        <v>3</v>
      </c>
      <c r="D86" s="6">
        <v>1904001</v>
      </c>
      <c r="E86" s="6">
        <v>155175</v>
      </c>
      <c r="F86" s="6">
        <v>485027</v>
      </c>
      <c r="G86" s="6">
        <v>28518</v>
      </c>
      <c r="H86" s="6">
        <v>11536</v>
      </c>
      <c r="I86" s="6">
        <v>121795</v>
      </c>
      <c r="J86" s="6">
        <v>12374</v>
      </c>
      <c r="K86" s="6">
        <v>5346</v>
      </c>
      <c r="L86" s="6">
        <v>851465</v>
      </c>
      <c r="M86" s="6">
        <v>232766</v>
      </c>
      <c r="N86" s="8">
        <v>2024</v>
      </c>
    </row>
    <row r="87" spans="1:14" x14ac:dyDescent="0.35">
      <c r="A87" s="10" t="s">
        <v>148</v>
      </c>
      <c r="B87" s="16" t="s">
        <v>155</v>
      </c>
      <c r="C87" s="10">
        <v>3</v>
      </c>
      <c r="D87" s="6">
        <v>1552924</v>
      </c>
      <c r="E87" s="6">
        <v>402739</v>
      </c>
      <c r="F87" s="6">
        <v>23302</v>
      </c>
      <c r="G87" s="6">
        <v>159140</v>
      </c>
      <c r="H87" s="6">
        <v>70663</v>
      </c>
      <c r="I87" s="6">
        <v>199967</v>
      </c>
      <c r="J87" s="6">
        <v>2530</v>
      </c>
      <c r="K87" s="6">
        <v>30575</v>
      </c>
      <c r="L87" s="6">
        <v>478575</v>
      </c>
      <c r="M87" s="6">
        <v>185433</v>
      </c>
      <c r="N87" s="22">
        <v>2024</v>
      </c>
    </row>
    <row r="88" spans="1:14" x14ac:dyDescent="0.35">
      <c r="A88" s="10" t="s">
        <v>156</v>
      </c>
      <c r="B88" s="10"/>
      <c r="C88" s="10">
        <v>4</v>
      </c>
      <c r="D88" s="6">
        <v>262330</v>
      </c>
      <c r="E88" s="6">
        <v>0</v>
      </c>
      <c r="F88" s="6">
        <v>0</v>
      </c>
      <c r="G88" s="6">
        <v>0</v>
      </c>
      <c r="H88" s="6">
        <v>0</v>
      </c>
      <c r="I88" s="6">
        <v>0</v>
      </c>
      <c r="J88" s="6">
        <v>0</v>
      </c>
      <c r="K88" s="6">
        <v>0</v>
      </c>
      <c r="L88" s="6">
        <v>0</v>
      </c>
      <c r="M88" s="6">
        <v>262330</v>
      </c>
      <c r="N88" s="8">
        <v>2021</v>
      </c>
    </row>
    <row r="89" spans="1:14" x14ac:dyDescent="0.35">
      <c r="A89" s="10" t="s">
        <v>156</v>
      </c>
      <c r="B89" s="10"/>
      <c r="C89" s="10">
        <v>4</v>
      </c>
      <c r="D89" s="6">
        <v>299085</v>
      </c>
      <c r="E89" s="6">
        <v>0</v>
      </c>
      <c r="F89" s="6">
        <v>0</v>
      </c>
      <c r="G89" s="6">
        <v>0</v>
      </c>
      <c r="H89" s="6">
        <v>0</v>
      </c>
      <c r="I89" s="6">
        <v>0</v>
      </c>
      <c r="J89" s="6">
        <v>0</v>
      </c>
      <c r="K89" s="6">
        <v>0</v>
      </c>
      <c r="L89" s="6">
        <v>0</v>
      </c>
      <c r="M89" s="6">
        <v>299085</v>
      </c>
      <c r="N89" s="22">
        <v>2022</v>
      </c>
    </row>
    <row r="90" spans="1:14" x14ac:dyDescent="0.35">
      <c r="A90" s="10" t="s">
        <v>156</v>
      </c>
      <c r="B90" s="10"/>
      <c r="C90" s="10">
        <v>4</v>
      </c>
      <c r="D90" s="6">
        <v>282943</v>
      </c>
      <c r="E90" s="6">
        <v>0</v>
      </c>
      <c r="F90" s="6">
        <v>0</v>
      </c>
      <c r="G90" s="6">
        <v>0</v>
      </c>
      <c r="H90" s="6">
        <v>0</v>
      </c>
      <c r="I90" s="6">
        <v>0</v>
      </c>
      <c r="J90" s="6">
        <v>0</v>
      </c>
      <c r="K90" s="6">
        <v>0</v>
      </c>
      <c r="L90" s="6">
        <v>0</v>
      </c>
      <c r="M90" s="6">
        <v>282943</v>
      </c>
      <c r="N90" s="8">
        <v>2023</v>
      </c>
    </row>
    <row r="91" spans="1:14" x14ac:dyDescent="0.35">
      <c r="A91" s="10" t="s">
        <v>156</v>
      </c>
      <c r="B91" s="10"/>
      <c r="C91" s="10">
        <v>4</v>
      </c>
      <c r="D91" s="6">
        <v>317038</v>
      </c>
      <c r="E91" s="6">
        <v>0</v>
      </c>
      <c r="F91" s="6">
        <v>0</v>
      </c>
      <c r="G91" s="6">
        <v>0</v>
      </c>
      <c r="H91" s="6">
        <v>0</v>
      </c>
      <c r="I91" s="6">
        <v>0</v>
      </c>
      <c r="J91" s="6">
        <v>0</v>
      </c>
      <c r="K91" s="6">
        <v>0</v>
      </c>
      <c r="L91" s="6">
        <v>0</v>
      </c>
      <c r="M91" s="6">
        <v>317038</v>
      </c>
      <c r="N91" s="22">
        <v>2024</v>
      </c>
    </row>
    <row r="92" spans="1:14" x14ac:dyDescent="0.35">
      <c r="A92" s="10" t="s">
        <v>157</v>
      </c>
      <c r="B92" s="10"/>
      <c r="C92" s="10">
        <v>5</v>
      </c>
      <c r="D92" s="6">
        <v>10777006</v>
      </c>
      <c r="E92" s="6">
        <v>1441881</v>
      </c>
      <c r="F92" s="6">
        <v>329205</v>
      </c>
      <c r="G92" s="6">
        <v>533434</v>
      </c>
      <c r="H92" s="6">
        <v>5661</v>
      </c>
      <c r="I92" s="6">
        <v>4366414</v>
      </c>
      <c r="J92" s="6">
        <v>0</v>
      </c>
      <c r="K92" s="6">
        <v>0</v>
      </c>
      <c r="L92" s="6">
        <v>3696940</v>
      </c>
      <c r="M92" s="6">
        <v>403470</v>
      </c>
      <c r="N92" s="24">
        <v>2021</v>
      </c>
    </row>
    <row r="93" spans="1:14" ht="21.5" x14ac:dyDescent="0.35">
      <c r="A93" s="10" t="s">
        <v>157</v>
      </c>
      <c r="B93" s="16" t="s">
        <v>158</v>
      </c>
      <c r="C93" s="10">
        <v>5</v>
      </c>
      <c r="D93" s="6">
        <v>157363</v>
      </c>
      <c r="E93" s="6">
        <v>15308</v>
      </c>
      <c r="F93" s="6">
        <v>1582</v>
      </c>
      <c r="G93" s="6">
        <v>26219</v>
      </c>
      <c r="H93" s="6">
        <v>0</v>
      </c>
      <c r="I93" s="6">
        <v>0</v>
      </c>
      <c r="J93" s="6">
        <v>0</v>
      </c>
      <c r="K93" s="6">
        <v>0</v>
      </c>
      <c r="L93" s="6">
        <v>114253</v>
      </c>
      <c r="M93" s="6">
        <v>0</v>
      </c>
      <c r="N93" s="22">
        <v>2021</v>
      </c>
    </row>
    <row r="94" spans="1:14" ht="21.5" x14ac:dyDescent="0.35">
      <c r="A94" s="10" t="s">
        <v>157</v>
      </c>
      <c r="B94" s="16" t="s">
        <v>159</v>
      </c>
      <c r="C94" s="10">
        <v>5</v>
      </c>
      <c r="D94" s="6">
        <v>62134</v>
      </c>
      <c r="E94" s="6">
        <v>0</v>
      </c>
      <c r="F94" s="6">
        <v>0</v>
      </c>
      <c r="G94" s="6">
        <v>0</v>
      </c>
      <c r="H94" s="6">
        <v>0</v>
      </c>
      <c r="I94" s="6">
        <v>0</v>
      </c>
      <c r="J94" s="6">
        <v>0</v>
      </c>
      <c r="K94" s="6">
        <v>0</v>
      </c>
      <c r="L94" s="6">
        <v>62134</v>
      </c>
      <c r="M94" s="6">
        <v>0</v>
      </c>
      <c r="N94" s="24">
        <v>2021</v>
      </c>
    </row>
    <row r="95" spans="1:14" ht="21.5" x14ac:dyDescent="0.35">
      <c r="A95" s="10" t="s">
        <v>157</v>
      </c>
      <c r="B95" s="16" t="s">
        <v>160</v>
      </c>
      <c r="C95" s="10">
        <v>5</v>
      </c>
      <c r="D95" s="6">
        <v>1394973</v>
      </c>
      <c r="E95" s="6">
        <v>0</v>
      </c>
      <c r="F95" s="6">
        <v>0</v>
      </c>
      <c r="G95" s="6">
        <v>0</v>
      </c>
      <c r="H95" s="6">
        <v>0</v>
      </c>
      <c r="I95" s="6">
        <v>0</v>
      </c>
      <c r="J95" s="6">
        <v>0</v>
      </c>
      <c r="K95" s="6">
        <v>0</v>
      </c>
      <c r="L95" s="6">
        <v>1394973</v>
      </c>
      <c r="M95" s="6">
        <v>0</v>
      </c>
      <c r="N95" s="22">
        <v>2021</v>
      </c>
    </row>
    <row r="96" spans="1:14" x14ac:dyDescent="0.35">
      <c r="A96" s="10" t="s">
        <v>157</v>
      </c>
      <c r="B96" s="16" t="s">
        <v>161</v>
      </c>
      <c r="C96" s="10">
        <v>5</v>
      </c>
      <c r="D96" s="6">
        <v>9902</v>
      </c>
      <c r="E96" s="6">
        <v>0</v>
      </c>
      <c r="F96" s="6">
        <v>9902</v>
      </c>
      <c r="G96" s="6">
        <v>0</v>
      </c>
      <c r="H96" s="6">
        <v>0</v>
      </c>
      <c r="I96" s="6">
        <v>0</v>
      </c>
      <c r="J96" s="6">
        <v>0</v>
      </c>
      <c r="K96" s="6">
        <v>0</v>
      </c>
      <c r="L96" s="6">
        <v>0</v>
      </c>
      <c r="M96" s="6">
        <v>0</v>
      </c>
      <c r="N96" s="24">
        <v>2021</v>
      </c>
    </row>
    <row r="97" spans="1:14" x14ac:dyDescent="0.35">
      <c r="A97" s="10" t="s">
        <v>157</v>
      </c>
      <c r="B97" s="16" t="s">
        <v>162</v>
      </c>
      <c r="C97" s="10">
        <v>5</v>
      </c>
      <c r="D97" s="6">
        <v>691073</v>
      </c>
      <c r="E97" s="6">
        <v>0</v>
      </c>
      <c r="F97" s="6">
        <v>65490</v>
      </c>
      <c r="G97" s="6">
        <v>0</v>
      </c>
      <c r="H97" s="6">
        <v>0</v>
      </c>
      <c r="I97" s="6">
        <v>111311</v>
      </c>
      <c r="J97" s="6">
        <v>0</v>
      </c>
      <c r="K97" s="6">
        <v>0</v>
      </c>
      <c r="L97" s="6">
        <v>514272</v>
      </c>
      <c r="M97" s="6">
        <v>0</v>
      </c>
      <c r="N97" s="22">
        <v>2021</v>
      </c>
    </row>
    <row r="98" spans="1:14" ht="21.5" x14ac:dyDescent="0.35">
      <c r="A98" s="10" t="s">
        <v>157</v>
      </c>
      <c r="B98" s="16" t="s">
        <v>163</v>
      </c>
      <c r="C98" s="10">
        <v>5</v>
      </c>
      <c r="D98" s="6">
        <v>2607781</v>
      </c>
      <c r="E98" s="6">
        <v>606976</v>
      </c>
      <c r="F98" s="6">
        <v>7844</v>
      </c>
      <c r="G98" s="6">
        <v>1090</v>
      </c>
      <c r="H98" s="6">
        <v>5661</v>
      </c>
      <c r="I98" s="6">
        <v>871273</v>
      </c>
      <c r="J98" s="6">
        <v>0</v>
      </c>
      <c r="K98" s="6">
        <v>0</v>
      </c>
      <c r="L98" s="6">
        <v>1114936</v>
      </c>
      <c r="M98" s="6">
        <v>0</v>
      </c>
      <c r="N98" s="23">
        <v>2021</v>
      </c>
    </row>
    <row r="99" spans="1:14" x14ac:dyDescent="0.35">
      <c r="A99" s="10" t="s">
        <v>157</v>
      </c>
      <c r="B99" s="16" t="s">
        <v>164</v>
      </c>
      <c r="C99" s="10">
        <v>5</v>
      </c>
      <c r="D99" s="6">
        <v>346454</v>
      </c>
      <c r="E99" s="6">
        <v>0</v>
      </c>
      <c r="F99" s="6">
        <v>0</v>
      </c>
      <c r="G99" s="6">
        <v>0</v>
      </c>
      <c r="H99" s="6">
        <v>0</v>
      </c>
      <c r="I99" s="6">
        <v>0</v>
      </c>
      <c r="J99" s="6">
        <v>0</v>
      </c>
      <c r="K99" s="6">
        <v>0</v>
      </c>
      <c r="L99" s="6">
        <v>346454</v>
      </c>
      <c r="M99" s="6">
        <v>0</v>
      </c>
      <c r="N99" s="22">
        <v>2021</v>
      </c>
    </row>
    <row r="100" spans="1:14" ht="31.5" x14ac:dyDescent="0.35">
      <c r="A100" s="10" t="s">
        <v>157</v>
      </c>
      <c r="B100" s="16" t="s">
        <v>165</v>
      </c>
      <c r="C100" s="10">
        <v>5</v>
      </c>
      <c r="D100" s="6">
        <v>1731</v>
      </c>
      <c r="E100" s="6">
        <v>1731</v>
      </c>
      <c r="F100" s="6">
        <v>0</v>
      </c>
      <c r="G100" s="6">
        <v>0</v>
      </c>
      <c r="H100" s="6">
        <v>0</v>
      </c>
      <c r="I100" s="6">
        <v>0</v>
      </c>
      <c r="J100" s="6">
        <v>0</v>
      </c>
      <c r="K100" s="6">
        <v>0</v>
      </c>
      <c r="L100" s="6">
        <v>0</v>
      </c>
      <c r="M100" s="6">
        <v>0</v>
      </c>
      <c r="N100" s="23">
        <v>2021</v>
      </c>
    </row>
    <row r="101" spans="1:14" x14ac:dyDescent="0.35">
      <c r="A101" s="10" t="s">
        <v>157</v>
      </c>
      <c r="B101" s="16" t="s">
        <v>166</v>
      </c>
      <c r="C101" s="10">
        <v>5</v>
      </c>
      <c r="D101" s="6">
        <v>5505595</v>
      </c>
      <c r="E101" s="6">
        <v>817866</v>
      </c>
      <c r="F101" s="6">
        <v>244387</v>
      </c>
      <c r="G101" s="6">
        <v>506125</v>
      </c>
      <c r="H101" s="6">
        <v>0</v>
      </c>
      <c r="I101" s="6">
        <v>3383829</v>
      </c>
      <c r="J101" s="6">
        <v>0</v>
      </c>
      <c r="K101" s="6">
        <v>0</v>
      </c>
      <c r="L101" s="6">
        <v>149918</v>
      </c>
      <c r="M101" s="6">
        <v>403470</v>
      </c>
      <c r="N101" s="22">
        <v>2021</v>
      </c>
    </row>
    <row r="102" spans="1:14" x14ac:dyDescent="0.35">
      <c r="A102" s="10" t="s">
        <v>157</v>
      </c>
      <c r="B102" s="10"/>
      <c r="C102" s="10">
        <v>5</v>
      </c>
      <c r="D102" s="6">
        <v>11108630</v>
      </c>
      <c r="E102" s="6">
        <v>1626887</v>
      </c>
      <c r="F102" s="6">
        <v>343692</v>
      </c>
      <c r="G102" s="6">
        <v>539457</v>
      </c>
      <c r="H102" s="6">
        <v>67837</v>
      </c>
      <c r="I102" s="6">
        <v>5133287</v>
      </c>
      <c r="J102" s="6">
        <v>0</v>
      </c>
      <c r="K102" s="6">
        <v>0</v>
      </c>
      <c r="L102" s="6">
        <v>2931097</v>
      </c>
      <c r="M102" s="6">
        <v>466374</v>
      </c>
      <c r="N102" s="23">
        <v>2022</v>
      </c>
    </row>
    <row r="103" spans="1:14" ht="21.5" x14ac:dyDescent="0.35">
      <c r="A103" s="10" t="s">
        <v>157</v>
      </c>
      <c r="B103" s="16" t="s">
        <v>158</v>
      </c>
      <c r="C103" s="10">
        <v>5</v>
      </c>
      <c r="D103" s="6">
        <v>201482</v>
      </c>
      <c r="E103" s="6">
        <v>6122</v>
      </c>
      <c r="F103" s="6">
        <v>823</v>
      </c>
      <c r="G103" s="6">
        <v>10697</v>
      </c>
      <c r="H103" s="6">
        <v>0</v>
      </c>
      <c r="I103" s="6">
        <v>23559</v>
      </c>
      <c r="J103" s="6">
        <v>0</v>
      </c>
      <c r="K103" s="6">
        <v>0</v>
      </c>
      <c r="L103" s="6">
        <v>160281</v>
      </c>
      <c r="M103" s="6">
        <v>0</v>
      </c>
      <c r="N103" s="22">
        <v>2022</v>
      </c>
    </row>
    <row r="104" spans="1:14" ht="21.5" x14ac:dyDescent="0.35">
      <c r="A104" s="10" t="s">
        <v>157</v>
      </c>
      <c r="B104" s="16" t="s">
        <v>159</v>
      </c>
      <c r="C104" s="10">
        <v>5</v>
      </c>
      <c r="D104" s="6">
        <v>61315</v>
      </c>
      <c r="E104" s="6">
        <v>0</v>
      </c>
      <c r="F104" s="6">
        <v>0</v>
      </c>
      <c r="G104" s="6">
        <v>0</v>
      </c>
      <c r="H104" s="6">
        <v>0</v>
      </c>
      <c r="I104" s="6">
        <v>0</v>
      </c>
      <c r="J104" s="6">
        <v>0</v>
      </c>
      <c r="K104" s="6">
        <v>0</v>
      </c>
      <c r="L104" s="6">
        <v>61315</v>
      </c>
      <c r="M104" s="6">
        <v>0</v>
      </c>
      <c r="N104" s="23">
        <v>2022</v>
      </c>
    </row>
    <row r="105" spans="1:14" ht="21.5" x14ac:dyDescent="0.35">
      <c r="A105" s="10" t="s">
        <v>157</v>
      </c>
      <c r="B105" s="16" t="s">
        <v>160</v>
      </c>
      <c r="C105" s="10">
        <v>5</v>
      </c>
      <c r="D105" s="6">
        <v>678802</v>
      </c>
      <c r="E105" s="6">
        <v>0</v>
      </c>
      <c r="F105" s="6">
        <v>0</v>
      </c>
      <c r="G105" s="6">
        <v>0</v>
      </c>
      <c r="H105" s="6">
        <v>0</v>
      </c>
      <c r="I105" s="6">
        <v>0</v>
      </c>
      <c r="J105" s="6">
        <v>0</v>
      </c>
      <c r="K105" s="6">
        <v>0</v>
      </c>
      <c r="L105" s="6">
        <v>678802</v>
      </c>
      <c r="M105" s="6">
        <v>0</v>
      </c>
      <c r="N105" s="22">
        <v>2022</v>
      </c>
    </row>
    <row r="106" spans="1:14" x14ac:dyDescent="0.35">
      <c r="A106" s="10" t="s">
        <v>157</v>
      </c>
      <c r="B106" s="16" t="s">
        <v>161</v>
      </c>
      <c r="C106" s="10">
        <v>5</v>
      </c>
      <c r="D106" s="6">
        <v>11808</v>
      </c>
      <c r="E106" s="6">
        <v>0</v>
      </c>
      <c r="F106" s="6">
        <v>11808</v>
      </c>
      <c r="G106" s="6">
        <v>0</v>
      </c>
      <c r="H106" s="6">
        <v>0</v>
      </c>
      <c r="I106" s="6">
        <v>0</v>
      </c>
      <c r="J106" s="6">
        <v>0</v>
      </c>
      <c r="K106" s="6">
        <v>0</v>
      </c>
      <c r="L106" s="6">
        <v>0</v>
      </c>
      <c r="M106" s="6">
        <v>0</v>
      </c>
      <c r="N106" s="23">
        <v>2022</v>
      </c>
    </row>
    <row r="107" spans="1:14" x14ac:dyDescent="0.35">
      <c r="A107" s="10" t="s">
        <v>157</v>
      </c>
      <c r="B107" s="16" t="s">
        <v>162</v>
      </c>
      <c r="C107" s="10">
        <v>5</v>
      </c>
      <c r="D107" s="6">
        <v>558637</v>
      </c>
      <c r="E107" s="6">
        <v>0</v>
      </c>
      <c r="F107" s="6">
        <v>53071</v>
      </c>
      <c r="G107" s="6">
        <v>0</v>
      </c>
      <c r="H107" s="6">
        <v>0</v>
      </c>
      <c r="I107" s="6">
        <v>88823</v>
      </c>
      <c r="J107" s="6">
        <v>0</v>
      </c>
      <c r="K107" s="6">
        <v>0</v>
      </c>
      <c r="L107" s="6">
        <v>416744</v>
      </c>
      <c r="M107" s="6">
        <v>0</v>
      </c>
      <c r="N107" s="22">
        <v>2022</v>
      </c>
    </row>
    <row r="108" spans="1:14" ht="21.5" x14ac:dyDescent="0.35">
      <c r="A108" s="10" t="s">
        <v>157</v>
      </c>
      <c r="B108" s="16" t="s">
        <v>163</v>
      </c>
      <c r="C108" s="10">
        <v>5</v>
      </c>
      <c r="D108" s="6">
        <v>2793813</v>
      </c>
      <c r="E108" s="6">
        <v>588894</v>
      </c>
      <c r="F108" s="6">
        <v>6009</v>
      </c>
      <c r="G108" s="6">
        <v>2073</v>
      </c>
      <c r="H108" s="6">
        <v>19593</v>
      </c>
      <c r="I108" s="6">
        <v>1377758</v>
      </c>
      <c r="J108" s="6">
        <v>0</v>
      </c>
      <c r="K108" s="6">
        <v>0</v>
      </c>
      <c r="L108" s="6">
        <v>793487</v>
      </c>
      <c r="M108" s="6">
        <v>6000</v>
      </c>
      <c r="N108" s="23">
        <v>2022</v>
      </c>
    </row>
    <row r="109" spans="1:14" x14ac:dyDescent="0.35">
      <c r="A109" s="10" t="s">
        <v>157</v>
      </c>
      <c r="B109" s="16" t="s">
        <v>164</v>
      </c>
      <c r="C109" s="10">
        <v>5</v>
      </c>
      <c r="D109" s="6">
        <v>657246</v>
      </c>
      <c r="E109" s="6">
        <v>0</v>
      </c>
      <c r="F109" s="6">
        <v>0</v>
      </c>
      <c r="G109" s="6">
        <v>0</v>
      </c>
      <c r="H109" s="6">
        <v>0</v>
      </c>
      <c r="I109" s="6">
        <v>0</v>
      </c>
      <c r="J109" s="6">
        <v>0</v>
      </c>
      <c r="K109" s="6">
        <v>0</v>
      </c>
      <c r="L109" s="6">
        <v>657246</v>
      </c>
      <c r="M109" s="6">
        <v>0</v>
      </c>
      <c r="N109">
        <v>2022</v>
      </c>
    </row>
    <row r="110" spans="1:14" ht="31.5" x14ac:dyDescent="0.35">
      <c r="A110" s="10" t="s">
        <v>157</v>
      </c>
      <c r="B110" s="16" t="s">
        <v>165</v>
      </c>
      <c r="C110" s="10">
        <v>5</v>
      </c>
      <c r="D110" s="6">
        <v>21377</v>
      </c>
      <c r="E110" s="6">
        <v>21377</v>
      </c>
      <c r="F110" s="6">
        <v>0</v>
      </c>
      <c r="G110" s="6">
        <v>0</v>
      </c>
      <c r="H110" s="6">
        <v>0</v>
      </c>
      <c r="I110" s="6">
        <v>0</v>
      </c>
      <c r="J110" s="6">
        <v>0</v>
      </c>
      <c r="K110" s="6">
        <v>0</v>
      </c>
      <c r="L110" s="6">
        <v>0</v>
      </c>
      <c r="M110" s="6">
        <v>0</v>
      </c>
      <c r="N110" s="9">
        <v>2022</v>
      </c>
    </row>
    <row r="111" spans="1:14" x14ac:dyDescent="0.35">
      <c r="A111" s="10" t="s">
        <v>157</v>
      </c>
      <c r="B111" s="16" t="s">
        <v>166</v>
      </c>
      <c r="C111" s="10">
        <v>5</v>
      </c>
      <c r="D111" s="6">
        <v>6124150</v>
      </c>
      <c r="E111" s="6">
        <v>1010493</v>
      </c>
      <c r="F111" s="6">
        <v>271982</v>
      </c>
      <c r="G111" s="6">
        <v>526687</v>
      </c>
      <c r="H111" s="6">
        <v>48244</v>
      </c>
      <c r="I111" s="6">
        <v>3643147</v>
      </c>
      <c r="J111" s="6">
        <v>0</v>
      </c>
      <c r="K111" s="6">
        <v>0</v>
      </c>
      <c r="L111" s="6">
        <v>163223</v>
      </c>
      <c r="M111" s="6">
        <v>460374</v>
      </c>
      <c r="N111">
        <v>2022</v>
      </c>
    </row>
    <row r="112" spans="1:14" x14ac:dyDescent="0.35">
      <c r="A112" s="10" t="s">
        <v>157</v>
      </c>
      <c r="B112" s="10"/>
      <c r="C112" s="10">
        <v>5</v>
      </c>
      <c r="D112" s="6">
        <v>12573696</v>
      </c>
      <c r="E112" s="6">
        <v>1610805</v>
      </c>
      <c r="F112" s="6">
        <v>403894</v>
      </c>
      <c r="G112" s="6">
        <v>586928</v>
      </c>
      <c r="H112" s="6">
        <v>55599</v>
      </c>
      <c r="I112" s="6">
        <v>5637925</v>
      </c>
      <c r="J112" s="6">
        <v>0</v>
      </c>
      <c r="K112" s="6">
        <v>0</v>
      </c>
      <c r="L112" s="6">
        <v>3761728</v>
      </c>
      <c r="M112" s="6">
        <v>516818</v>
      </c>
      <c r="N112" s="9">
        <v>2023</v>
      </c>
    </row>
    <row r="113" spans="1:14" ht="21.5" x14ac:dyDescent="0.35">
      <c r="A113" s="10" t="s">
        <v>157</v>
      </c>
      <c r="B113" s="16" t="s">
        <v>158</v>
      </c>
      <c r="C113" s="10">
        <v>5</v>
      </c>
      <c r="D113" s="6">
        <v>235264</v>
      </c>
      <c r="E113" s="6">
        <v>11164</v>
      </c>
      <c r="F113" s="6">
        <v>269</v>
      </c>
      <c r="G113" s="6">
        <v>6656</v>
      </c>
      <c r="H113" s="6">
        <v>0</v>
      </c>
      <c r="I113" s="6">
        <v>25622</v>
      </c>
      <c r="J113" s="6">
        <v>0</v>
      </c>
      <c r="K113" s="6">
        <v>0</v>
      </c>
      <c r="L113" s="6">
        <v>191553</v>
      </c>
      <c r="M113" s="6">
        <v>0</v>
      </c>
      <c r="N113" s="22">
        <v>2023</v>
      </c>
    </row>
    <row r="114" spans="1:14" ht="21.5" x14ac:dyDescent="0.35">
      <c r="A114" s="10" t="s">
        <v>157</v>
      </c>
      <c r="B114" s="16" t="s">
        <v>159</v>
      </c>
      <c r="C114" s="10">
        <v>5</v>
      </c>
      <c r="D114" s="6">
        <v>61456</v>
      </c>
      <c r="E114" s="6">
        <v>0</v>
      </c>
      <c r="F114" s="6">
        <v>0</v>
      </c>
      <c r="G114" s="6">
        <v>0</v>
      </c>
      <c r="H114" s="6">
        <v>0</v>
      </c>
      <c r="I114" s="6">
        <v>0</v>
      </c>
      <c r="J114" s="6">
        <v>0</v>
      </c>
      <c r="K114" s="6">
        <v>0</v>
      </c>
      <c r="L114" s="6">
        <v>61456</v>
      </c>
      <c r="M114" s="6">
        <v>0</v>
      </c>
      <c r="N114" s="9">
        <v>2023</v>
      </c>
    </row>
    <row r="115" spans="1:14" ht="21.5" x14ac:dyDescent="0.35">
      <c r="A115" s="10" t="s">
        <v>157</v>
      </c>
      <c r="B115" s="16" t="s">
        <v>160</v>
      </c>
      <c r="C115" s="10">
        <v>5</v>
      </c>
      <c r="D115" s="6">
        <v>1232081</v>
      </c>
      <c r="E115" s="6">
        <v>0</v>
      </c>
      <c r="F115" s="6">
        <v>0</v>
      </c>
      <c r="G115" s="6">
        <v>0</v>
      </c>
      <c r="H115" s="6">
        <v>0</v>
      </c>
      <c r="I115" s="6">
        <v>0</v>
      </c>
      <c r="J115" s="6">
        <v>0</v>
      </c>
      <c r="K115" s="6">
        <v>0</v>
      </c>
      <c r="L115" s="6">
        <v>1232081</v>
      </c>
      <c r="M115" s="6">
        <v>0</v>
      </c>
      <c r="N115" s="22">
        <v>2023</v>
      </c>
    </row>
    <row r="116" spans="1:14" x14ac:dyDescent="0.35">
      <c r="A116" s="10" t="s">
        <v>157</v>
      </c>
      <c r="B116" s="16" t="s">
        <v>161</v>
      </c>
      <c r="C116" s="10">
        <v>5</v>
      </c>
      <c r="D116" s="6">
        <v>12249</v>
      </c>
      <c r="E116" s="6">
        <v>0</v>
      </c>
      <c r="F116" s="6">
        <v>12249</v>
      </c>
      <c r="G116" s="6">
        <v>0</v>
      </c>
      <c r="H116" s="6">
        <v>0</v>
      </c>
      <c r="I116" s="6">
        <v>0</v>
      </c>
      <c r="J116" s="6">
        <v>0</v>
      </c>
      <c r="K116" s="6">
        <v>0</v>
      </c>
      <c r="L116" s="6">
        <v>0</v>
      </c>
      <c r="M116" s="6">
        <v>0</v>
      </c>
      <c r="N116" s="9">
        <v>2023</v>
      </c>
    </row>
    <row r="117" spans="1:14" x14ac:dyDescent="0.35">
      <c r="A117" s="10" t="s">
        <v>157</v>
      </c>
      <c r="B117" s="16" t="s">
        <v>162</v>
      </c>
      <c r="C117" s="10">
        <v>5</v>
      </c>
      <c r="D117" s="6">
        <v>1012156</v>
      </c>
      <c r="E117" s="6">
        <v>0</v>
      </c>
      <c r="F117" s="6">
        <v>96155</v>
      </c>
      <c r="G117" s="6">
        <v>0</v>
      </c>
      <c r="H117" s="6">
        <v>0</v>
      </c>
      <c r="I117" s="6">
        <v>160933</v>
      </c>
      <c r="J117" s="6">
        <v>0</v>
      </c>
      <c r="K117" s="6">
        <v>0</v>
      </c>
      <c r="L117" s="6">
        <v>755068</v>
      </c>
      <c r="M117" s="6">
        <v>0</v>
      </c>
      <c r="N117" s="22">
        <v>2023</v>
      </c>
    </row>
    <row r="118" spans="1:14" ht="21.5" x14ac:dyDescent="0.35">
      <c r="A118" s="10" t="s">
        <v>157</v>
      </c>
      <c r="B118" s="16" t="s">
        <v>163</v>
      </c>
      <c r="C118" s="10">
        <v>5</v>
      </c>
      <c r="D118" s="6">
        <v>2787879</v>
      </c>
      <c r="E118" s="6">
        <v>598990</v>
      </c>
      <c r="F118" s="6">
        <v>5423</v>
      </c>
      <c r="G118" s="6">
        <v>0</v>
      </c>
      <c r="H118" s="6">
        <v>1115</v>
      </c>
      <c r="I118" s="6">
        <v>1457078</v>
      </c>
      <c r="J118" s="6">
        <v>0</v>
      </c>
      <c r="K118" s="6">
        <v>0</v>
      </c>
      <c r="L118" s="6">
        <v>720023</v>
      </c>
      <c r="M118" s="6">
        <v>5250</v>
      </c>
      <c r="N118" s="9">
        <v>2023</v>
      </c>
    </row>
    <row r="119" spans="1:14" x14ac:dyDescent="0.35">
      <c r="A119" s="10" t="s">
        <v>157</v>
      </c>
      <c r="B119" s="16" t="s">
        <v>164</v>
      </c>
      <c r="C119" s="10">
        <v>5</v>
      </c>
      <c r="D119" s="6">
        <v>636181</v>
      </c>
      <c r="E119" s="6">
        <v>0</v>
      </c>
      <c r="F119" s="6">
        <v>0</v>
      </c>
      <c r="G119" s="6">
        <v>0</v>
      </c>
      <c r="H119" s="6">
        <v>0</v>
      </c>
      <c r="I119" s="6">
        <v>0</v>
      </c>
      <c r="J119" s="6">
        <v>0</v>
      </c>
      <c r="K119" s="6">
        <v>0</v>
      </c>
      <c r="L119" s="6">
        <v>636181</v>
      </c>
      <c r="M119" s="6">
        <v>0</v>
      </c>
      <c r="N119" s="22">
        <v>2023</v>
      </c>
    </row>
    <row r="120" spans="1:14" ht="31.5" x14ac:dyDescent="0.35">
      <c r="A120" s="10" t="s">
        <v>157</v>
      </c>
      <c r="B120" s="16" t="s">
        <v>165</v>
      </c>
      <c r="C120" s="10">
        <v>5</v>
      </c>
      <c r="D120" s="6">
        <v>105711</v>
      </c>
      <c r="E120" s="6">
        <v>105711</v>
      </c>
      <c r="F120" s="6">
        <v>0</v>
      </c>
      <c r="G120" s="6">
        <v>0</v>
      </c>
      <c r="H120" s="6">
        <v>0</v>
      </c>
      <c r="I120" s="6">
        <v>0</v>
      </c>
      <c r="J120" s="6">
        <v>0</v>
      </c>
      <c r="K120" s="6">
        <v>0</v>
      </c>
      <c r="L120" s="6">
        <v>0</v>
      </c>
      <c r="M120" s="6">
        <v>0</v>
      </c>
      <c r="N120" s="9">
        <v>2023</v>
      </c>
    </row>
    <row r="121" spans="1:14" x14ac:dyDescent="0.35">
      <c r="A121" s="10" t="s">
        <v>157</v>
      </c>
      <c r="B121" s="16" t="s">
        <v>166</v>
      </c>
      <c r="C121" s="10">
        <v>5</v>
      </c>
      <c r="D121" s="6">
        <v>6490719</v>
      </c>
      <c r="E121" s="6">
        <v>894941</v>
      </c>
      <c r="F121" s="6">
        <v>289799</v>
      </c>
      <c r="G121" s="6">
        <v>580271</v>
      </c>
      <c r="H121" s="6">
        <v>54484</v>
      </c>
      <c r="I121" s="6">
        <v>3994292</v>
      </c>
      <c r="J121" s="6">
        <v>0</v>
      </c>
      <c r="K121" s="6">
        <v>0</v>
      </c>
      <c r="L121" s="6">
        <v>165364</v>
      </c>
      <c r="M121" s="6">
        <v>511568</v>
      </c>
      <c r="N121" s="22">
        <v>2023</v>
      </c>
    </row>
    <row r="122" spans="1:14" x14ac:dyDescent="0.35">
      <c r="A122" s="10" t="s">
        <v>157</v>
      </c>
      <c r="B122" s="10"/>
      <c r="C122" s="10">
        <v>5</v>
      </c>
      <c r="D122" s="6">
        <v>12405891</v>
      </c>
      <c r="E122" s="6">
        <v>1578433</v>
      </c>
      <c r="F122" s="6">
        <v>383701</v>
      </c>
      <c r="G122" s="6">
        <v>611101</v>
      </c>
      <c r="H122" s="6">
        <v>53671</v>
      </c>
      <c r="I122" s="6">
        <v>5840133</v>
      </c>
      <c r="J122" s="6">
        <v>0</v>
      </c>
      <c r="K122" s="6">
        <v>0</v>
      </c>
      <c r="L122" s="6">
        <v>3403957</v>
      </c>
      <c r="M122" s="6">
        <v>534895</v>
      </c>
      <c r="N122" s="9">
        <v>2024</v>
      </c>
    </row>
    <row r="123" spans="1:14" ht="21.5" x14ac:dyDescent="0.35">
      <c r="A123" s="10" t="s">
        <v>157</v>
      </c>
      <c r="B123" s="16" t="s">
        <v>158</v>
      </c>
      <c r="C123" s="10">
        <v>5</v>
      </c>
      <c r="D123" s="6">
        <v>230000</v>
      </c>
      <c r="E123" s="6">
        <v>10914</v>
      </c>
      <c r="F123" s="6">
        <v>263</v>
      </c>
      <c r="G123" s="6">
        <v>6507</v>
      </c>
      <c r="H123" s="6">
        <v>0</v>
      </c>
      <c r="I123" s="6">
        <v>25049</v>
      </c>
      <c r="J123" s="6">
        <v>0</v>
      </c>
      <c r="K123" s="6">
        <v>0</v>
      </c>
      <c r="L123" s="6">
        <v>187267</v>
      </c>
      <c r="M123" s="6">
        <v>0</v>
      </c>
      <c r="N123" s="22">
        <v>2024</v>
      </c>
    </row>
    <row r="124" spans="1:14" ht="21.5" x14ac:dyDescent="0.35">
      <c r="A124" s="10" t="s">
        <v>157</v>
      </c>
      <c r="B124" s="16" t="s">
        <v>159</v>
      </c>
      <c r="C124" s="10">
        <v>5</v>
      </c>
      <c r="D124" s="6">
        <v>87578</v>
      </c>
      <c r="E124" s="6">
        <v>0</v>
      </c>
      <c r="F124" s="6">
        <v>0</v>
      </c>
      <c r="G124" s="6">
        <v>0</v>
      </c>
      <c r="H124" s="6">
        <v>0</v>
      </c>
      <c r="I124" s="6">
        <v>0</v>
      </c>
      <c r="J124" s="6">
        <v>0</v>
      </c>
      <c r="K124" s="6">
        <v>0</v>
      </c>
      <c r="L124" s="6">
        <v>87578</v>
      </c>
      <c r="M124" s="6">
        <v>0</v>
      </c>
      <c r="N124" s="9">
        <v>2024</v>
      </c>
    </row>
    <row r="125" spans="1:14" ht="21.5" x14ac:dyDescent="0.35">
      <c r="A125" s="10" t="s">
        <v>157</v>
      </c>
      <c r="B125" s="16" t="s">
        <v>160</v>
      </c>
      <c r="C125" s="10">
        <v>5</v>
      </c>
      <c r="D125" s="6">
        <v>979915</v>
      </c>
      <c r="E125" s="6">
        <v>0</v>
      </c>
      <c r="F125" s="6">
        <v>0</v>
      </c>
      <c r="G125" s="6">
        <v>0</v>
      </c>
      <c r="H125" s="6">
        <v>0</v>
      </c>
      <c r="I125" s="6">
        <v>0</v>
      </c>
      <c r="J125" s="6">
        <v>0</v>
      </c>
      <c r="K125" s="6">
        <v>0</v>
      </c>
      <c r="L125" s="6">
        <v>979915</v>
      </c>
      <c r="M125" s="6">
        <v>0</v>
      </c>
      <c r="N125" s="22">
        <v>2024</v>
      </c>
    </row>
    <row r="126" spans="1:14" x14ac:dyDescent="0.35">
      <c r="A126" s="10" t="s">
        <v>157</v>
      </c>
      <c r="B126" s="16" t="s">
        <v>161</v>
      </c>
      <c r="C126" s="10">
        <v>5</v>
      </c>
      <c r="D126" s="6">
        <v>12728</v>
      </c>
      <c r="E126" s="6">
        <v>0</v>
      </c>
      <c r="F126" s="6">
        <v>12728</v>
      </c>
      <c r="G126" s="6">
        <v>0</v>
      </c>
      <c r="H126" s="6">
        <v>0</v>
      </c>
      <c r="I126" s="6">
        <v>0</v>
      </c>
      <c r="J126" s="6">
        <v>0</v>
      </c>
      <c r="K126" s="6">
        <v>0</v>
      </c>
      <c r="L126" s="6">
        <v>0</v>
      </c>
      <c r="M126" s="6">
        <v>0</v>
      </c>
      <c r="N126" s="9">
        <v>2024</v>
      </c>
    </row>
    <row r="127" spans="1:14" x14ac:dyDescent="0.35">
      <c r="A127" s="10" t="s">
        <v>157</v>
      </c>
      <c r="B127" s="16" t="s">
        <v>162</v>
      </c>
      <c r="C127" s="10">
        <v>5</v>
      </c>
      <c r="D127" s="6">
        <v>999631</v>
      </c>
      <c r="E127" s="6">
        <v>0</v>
      </c>
      <c r="F127" s="6">
        <v>94965</v>
      </c>
      <c r="G127" s="6">
        <v>0</v>
      </c>
      <c r="H127" s="6">
        <v>0</v>
      </c>
      <c r="I127" s="6">
        <v>158941</v>
      </c>
      <c r="J127" s="6">
        <v>0</v>
      </c>
      <c r="K127" s="6">
        <v>0</v>
      </c>
      <c r="L127" s="6">
        <v>745725</v>
      </c>
      <c r="M127" s="6">
        <v>0</v>
      </c>
      <c r="N127" s="22">
        <v>2024</v>
      </c>
    </row>
    <row r="128" spans="1:14" ht="21.5" x14ac:dyDescent="0.35">
      <c r="A128" s="10" t="s">
        <v>157</v>
      </c>
      <c r="B128" s="16" t="s">
        <v>163</v>
      </c>
      <c r="C128" s="10">
        <v>5</v>
      </c>
      <c r="D128" s="6">
        <v>2792886</v>
      </c>
      <c r="E128" s="6">
        <v>464674</v>
      </c>
      <c r="F128" s="6">
        <v>6480</v>
      </c>
      <c r="G128" s="6">
        <v>851</v>
      </c>
      <c r="H128" s="6">
        <v>1489</v>
      </c>
      <c r="I128" s="6">
        <v>1558476</v>
      </c>
      <c r="J128" s="6">
        <v>0</v>
      </c>
      <c r="K128" s="6">
        <v>0</v>
      </c>
      <c r="L128" s="6">
        <v>754967</v>
      </c>
      <c r="M128" s="6">
        <v>5950</v>
      </c>
      <c r="N128" s="22">
        <v>2024</v>
      </c>
    </row>
    <row r="129" spans="1:14" ht="31.5" customHeight="1" x14ac:dyDescent="0.35">
      <c r="A129" s="10" t="s">
        <v>157</v>
      </c>
      <c r="B129" s="16" t="s">
        <v>164</v>
      </c>
      <c r="C129" s="10">
        <v>5</v>
      </c>
      <c r="D129" s="6">
        <v>648506</v>
      </c>
      <c r="E129" s="6">
        <v>0</v>
      </c>
      <c r="F129" s="6">
        <v>0</v>
      </c>
      <c r="G129" s="6">
        <v>0</v>
      </c>
      <c r="H129" s="6">
        <v>0</v>
      </c>
      <c r="I129" s="6">
        <v>0</v>
      </c>
      <c r="J129" s="6">
        <v>0</v>
      </c>
      <c r="K129" s="6">
        <v>0</v>
      </c>
      <c r="L129" s="6">
        <v>648506</v>
      </c>
      <c r="M129" s="6">
        <v>0</v>
      </c>
      <c r="N129" s="9">
        <v>2024</v>
      </c>
    </row>
    <row r="130" spans="1:14" ht="31.5" x14ac:dyDescent="0.35">
      <c r="A130" s="10" t="s">
        <v>157</v>
      </c>
      <c r="B130" s="16" t="s">
        <v>165</v>
      </c>
      <c r="C130" s="10">
        <v>5</v>
      </c>
      <c r="D130" s="6">
        <v>162028</v>
      </c>
      <c r="E130" s="6">
        <v>162028</v>
      </c>
      <c r="F130" s="6">
        <v>0</v>
      </c>
      <c r="G130" s="6">
        <v>0</v>
      </c>
      <c r="H130" s="6">
        <v>0</v>
      </c>
      <c r="I130" s="6">
        <v>0</v>
      </c>
      <c r="J130" s="6">
        <v>0</v>
      </c>
      <c r="K130" s="6">
        <v>0</v>
      </c>
      <c r="L130" s="6">
        <v>0</v>
      </c>
      <c r="M130" s="6">
        <v>0</v>
      </c>
      <c r="N130" s="22">
        <v>2024</v>
      </c>
    </row>
    <row r="131" spans="1:14" x14ac:dyDescent="0.35">
      <c r="A131" s="10" t="s">
        <v>157</v>
      </c>
      <c r="B131" s="16" t="s">
        <v>166</v>
      </c>
      <c r="C131" s="10">
        <v>5</v>
      </c>
      <c r="D131" s="6">
        <v>6492620</v>
      </c>
      <c r="E131" s="6">
        <v>940818</v>
      </c>
      <c r="F131" s="6">
        <v>269265</v>
      </c>
      <c r="G131" s="6">
        <v>603743</v>
      </c>
      <c r="H131" s="6">
        <v>52182</v>
      </c>
      <c r="I131" s="6">
        <v>4097667</v>
      </c>
      <c r="J131" s="6">
        <v>0</v>
      </c>
      <c r="K131" s="6">
        <v>0</v>
      </c>
      <c r="L131" s="6">
        <v>0</v>
      </c>
      <c r="M131" s="6">
        <v>528945</v>
      </c>
      <c r="N131" s="9">
        <v>2024</v>
      </c>
    </row>
    <row r="132" spans="1:14" ht="21.5" x14ac:dyDescent="0.35">
      <c r="A132" s="10" t="s">
        <v>167</v>
      </c>
      <c r="B132" s="10"/>
      <c r="C132" s="10">
        <v>6</v>
      </c>
      <c r="D132" s="6">
        <v>42718237</v>
      </c>
      <c r="E132" s="6">
        <v>35256</v>
      </c>
      <c r="F132" s="6">
        <v>499711</v>
      </c>
      <c r="G132" s="6">
        <v>31015958</v>
      </c>
      <c r="H132" s="6">
        <v>352080</v>
      </c>
      <c r="I132" s="6">
        <v>234071</v>
      </c>
      <c r="J132" s="6">
        <v>3597199</v>
      </c>
      <c r="K132" s="6">
        <v>636374</v>
      </c>
      <c r="L132" s="6">
        <v>2835631</v>
      </c>
      <c r="M132" s="6">
        <v>3511957</v>
      </c>
      <c r="N132">
        <v>2021</v>
      </c>
    </row>
    <row r="133" spans="1:14" ht="21.5" x14ac:dyDescent="0.35">
      <c r="A133" s="10" t="s">
        <v>167</v>
      </c>
      <c r="B133" s="16" t="s">
        <v>168</v>
      </c>
      <c r="C133" s="10">
        <v>6</v>
      </c>
      <c r="D133" s="6">
        <v>4590</v>
      </c>
      <c r="E133" s="6">
        <v>0</v>
      </c>
      <c r="F133" s="6">
        <v>0</v>
      </c>
      <c r="G133" s="6">
        <v>0</v>
      </c>
      <c r="H133" s="6">
        <v>0</v>
      </c>
      <c r="I133" s="6">
        <v>0</v>
      </c>
      <c r="J133" s="6">
        <v>0</v>
      </c>
      <c r="K133" s="6">
        <v>4590</v>
      </c>
      <c r="L133" s="6">
        <v>0</v>
      </c>
      <c r="M133" s="6">
        <v>0</v>
      </c>
      <c r="N133" s="9">
        <v>2021</v>
      </c>
    </row>
    <row r="134" spans="1:14" ht="21.5" x14ac:dyDescent="0.35">
      <c r="A134" s="10" t="s">
        <v>167</v>
      </c>
      <c r="B134" s="16" t="s">
        <v>169</v>
      </c>
      <c r="C134" s="10">
        <v>6</v>
      </c>
      <c r="D134" s="6">
        <v>106908</v>
      </c>
      <c r="E134" s="6">
        <v>0</v>
      </c>
      <c r="F134" s="6">
        <v>0</v>
      </c>
      <c r="G134" s="6">
        <v>0</v>
      </c>
      <c r="H134" s="6">
        <v>0</v>
      </c>
      <c r="I134" s="6">
        <v>0</v>
      </c>
      <c r="J134" s="6">
        <v>0</v>
      </c>
      <c r="K134" s="6">
        <v>106908</v>
      </c>
      <c r="L134" s="6">
        <v>0</v>
      </c>
      <c r="M134" s="6">
        <v>0</v>
      </c>
      <c r="N134">
        <v>2021</v>
      </c>
    </row>
    <row r="135" spans="1:14" ht="21.5" x14ac:dyDescent="0.35">
      <c r="A135" s="10" t="s">
        <v>167</v>
      </c>
      <c r="B135" s="16" t="s">
        <v>170</v>
      </c>
      <c r="C135" s="10">
        <v>6</v>
      </c>
      <c r="D135" s="6">
        <v>308145</v>
      </c>
      <c r="E135" s="6">
        <v>34989</v>
      </c>
      <c r="F135" s="6">
        <v>0</v>
      </c>
      <c r="G135" s="6">
        <v>172574</v>
      </c>
      <c r="H135" s="6">
        <v>8400</v>
      </c>
      <c r="I135" s="6">
        <v>0</v>
      </c>
      <c r="J135" s="6">
        <v>7799</v>
      </c>
      <c r="K135" s="6">
        <v>20813</v>
      </c>
      <c r="L135" s="6">
        <v>803</v>
      </c>
      <c r="M135" s="6">
        <v>62767</v>
      </c>
      <c r="N135" s="9">
        <v>2021</v>
      </c>
    </row>
    <row r="136" spans="1:14" ht="21.5" x14ac:dyDescent="0.35">
      <c r="A136" s="10" t="s">
        <v>167</v>
      </c>
      <c r="B136" s="16" t="s">
        <v>171</v>
      </c>
      <c r="C136" s="10">
        <v>6</v>
      </c>
      <c r="D136" s="6">
        <v>10935</v>
      </c>
      <c r="E136" s="6">
        <v>0</v>
      </c>
      <c r="F136" s="6">
        <v>10935</v>
      </c>
      <c r="G136" s="6">
        <v>0</v>
      </c>
      <c r="H136" s="6">
        <v>0</v>
      </c>
      <c r="I136" s="6">
        <v>0</v>
      </c>
      <c r="J136" s="6">
        <v>0</v>
      </c>
      <c r="K136" s="6">
        <v>0</v>
      </c>
      <c r="L136" s="6">
        <v>0</v>
      </c>
      <c r="M136" s="6">
        <v>0</v>
      </c>
      <c r="N136">
        <v>2021</v>
      </c>
    </row>
    <row r="137" spans="1:14" ht="21.5" x14ac:dyDescent="0.35">
      <c r="A137" s="10" t="s">
        <v>167</v>
      </c>
      <c r="B137" s="16" t="s">
        <v>172</v>
      </c>
      <c r="C137" s="10">
        <v>6</v>
      </c>
      <c r="D137" s="6">
        <v>681556</v>
      </c>
      <c r="E137" s="6">
        <v>267</v>
      </c>
      <c r="F137" s="6">
        <v>0</v>
      </c>
      <c r="G137" s="6">
        <v>570021</v>
      </c>
      <c r="H137" s="6">
        <v>236</v>
      </c>
      <c r="I137" s="6">
        <v>4677</v>
      </c>
      <c r="J137" s="6">
        <v>778</v>
      </c>
      <c r="K137" s="6">
        <v>42874</v>
      </c>
      <c r="L137" s="6">
        <v>35067</v>
      </c>
      <c r="M137" s="6">
        <v>27635</v>
      </c>
      <c r="N137" s="9">
        <v>2021</v>
      </c>
    </row>
    <row r="138" spans="1:14" ht="21.5" x14ac:dyDescent="0.35">
      <c r="A138" s="10" t="s">
        <v>167</v>
      </c>
      <c r="B138" s="16" t="s">
        <v>173</v>
      </c>
      <c r="C138" s="10">
        <v>6</v>
      </c>
      <c r="D138" s="6">
        <v>420703</v>
      </c>
      <c r="E138" s="6">
        <v>0</v>
      </c>
      <c r="F138" s="6">
        <v>0</v>
      </c>
      <c r="G138" s="6">
        <v>420703</v>
      </c>
      <c r="H138" s="6">
        <v>0</v>
      </c>
      <c r="I138" s="6">
        <v>0</v>
      </c>
      <c r="J138" s="6">
        <v>0</v>
      </c>
      <c r="K138" s="6">
        <v>0</v>
      </c>
      <c r="L138" s="6">
        <v>0</v>
      </c>
      <c r="M138" s="6">
        <v>0</v>
      </c>
      <c r="N138">
        <v>2021</v>
      </c>
    </row>
    <row r="139" spans="1:14" ht="21.5" x14ac:dyDescent="0.35">
      <c r="A139" s="10" t="s">
        <v>167</v>
      </c>
      <c r="B139" s="16" t="s">
        <v>174</v>
      </c>
      <c r="C139" s="10">
        <v>6</v>
      </c>
      <c r="D139" s="6">
        <v>589144</v>
      </c>
      <c r="E139" s="6">
        <v>0</v>
      </c>
      <c r="F139" s="6">
        <v>0</v>
      </c>
      <c r="G139" s="6">
        <v>589144</v>
      </c>
      <c r="H139" s="6">
        <v>0</v>
      </c>
      <c r="I139" s="6">
        <v>0</v>
      </c>
      <c r="J139" s="6">
        <v>0</v>
      </c>
      <c r="K139" s="6">
        <v>0</v>
      </c>
      <c r="L139" s="6">
        <v>0</v>
      </c>
      <c r="M139" s="6">
        <v>0</v>
      </c>
      <c r="N139" s="9">
        <v>2021</v>
      </c>
    </row>
    <row r="140" spans="1:14" ht="21.5" x14ac:dyDescent="0.35">
      <c r="A140" s="10" t="s">
        <v>167</v>
      </c>
      <c r="B140" s="16" t="s">
        <v>175</v>
      </c>
      <c r="C140" s="10">
        <v>6</v>
      </c>
      <c r="D140" s="6">
        <v>32920</v>
      </c>
      <c r="E140" s="6">
        <v>0</v>
      </c>
      <c r="F140" s="6">
        <v>0</v>
      </c>
      <c r="G140" s="6">
        <v>32920</v>
      </c>
      <c r="H140" s="6">
        <v>0</v>
      </c>
      <c r="I140" s="6">
        <v>0</v>
      </c>
      <c r="J140" s="6">
        <v>0</v>
      </c>
      <c r="K140" s="6">
        <v>0</v>
      </c>
      <c r="L140" s="6">
        <v>0</v>
      </c>
      <c r="M140" s="6">
        <v>0</v>
      </c>
      <c r="N140">
        <v>2021</v>
      </c>
    </row>
    <row r="141" spans="1:14" ht="21.5" x14ac:dyDescent="0.35">
      <c r="A141" s="10" t="s">
        <v>167</v>
      </c>
      <c r="B141" s="16" t="s">
        <v>176</v>
      </c>
      <c r="C141" s="10">
        <v>6</v>
      </c>
      <c r="D141" s="6">
        <v>40545951</v>
      </c>
      <c r="E141" s="6">
        <v>0</v>
      </c>
      <c r="F141" s="6">
        <v>488775</v>
      </c>
      <c r="G141" s="6">
        <v>29230596</v>
      </c>
      <c r="H141" s="6">
        <v>343444</v>
      </c>
      <c r="I141" s="6">
        <v>229394</v>
      </c>
      <c r="J141" s="6">
        <v>3588622</v>
      </c>
      <c r="K141" s="6">
        <v>461189</v>
      </c>
      <c r="L141" s="6">
        <v>2799761</v>
      </c>
      <c r="M141" s="6">
        <v>3404169</v>
      </c>
      <c r="N141" s="9">
        <v>2021</v>
      </c>
    </row>
    <row r="142" spans="1:14" ht="21.5" x14ac:dyDescent="0.35">
      <c r="A142" s="10" t="s">
        <v>167</v>
      </c>
      <c r="B142" s="16" t="s">
        <v>177</v>
      </c>
      <c r="C142" s="10">
        <v>6</v>
      </c>
      <c r="D142" s="6">
        <v>17386</v>
      </c>
      <c r="E142" s="6">
        <v>0</v>
      </c>
      <c r="F142" s="6">
        <v>0</v>
      </c>
      <c r="G142" s="6">
        <v>0</v>
      </c>
      <c r="H142" s="6">
        <v>0</v>
      </c>
      <c r="I142" s="6">
        <v>0</v>
      </c>
      <c r="J142" s="6">
        <v>0</v>
      </c>
      <c r="K142" s="6">
        <v>0</v>
      </c>
      <c r="L142" s="6">
        <v>0</v>
      </c>
      <c r="M142" s="6">
        <v>17386</v>
      </c>
      <c r="N142">
        <v>2021</v>
      </c>
    </row>
    <row r="143" spans="1:14" ht="21.5" x14ac:dyDescent="0.35">
      <c r="A143" s="10" t="s">
        <v>167</v>
      </c>
      <c r="B143" s="10"/>
      <c r="C143" s="10">
        <v>6</v>
      </c>
      <c r="D143" s="6">
        <v>48271429</v>
      </c>
      <c r="E143" s="6">
        <v>38708</v>
      </c>
      <c r="F143" s="6">
        <v>610190</v>
      </c>
      <c r="G143" s="6">
        <v>33993520</v>
      </c>
      <c r="H143" s="6">
        <v>426855</v>
      </c>
      <c r="I143" s="6">
        <v>1064784</v>
      </c>
      <c r="J143" s="6">
        <v>4416187</v>
      </c>
      <c r="K143" s="6">
        <v>1148584</v>
      </c>
      <c r="L143" s="6">
        <v>3395120</v>
      </c>
      <c r="M143" s="6">
        <v>3177481</v>
      </c>
      <c r="N143" s="22">
        <v>2022</v>
      </c>
    </row>
    <row r="144" spans="1:14" ht="21.5" x14ac:dyDescent="0.35">
      <c r="A144" s="10" t="s">
        <v>167</v>
      </c>
      <c r="B144" s="16" t="s">
        <v>168</v>
      </c>
      <c r="C144" s="10">
        <v>6</v>
      </c>
      <c r="D144" s="6">
        <v>5228</v>
      </c>
      <c r="E144" s="6">
        <v>0</v>
      </c>
      <c r="F144" s="6">
        <v>0</v>
      </c>
      <c r="G144" s="6">
        <v>0</v>
      </c>
      <c r="H144" s="6">
        <v>0</v>
      </c>
      <c r="I144" s="6">
        <v>0</v>
      </c>
      <c r="J144" s="6">
        <v>0</v>
      </c>
      <c r="K144" s="6">
        <v>5228</v>
      </c>
      <c r="L144" s="6">
        <v>0</v>
      </c>
      <c r="M144" s="6">
        <v>0</v>
      </c>
      <c r="N144" s="23">
        <v>2022</v>
      </c>
    </row>
    <row r="145" spans="1:14" ht="21.5" x14ac:dyDescent="0.35">
      <c r="A145" s="10" t="s">
        <v>167</v>
      </c>
      <c r="B145" s="16" t="s">
        <v>169</v>
      </c>
      <c r="C145" s="10">
        <v>6</v>
      </c>
      <c r="D145" s="6">
        <v>106731</v>
      </c>
      <c r="E145" s="6">
        <v>0</v>
      </c>
      <c r="F145" s="6">
        <v>0</v>
      </c>
      <c r="G145" s="6">
        <v>0</v>
      </c>
      <c r="H145" s="6">
        <v>0</v>
      </c>
      <c r="I145" s="6">
        <v>0</v>
      </c>
      <c r="J145" s="6">
        <v>0</v>
      </c>
      <c r="K145" s="6">
        <v>106731</v>
      </c>
      <c r="L145" s="6">
        <v>0</v>
      </c>
      <c r="M145" s="6">
        <v>0</v>
      </c>
      <c r="N145" s="22">
        <v>2022</v>
      </c>
    </row>
    <row r="146" spans="1:14" ht="21.5" x14ac:dyDescent="0.35">
      <c r="A146" s="10" t="s">
        <v>167</v>
      </c>
      <c r="B146" s="16" t="s">
        <v>170</v>
      </c>
      <c r="C146" s="10">
        <v>6</v>
      </c>
      <c r="D146" s="6">
        <v>314345</v>
      </c>
      <c r="E146" s="6">
        <v>36189</v>
      </c>
      <c r="F146" s="6">
        <v>0</v>
      </c>
      <c r="G146" s="6">
        <v>176074</v>
      </c>
      <c r="H146" s="6">
        <v>8400</v>
      </c>
      <c r="I146" s="6">
        <v>0</v>
      </c>
      <c r="J146" s="6">
        <v>7799</v>
      </c>
      <c r="K146" s="6">
        <v>20813</v>
      </c>
      <c r="L146" s="6">
        <v>803</v>
      </c>
      <c r="M146" s="6">
        <v>64267</v>
      </c>
      <c r="N146" s="23">
        <v>2022</v>
      </c>
    </row>
    <row r="147" spans="1:14" ht="21.5" x14ac:dyDescent="0.35">
      <c r="A147" s="10" t="s">
        <v>167</v>
      </c>
      <c r="B147" s="16" t="s">
        <v>171</v>
      </c>
      <c r="C147" s="10">
        <v>6</v>
      </c>
      <c r="D147" s="6">
        <v>11777</v>
      </c>
      <c r="E147" s="6">
        <v>0</v>
      </c>
      <c r="F147" s="6">
        <v>11777</v>
      </c>
      <c r="G147" s="6">
        <v>0</v>
      </c>
      <c r="H147" s="6">
        <v>0</v>
      </c>
      <c r="I147" s="6">
        <v>0</v>
      </c>
      <c r="J147" s="6">
        <v>0</v>
      </c>
      <c r="K147" s="6">
        <v>0</v>
      </c>
      <c r="L147" s="6">
        <v>0</v>
      </c>
      <c r="M147" s="6">
        <v>0</v>
      </c>
      <c r="N147" s="22">
        <v>2022</v>
      </c>
    </row>
    <row r="148" spans="1:14" ht="21.5" x14ac:dyDescent="0.35">
      <c r="A148" s="10" t="s">
        <v>167</v>
      </c>
      <c r="B148" s="16" t="s">
        <v>230</v>
      </c>
      <c r="C148" s="10">
        <v>6</v>
      </c>
      <c r="D148" s="6">
        <v>2644021</v>
      </c>
      <c r="E148" s="6">
        <v>0</v>
      </c>
      <c r="F148" s="6">
        <v>0</v>
      </c>
      <c r="G148" s="6">
        <v>2644021</v>
      </c>
      <c r="H148" s="6">
        <v>0</v>
      </c>
      <c r="I148" s="6">
        <v>0</v>
      </c>
      <c r="J148" s="6">
        <v>0</v>
      </c>
      <c r="K148" s="6">
        <v>0</v>
      </c>
      <c r="L148" s="6">
        <v>0</v>
      </c>
      <c r="M148" s="6">
        <v>0</v>
      </c>
      <c r="N148" s="23">
        <v>2022</v>
      </c>
    </row>
    <row r="149" spans="1:14" ht="21.5" x14ac:dyDescent="0.35">
      <c r="A149" s="10" t="s">
        <v>167</v>
      </c>
      <c r="B149" s="16" t="s">
        <v>172</v>
      </c>
      <c r="C149" s="10">
        <v>6</v>
      </c>
      <c r="D149" s="6">
        <v>550366</v>
      </c>
      <c r="E149" s="6">
        <v>2519</v>
      </c>
      <c r="F149" s="6">
        <v>0</v>
      </c>
      <c r="G149" s="6">
        <v>452038</v>
      </c>
      <c r="H149" s="6">
        <v>275</v>
      </c>
      <c r="I149" s="6">
        <v>4395</v>
      </c>
      <c r="J149" s="6">
        <v>924</v>
      </c>
      <c r="K149" s="6">
        <v>39598</v>
      </c>
      <c r="L149" s="6">
        <v>31670</v>
      </c>
      <c r="M149" s="6">
        <v>18947</v>
      </c>
      <c r="N149" s="22">
        <v>2022</v>
      </c>
    </row>
    <row r="150" spans="1:14" ht="21.5" x14ac:dyDescent="0.35">
      <c r="A150" s="10" t="s">
        <v>167</v>
      </c>
      <c r="B150" s="16" t="s">
        <v>173</v>
      </c>
      <c r="C150" s="10">
        <v>6</v>
      </c>
      <c r="D150" s="6">
        <v>419105</v>
      </c>
      <c r="E150" s="6">
        <v>0</v>
      </c>
      <c r="F150" s="6">
        <v>0</v>
      </c>
      <c r="G150" s="6">
        <v>419105</v>
      </c>
      <c r="H150" s="6">
        <v>0</v>
      </c>
      <c r="I150" s="6">
        <v>0</v>
      </c>
      <c r="J150" s="6">
        <v>0</v>
      </c>
      <c r="K150" s="6">
        <v>0</v>
      </c>
      <c r="L150" s="6">
        <v>0</v>
      </c>
      <c r="M150" s="6">
        <v>0</v>
      </c>
      <c r="N150" s="23">
        <v>2022</v>
      </c>
    </row>
    <row r="151" spans="1:14" ht="21.5" x14ac:dyDescent="0.35">
      <c r="A151" s="10" t="s">
        <v>167</v>
      </c>
      <c r="B151" s="16" t="s">
        <v>174</v>
      </c>
      <c r="C151" s="10">
        <v>6</v>
      </c>
      <c r="D151" s="6">
        <v>560910</v>
      </c>
      <c r="E151" s="6">
        <v>0</v>
      </c>
      <c r="F151" s="6">
        <v>0</v>
      </c>
      <c r="G151" s="6">
        <v>560910</v>
      </c>
      <c r="H151" s="6">
        <v>0</v>
      </c>
      <c r="I151" s="6">
        <v>0</v>
      </c>
      <c r="J151" s="6">
        <v>0</v>
      </c>
      <c r="K151" s="6">
        <v>0</v>
      </c>
      <c r="L151" s="6">
        <v>0</v>
      </c>
      <c r="M151" s="6">
        <v>0</v>
      </c>
      <c r="N151" s="22">
        <v>2022</v>
      </c>
    </row>
    <row r="152" spans="1:14" ht="21.5" x14ac:dyDescent="0.35">
      <c r="A152" s="10" t="s">
        <v>167</v>
      </c>
      <c r="B152" s="16" t="s">
        <v>175</v>
      </c>
      <c r="C152" s="10">
        <v>6</v>
      </c>
      <c r="D152" s="6">
        <v>34884</v>
      </c>
      <c r="E152" s="6">
        <v>0</v>
      </c>
      <c r="F152" s="6">
        <v>0</v>
      </c>
      <c r="G152" s="6">
        <v>34884</v>
      </c>
      <c r="H152" s="6">
        <v>0</v>
      </c>
      <c r="I152" s="6">
        <v>0</v>
      </c>
      <c r="J152" s="6">
        <v>0</v>
      </c>
      <c r="K152" s="6">
        <v>0</v>
      </c>
      <c r="L152" s="6">
        <v>0</v>
      </c>
      <c r="M152" s="6">
        <v>0</v>
      </c>
      <c r="N152" s="23">
        <v>2022</v>
      </c>
    </row>
    <row r="153" spans="1:14" ht="21.5" x14ac:dyDescent="0.35">
      <c r="A153" s="10" t="s">
        <v>167</v>
      </c>
      <c r="B153" s="16" t="s">
        <v>176</v>
      </c>
      <c r="C153" s="10">
        <v>6</v>
      </c>
      <c r="D153" s="6">
        <v>43588544</v>
      </c>
      <c r="E153" s="6">
        <v>0</v>
      </c>
      <c r="F153" s="6">
        <v>598413</v>
      </c>
      <c r="G153" s="6">
        <v>29706489</v>
      </c>
      <c r="H153" s="6">
        <v>418179</v>
      </c>
      <c r="I153" s="6">
        <v>1060388</v>
      </c>
      <c r="J153" s="6">
        <v>4407464</v>
      </c>
      <c r="K153" s="6">
        <v>940696</v>
      </c>
      <c r="L153" s="6">
        <v>3362647</v>
      </c>
      <c r="M153" s="6">
        <v>3094268</v>
      </c>
      <c r="N153" s="22">
        <v>2022</v>
      </c>
    </row>
    <row r="154" spans="1:14" ht="21.5" x14ac:dyDescent="0.35">
      <c r="A154" s="10" t="s">
        <v>167</v>
      </c>
      <c r="B154" s="16" t="s">
        <v>177</v>
      </c>
      <c r="C154" s="10">
        <v>6</v>
      </c>
      <c r="D154" s="6">
        <v>35517</v>
      </c>
      <c r="E154" s="6">
        <v>0</v>
      </c>
      <c r="F154" s="6">
        <v>0</v>
      </c>
      <c r="G154" s="6">
        <v>0</v>
      </c>
      <c r="H154" s="6">
        <v>0</v>
      </c>
      <c r="I154" s="6">
        <v>0</v>
      </c>
      <c r="J154" s="6">
        <v>0</v>
      </c>
      <c r="K154" s="6">
        <v>35517</v>
      </c>
      <c r="L154" s="6">
        <v>0</v>
      </c>
      <c r="M154" s="6">
        <v>0</v>
      </c>
      <c r="N154" s="23">
        <v>2022</v>
      </c>
    </row>
    <row r="155" spans="1:14" ht="21.5" x14ac:dyDescent="0.35">
      <c r="A155" s="10" t="s">
        <v>167</v>
      </c>
      <c r="B155" s="10"/>
      <c r="C155" s="10">
        <v>6</v>
      </c>
      <c r="D155" s="6">
        <v>52481292</v>
      </c>
      <c r="E155" s="6">
        <v>127769</v>
      </c>
      <c r="F155" s="6">
        <v>750945</v>
      </c>
      <c r="G155" s="6">
        <v>35547827</v>
      </c>
      <c r="H155" s="6">
        <v>489633</v>
      </c>
      <c r="I155" s="6">
        <v>868283</v>
      </c>
      <c r="J155" s="6">
        <v>4753706</v>
      </c>
      <c r="K155" s="6">
        <v>1801573</v>
      </c>
      <c r="L155" s="6">
        <v>3960662</v>
      </c>
      <c r="M155" s="6">
        <v>4180893</v>
      </c>
      <c r="N155" s="22">
        <v>2023</v>
      </c>
    </row>
    <row r="156" spans="1:14" ht="21.5" x14ac:dyDescent="0.35">
      <c r="A156" s="10" t="s">
        <v>167</v>
      </c>
      <c r="B156" s="16" t="s">
        <v>168</v>
      </c>
      <c r="C156" s="10">
        <v>6</v>
      </c>
      <c r="D156" s="6">
        <v>6766</v>
      </c>
      <c r="E156" s="6">
        <v>0</v>
      </c>
      <c r="F156" s="6">
        <v>0</v>
      </c>
      <c r="G156" s="6">
        <v>0</v>
      </c>
      <c r="H156" s="6">
        <v>0</v>
      </c>
      <c r="I156" s="6">
        <v>0</v>
      </c>
      <c r="J156" s="6">
        <v>0</v>
      </c>
      <c r="K156" s="6">
        <v>6766</v>
      </c>
      <c r="L156" s="6">
        <v>0</v>
      </c>
      <c r="M156" s="6">
        <v>0</v>
      </c>
      <c r="N156" s="9">
        <v>2023</v>
      </c>
    </row>
    <row r="157" spans="1:14" ht="21.5" x14ac:dyDescent="0.35">
      <c r="A157" s="10" t="s">
        <v>167</v>
      </c>
      <c r="B157" s="16" t="s">
        <v>169</v>
      </c>
      <c r="C157" s="10">
        <v>6</v>
      </c>
      <c r="D157" s="6">
        <v>112533</v>
      </c>
      <c r="E157" s="6">
        <v>0</v>
      </c>
      <c r="F157" s="6">
        <v>0</v>
      </c>
      <c r="G157" s="6">
        <v>0</v>
      </c>
      <c r="H157" s="6">
        <v>0</v>
      </c>
      <c r="I157" s="6">
        <v>0</v>
      </c>
      <c r="J157" s="6">
        <v>0</v>
      </c>
      <c r="K157" s="6">
        <v>112533</v>
      </c>
      <c r="L157" s="6">
        <v>0</v>
      </c>
      <c r="M157" s="6">
        <v>0</v>
      </c>
      <c r="N157" s="22">
        <v>2023</v>
      </c>
    </row>
    <row r="158" spans="1:14" ht="21.5" x14ac:dyDescent="0.35">
      <c r="A158" s="10" t="s">
        <v>167</v>
      </c>
      <c r="B158" s="16" t="s">
        <v>233</v>
      </c>
      <c r="C158" s="10">
        <v>6</v>
      </c>
      <c r="D158" s="6">
        <v>794246</v>
      </c>
      <c r="E158" s="6">
        <v>78508</v>
      </c>
      <c r="F158" s="6">
        <v>0</v>
      </c>
      <c r="G158" s="6">
        <v>478987</v>
      </c>
      <c r="H158" s="6">
        <v>0</v>
      </c>
      <c r="I158" s="6">
        <v>0</v>
      </c>
      <c r="J158" s="6">
        <v>0</v>
      </c>
      <c r="K158" s="6">
        <v>0</v>
      </c>
      <c r="L158" s="6">
        <v>199751</v>
      </c>
      <c r="M158" s="6">
        <v>37000</v>
      </c>
      <c r="N158" s="9">
        <v>2023</v>
      </c>
    </row>
    <row r="159" spans="1:14" ht="21.5" x14ac:dyDescent="0.35">
      <c r="A159" s="10" t="s">
        <v>167</v>
      </c>
      <c r="B159" s="16" t="s">
        <v>170</v>
      </c>
      <c r="C159" s="10">
        <v>6</v>
      </c>
      <c r="D159" s="6">
        <v>337445</v>
      </c>
      <c r="E159" s="6">
        <v>49189</v>
      </c>
      <c r="F159" s="6">
        <v>0</v>
      </c>
      <c r="G159" s="6">
        <v>192974</v>
      </c>
      <c r="H159" s="6">
        <v>0</v>
      </c>
      <c r="I159" s="6">
        <v>0</v>
      </c>
      <c r="J159" s="6">
        <v>7799</v>
      </c>
      <c r="K159" s="6">
        <v>20813</v>
      </c>
      <c r="L159" s="6">
        <v>803</v>
      </c>
      <c r="M159" s="6">
        <v>65867</v>
      </c>
      <c r="N159" s="22">
        <v>2023</v>
      </c>
    </row>
    <row r="160" spans="1:14" ht="21.5" x14ac:dyDescent="0.35">
      <c r="A160" s="10" t="s">
        <v>167</v>
      </c>
      <c r="B160" s="16" t="s">
        <v>171</v>
      </c>
      <c r="C160" s="10">
        <v>6</v>
      </c>
      <c r="D160" s="6">
        <v>18556</v>
      </c>
      <c r="E160" s="6">
        <v>0</v>
      </c>
      <c r="F160" s="6">
        <v>18556</v>
      </c>
      <c r="G160" s="6">
        <v>0</v>
      </c>
      <c r="H160" s="6">
        <v>0</v>
      </c>
      <c r="I160" s="6">
        <v>0</v>
      </c>
      <c r="J160" s="6">
        <v>0</v>
      </c>
      <c r="K160" s="6">
        <v>0</v>
      </c>
      <c r="L160" s="6">
        <v>0</v>
      </c>
      <c r="M160" s="6">
        <v>0</v>
      </c>
      <c r="N160" s="9">
        <v>2023</v>
      </c>
    </row>
    <row r="161" spans="1:14" ht="21.5" x14ac:dyDescent="0.35">
      <c r="A161" s="10" t="s">
        <v>167</v>
      </c>
      <c r="B161" s="16" t="s">
        <v>230</v>
      </c>
      <c r="C161" s="10">
        <v>6</v>
      </c>
      <c r="D161" s="6">
        <v>5913137</v>
      </c>
      <c r="E161" s="6">
        <v>0</v>
      </c>
      <c r="F161" s="6">
        <v>0</v>
      </c>
      <c r="G161" s="6">
        <v>5913137</v>
      </c>
      <c r="H161" s="6">
        <v>0</v>
      </c>
      <c r="I161" s="6">
        <v>0</v>
      </c>
      <c r="J161" s="6">
        <v>0</v>
      </c>
      <c r="K161" s="6">
        <v>0</v>
      </c>
      <c r="L161" s="6">
        <v>0</v>
      </c>
      <c r="M161" s="6">
        <v>0</v>
      </c>
      <c r="N161" s="22">
        <v>2023</v>
      </c>
    </row>
    <row r="162" spans="1:14" ht="21.5" x14ac:dyDescent="0.35">
      <c r="A162" s="10" t="s">
        <v>167</v>
      </c>
      <c r="B162" s="16" t="s">
        <v>172</v>
      </c>
      <c r="C162" s="10">
        <v>6</v>
      </c>
      <c r="D162" s="6">
        <v>443892</v>
      </c>
      <c r="E162" s="6">
        <v>73</v>
      </c>
      <c r="F162" s="6">
        <v>696</v>
      </c>
      <c r="G162" s="6">
        <v>345770</v>
      </c>
      <c r="H162" s="6">
        <v>0</v>
      </c>
      <c r="I162" s="6">
        <v>3729</v>
      </c>
      <c r="J162" s="6">
        <v>1048</v>
      </c>
      <c r="K162" s="6">
        <v>49704</v>
      </c>
      <c r="L162" s="6">
        <v>26871</v>
      </c>
      <c r="M162" s="6">
        <v>16002</v>
      </c>
      <c r="N162" s="9">
        <v>2023</v>
      </c>
    </row>
    <row r="163" spans="1:14" ht="21.5" x14ac:dyDescent="0.35">
      <c r="A163" s="10" t="s">
        <v>167</v>
      </c>
      <c r="B163" s="16" t="s">
        <v>173</v>
      </c>
      <c r="C163" s="10">
        <v>6</v>
      </c>
      <c r="D163" s="6">
        <v>34924</v>
      </c>
      <c r="E163" s="6">
        <v>0</v>
      </c>
      <c r="F163" s="6">
        <v>0</v>
      </c>
      <c r="G163" s="6">
        <v>34924</v>
      </c>
      <c r="H163" s="6">
        <v>0</v>
      </c>
      <c r="I163" s="6">
        <v>0</v>
      </c>
      <c r="J163" s="6">
        <v>0</v>
      </c>
      <c r="K163" s="6">
        <v>0</v>
      </c>
      <c r="L163" s="6">
        <v>0</v>
      </c>
      <c r="M163" s="6">
        <v>0</v>
      </c>
      <c r="N163" s="22">
        <v>2023</v>
      </c>
    </row>
    <row r="164" spans="1:14" ht="21.5" x14ac:dyDescent="0.35">
      <c r="A164" s="10" t="s">
        <v>167</v>
      </c>
      <c r="B164" s="16" t="s">
        <v>174</v>
      </c>
      <c r="C164" s="10">
        <v>6</v>
      </c>
      <c r="D164" s="6">
        <v>710003</v>
      </c>
      <c r="E164" s="6">
        <v>0</v>
      </c>
      <c r="F164" s="6">
        <v>0</v>
      </c>
      <c r="G164" s="6">
        <v>710003</v>
      </c>
      <c r="H164" s="6">
        <v>0</v>
      </c>
      <c r="I164" s="6">
        <v>0</v>
      </c>
      <c r="J164" s="6">
        <v>0</v>
      </c>
      <c r="K164" s="6">
        <v>0</v>
      </c>
      <c r="L164" s="6">
        <v>0</v>
      </c>
      <c r="M164" s="6">
        <v>0</v>
      </c>
      <c r="N164" s="9">
        <v>2023</v>
      </c>
    </row>
    <row r="165" spans="1:14" ht="21.5" x14ac:dyDescent="0.35">
      <c r="A165" s="10" t="s">
        <v>167</v>
      </c>
      <c r="B165" s="16" t="s">
        <v>175</v>
      </c>
      <c r="C165" s="10">
        <v>6</v>
      </c>
      <c r="D165" s="6">
        <v>81132</v>
      </c>
      <c r="E165" s="6">
        <v>0</v>
      </c>
      <c r="F165" s="6">
        <v>0</v>
      </c>
      <c r="G165" s="6">
        <v>78753</v>
      </c>
      <c r="H165" s="6">
        <v>0</v>
      </c>
      <c r="I165" s="6">
        <v>0</v>
      </c>
      <c r="J165" s="6">
        <v>0</v>
      </c>
      <c r="K165" s="6">
        <v>0</v>
      </c>
      <c r="L165" s="6">
        <v>0</v>
      </c>
      <c r="M165" s="6">
        <v>2380</v>
      </c>
      <c r="N165" s="22">
        <v>2023</v>
      </c>
    </row>
    <row r="166" spans="1:14" ht="21.5" x14ac:dyDescent="0.35">
      <c r="A166" s="10" t="s">
        <v>167</v>
      </c>
      <c r="B166" s="16" t="s">
        <v>176</v>
      </c>
      <c r="C166" s="10">
        <v>6</v>
      </c>
      <c r="D166" s="6">
        <v>43994460</v>
      </c>
      <c r="E166" s="6">
        <v>0</v>
      </c>
      <c r="F166" s="6">
        <v>731693</v>
      </c>
      <c r="G166" s="6">
        <v>27793280</v>
      </c>
      <c r="H166" s="6">
        <v>489633</v>
      </c>
      <c r="I166" s="6">
        <v>864554</v>
      </c>
      <c r="J166" s="6">
        <v>4744859</v>
      </c>
      <c r="K166" s="6">
        <v>1577560</v>
      </c>
      <c r="L166" s="6">
        <v>3733236</v>
      </c>
      <c r="M166" s="6">
        <v>4059645</v>
      </c>
      <c r="N166" s="9">
        <v>2023</v>
      </c>
    </row>
    <row r="167" spans="1:14" ht="21.5" x14ac:dyDescent="0.35">
      <c r="A167" s="10" t="s">
        <v>167</v>
      </c>
      <c r="B167" s="16" t="s">
        <v>177</v>
      </c>
      <c r="C167" s="10">
        <v>6</v>
      </c>
      <c r="D167" s="6">
        <v>34196</v>
      </c>
      <c r="E167" s="6">
        <v>0</v>
      </c>
      <c r="F167" s="6">
        <v>0</v>
      </c>
      <c r="G167" s="6">
        <v>0</v>
      </c>
      <c r="H167" s="6">
        <v>0</v>
      </c>
      <c r="I167" s="6">
        <v>0</v>
      </c>
      <c r="J167" s="6">
        <v>0</v>
      </c>
      <c r="K167" s="6">
        <v>34196</v>
      </c>
      <c r="L167" s="6">
        <v>0</v>
      </c>
      <c r="M167" s="6">
        <v>0</v>
      </c>
      <c r="N167" s="22">
        <v>2023</v>
      </c>
    </row>
    <row r="168" spans="1:14" ht="21.5" x14ac:dyDescent="0.35">
      <c r="A168" s="10" t="s">
        <v>167</v>
      </c>
      <c r="B168" s="10"/>
      <c r="C168" s="10">
        <v>6</v>
      </c>
      <c r="D168" s="6">
        <v>49406116</v>
      </c>
      <c r="E168" s="6">
        <v>270486</v>
      </c>
      <c r="F168" s="6">
        <v>742306</v>
      </c>
      <c r="G168" s="6">
        <v>31855667</v>
      </c>
      <c r="H168" s="6">
        <v>492511</v>
      </c>
      <c r="I168" s="6">
        <v>871078</v>
      </c>
      <c r="J168" s="6">
        <v>4781155</v>
      </c>
      <c r="K168" s="6">
        <v>1811820</v>
      </c>
      <c r="L168" s="6">
        <v>3776018</v>
      </c>
      <c r="M168" s="6">
        <v>4805075</v>
      </c>
      <c r="N168" s="9">
        <v>2024</v>
      </c>
    </row>
    <row r="169" spans="1:14" ht="21.5" x14ac:dyDescent="0.35">
      <c r="A169" s="10" t="s">
        <v>167</v>
      </c>
      <c r="B169" s="16" t="s">
        <v>168</v>
      </c>
      <c r="C169" s="10">
        <v>6</v>
      </c>
      <c r="D169" s="6">
        <v>6882</v>
      </c>
      <c r="E169" s="6">
        <v>0</v>
      </c>
      <c r="F169" s="6">
        <v>0</v>
      </c>
      <c r="G169" s="6">
        <v>0</v>
      </c>
      <c r="H169" s="6">
        <v>0</v>
      </c>
      <c r="I169" s="6">
        <v>0</v>
      </c>
      <c r="J169" s="6">
        <v>0</v>
      </c>
      <c r="K169" s="6">
        <v>6882</v>
      </c>
      <c r="L169" s="6">
        <v>0</v>
      </c>
      <c r="M169" s="6">
        <v>0</v>
      </c>
      <c r="N169" s="22">
        <v>2024</v>
      </c>
    </row>
    <row r="170" spans="1:14" ht="21.5" x14ac:dyDescent="0.35">
      <c r="A170" s="10" t="s">
        <v>167</v>
      </c>
      <c r="B170" s="16" t="s">
        <v>169</v>
      </c>
      <c r="C170" s="10">
        <v>6</v>
      </c>
      <c r="D170" s="6">
        <v>112658</v>
      </c>
      <c r="E170" s="6">
        <v>0</v>
      </c>
      <c r="F170" s="6">
        <v>0</v>
      </c>
      <c r="G170" s="6">
        <v>0</v>
      </c>
      <c r="H170" s="6">
        <v>0</v>
      </c>
      <c r="I170" s="6">
        <v>0</v>
      </c>
      <c r="J170" s="6">
        <v>0</v>
      </c>
      <c r="K170" s="6">
        <v>112658</v>
      </c>
      <c r="L170" s="6">
        <v>0</v>
      </c>
      <c r="M170" s="6">
        <v>0</v>
      </c>
      <c r="N170" s="9">
        <v>2024</v>
      </c>
    </row>
    <row r="171" spans="1:14" ht="21.5" x14ac:dyDescent="0.35">
      <c r="A171" s="10" t="s">
        <v>167</v>
      </c>
      <c r="B171" s="16" t="s">
        <v>233</v>
      </c>
      <c r="C171" s="10">
        <v>6</v>
      </c>
      <c r="D171" s="6">
        <v>1515995</v>
      </c>
      <c r="E171" s="6">
        <v>221104</v>
      </c>
      <c r="F171" s="6">
        <v>0</v>
      </c>
      <c r="G171" s="6">
        <v>656147</v>
      </c>
      <c r="H171" s="6">
        <v>0</v>
      </c>
      <c r="I171" s="6">
        <v>0</v>
      </c>
      <c r="J171" s="6">
        <v>0</v>
      </c>
      <c r="K171" s="6">
        <v>0</v>
      </c>
      <c r="L171" s="6">
        <v>827</v>
      </c>
      <c r="M171" s="6">
        <v>637918</v>
      </c>
      <c r="N171" s="22">
        <v>2024</v>
      </c>
    </row>
    <row r="172" spans="1:14" ht="21.5" x14ac:dyDescent="0.35">
      <c r="A172" s="10" t="s">
        <v>167</v>
      </c>
      <c r="B172" s="16" t="s">
        <v>170</v>
      </c>
      <c r="C172" s="10">
        <v>6</v>
      </c>
      <c r="D172" s="6">
        <v>337445</v>
      </c>
      <c r="E172" s="6">
        <v>49189</v>
      </c>
      <c r="F172" s="6">
        <v>0</v>
      </c>
      <c r="G172" s="6">
        <v>192974</v>
      </c>
      <c r="H172" s="6">
        <v>0</v>
      </c>
      <c r="I172" s="6">
        <v>0</v>
      </c>
      <c r="J172" s="6">
        <v>7799</v>
      </c>
      <c r="K172" s="6">
        <v>20813</v>
      </c>
      <c r="L172" s="6">
        <v>803</v>
      </c>
      <c r="M172" s="6">
        <v>65867</v>
      </c>
      <c r="N172" s="9">
        <v>2024</v>
      </c>
    </row>
    <row r="173" spans="1:14" ht="21.5" x14ac:dyDescent="0.35">
      <c r="A173" s="10" t="s">
        <v>167</v>
      </c>
      <c r="B173" s="16" t="s">
        <v>171</v>
      </c>
      <c r="C173" s="10">
        <v>6</v>
      </c>
      <c r="D173" s="6">
        <v>5891</v>
      </c>
      <c r="E173" s="6">
        <v>0</v>
      </c>
      <c r="F173" s="6">
        <v>5891</v>
      </c>
      <c r="G173" s="6">
        <v>0</v>
      </c>
      <c r="H173" s="6">
        <v>0</v>
      </c>
      <c r="I173" s="6">
        <v>0</v>
      </c>
      <c r="J173" s="6">
        <v>0</v>
      </c>
      <c r="K173" s="6">
        <v>0</v>
      </c>
      <c r="L173" s="6">
        <v>0</v>
      </c>
      <c r="M173" s="6">
        <v>0</v>
      </c>
      <c r="N173" s="22">
        <v>2024</v>
      </c>
    </row>
    <row r="174" spans="1:14" ht="21.5" x14ac:dyDescent="0.35">
      <c r="A174" s="10" t="s">
        <v>167</v>
      </c>
      <c r="B174" s="16" t="s">
        <v>230</v>
      </c>
      <c r="C174" s="10">
        <v>6</v>
      </c>
      <c r="D174" s="6">
        <v>1925740</v>
      </c>
      <c r="E174" s="6">
        <v>0</v>
      </c>
      <c r="F174" s="6">
        <v>0</v>
      </c>
      <c r="G174" s="6">
        <v>1925740</v>
      </c>
      <c r="H174" s="6">
        <v>0</v>
      </c>
      <c r="I174" s="6">
        <v>0</v>
      </c>
      <c r="J174" s="6">
        <v>0</v>
      </c>
      <c r="K174" s="6">
        <v>0</v>
      </c>
      <c r="L174" s="6">
        <v>0</v>
      </c>
      <c r="M174" s="6">
        <v>0</v>
      </c>
      <c r="N174" s="9">
        <v>2024</v>
      </c>
    </row>
    <row r="175" spans="1:14" ht="21.5" x14ac:dyDescent="0.35">
      <c r="A175" s="10" t="s">
        <v>167</v>
      </c>
      <c r="B175" s="16" t="s">
        <v>172</v>
      </c>
      <c r="C175" s="10">
        <v>6</v>
      </c>
      <c r="D175" s="6">
        <v>391692</v>
      </c>
      <c r="E175" s="6">
        <v>194</v>
      </c>
      <c r="F175" s="6">
        <v>422</v>
      </c>
      <c r="G175" s="6">
        <v>304284</v>
      </c>
      <c r="H175" s="6">
        <v>0</v>
      </c>
      <c r="I175" s="6">
        <v>1443</v>
      </c>
      <c r="J175" s="6">
        <v>612</v>
      </c>
      <c r="K175" s="6">
        <v>49635</v>
      </c>
      <c r="L175" s="6">
        <v>19213</v>
      </c>
      <c r="M175" s="6">
        <v>15888</v>
      </c>
      <c r="N175" s="22">
        <v>2024</v>
      </c>
    </row>
    <row r="176" spans="1:14" ht="21.5" x14ac:dyDescent="0.35">
      <c r="A176" s="10" t="s">
        <v>167</v>
      </c>
      <c r="B176" s="16" t="s">
        <v>173</v>
      </c>
      <c r="C176" s="10">
        <v>6</v>
      </c>
      <c r="D176" s="6">
        <v>35622</v>
      </c>
      <c r="E176" s="6">
        <v>0</v>
      </c>
      <c r="F176" s="6">
        <v>0</v>
      </c>
      <c r="G176" s="6">
        <v>35622</v>
      </c>
      <c r="H176" s="6">
        <v>0</v>
      </c>
      <c r="I176" s="6">
        <v>0</v>
      </c>
      <c r="J176" s="6">
        <v>0</v>
      </c>
      <c r="K176" s="6">
        <v>0</v>
      </c>
      <c r="L176" s="6">
        <v>0</v>
      </c>
      <c r="M176" s="6">
        <v>0</v>
      </c>
      <c r="N176" s="9">
        <v>2024</v>
      </c>
    </row>
    <row r="177" spans="1:16" ht="21.5" x14ac:dyDescent="0.35">
      <c r="A177" s="10" t="s">
        <v>167</v>
      </c>
      <c r="B177" s="16" t="s">
        <v>174</v>
      </c>
      <c r="C177" s="10">
        <v>6</v>
      </c>
      <c r="D177" s="6">
        <v>706883</v>
      </c>
      <c r="E177" s="6">
        <v>0</v>
      </c>
      <c r="F177" s="6">
        <v>0</v>
      </c>
      <c r="G177" s="6">
        <v>706883</v>
      </c>
      <c r="H177" s="6">
        <v>0</v>
      </c>
      <c r="I177" s="6">
        <v>0</v>
      </c>
      <c r="J177" s="6">
        <v>0</v>
      </c>
      <c r="K177" s="6">
        <v>0</v>
      </c>
      <c r="L177" s="6">
        <v>0</v>
      </c>
      <c r="M177" s="6">
        <v>0</v>
      </c>
      <c r="N177" s="22">
        <v>2024</v>
      </c>
    </row>
    <row r="178" spans="1:16" ht="21.5" x14ac:dyDescent="0.35">
      <c r="A178" s="10" t="s">
        <v>167</v>
      </c>
      <c r="B178" s="16" t="s">
        <v>175</v>
      </c>
      <c r="C178" s="10">
        <v>6</v>
      </c>
      <c r="D178" s="6">
        <v>79305</v>
      </c>
      <c r="E178" s="6">
        <v>0</v>
      </c>
      <c r="F178" s="6">
        <v>0</v>
      </c>
      <c r="G178" s="6">
        <v>77405</v>
      </c>
      <c r="H178" s="6">
        <v>0</v>
      </c>
      <c r="I178" s="6">
        <v>0</v>
      </c>
      <c r="J178" s="6">
        <v>0</v>
      </c>
      <c r="K178" s="6">
        <v>0</v>
      </c>
      <c r="L178" s="6">
        <v>0</v>
      </c>
      <c r="M178" s="6">
        <v>1900</v>
      </c>
      <c r="N178" s="9">
        <v>2024</v>
      </c>
      <c r="P178" s="26"/>
    </row>
    <row r="179" spans="1:16" ht="21.5" x14ac:dyDescent="0.35">
      <c r="A179" s="10" t="s">
        <v>167</v>
      </c>
      <c r="B179" s="16" t="s">
        <v>176</v>
      </c>
      <c r="C179" s="10">
        <v>6</v>
      </c>
      <c r="D179" s="6">
        <v>44253003</v>
      </c>
      <c r="E179" s="6">
        <v>0</v>
      </c>
      <c r="F179" s="6">
        <v>735993</v>
      </c>
      <c r="G179" s="6">
        <v>27956613</v>
      </c>
      <c r="H179" s="6">
        <v>492511</v>
      </c>
      <c r="I179" s="6">
        <v>869635</v>
      </c>
      <c r="J179" s="6">
        <v>4772743</v>
      </c>
      <c r="K179" s="6">
        <v>1586831</v>
      </c>
      <c r="L179" s="6">
        <v>3755175</v>
      </c>
      <c r="M179" s="6">
        <v>4083502</v>
      </c>
      <c r="N179" s="9">
        <v>2024</v>
      </c>
      <c r="P179" s="26"/>
    </row>
    <row r="180" spans="1:16" ht="21.5" x14ac:dyDescent="0.35">
      <c r="A180" s="10" t="s">
        <v>167</v>
      </c>
      <c r="B180" s="16" t="s">
        <v>177</v>
      </c>
      <c r="C180" s="10">
        <v>6</v>
      </c>
      <c r="D180" s="6">
        <v>35000</v>
      </c>
      <c r="E180" s="6">
        <v>0</v>
      </c>
      <c r="F180" s="6">
        <v>0</v>
      </c>
      <c r="G180" s="6">
        <v>0</v>
      </c>
      <c r="H180" s="6">
        <v>0</v>
      </c>
      <c r="I180" s="6">
        <v>0</v>
      </c>
      <c r="J180" s="6">
        <v>0</v>
      </c>
      <c r="K180" s="6">
        <v>35000</v>
      </c>
      <c r="L180" s="6">
        <v>0</v>
      </c>
      <c r="M180" s="6">
        <v>0</v>
      </c>
      <c r="N180" s="22">
        <v>2024</v>
      </c>
      <c r="P180" s="26"/>
    </row>
    <row r="181" spans="1:16" ht="15.5" x14ac:dyDescent="0.35">
      <c r="A181" s="10" t="s">
        <v>178</v>
      </c>
      <c r="B181" s="10"/>
      <c r="C181" s="10">
        <v>7</v>
      </c>
      <c r="D181" s="6">
        <v>238163</v>
      </c>
      <c r="E181" s="6">
        <v>57936</v>
      </c>
      <c r="F181" s="6">
        <v>9672</v>
      </c>
      <c r="G181" s="6">
        <v>2675</v>
      </c>
      <c r="H181" s="7" t="s">
        <v>143</v>
      </c>
      <c r="I181" s="6">
        <v>17277</v>
      </c>
      <c r="J181" s="6">
        <v>65</v>
      </c>
      <c r="K181" s="7" t="s">
        <v>143</v>
      </c>
      <c r="L181" s="6">
        <v>94436</v>
      </c>
      <c r="M181" s="6">
        <v>56102</v>
      </c>
      <c r="N181" s="23">
        <v>2021</v>
      </c>
      <c r="P181" s="26"/>
    </row>
    <row r="182" spans="1:16" x14ac:dyDescent="0.35">
      <c r="A182" s="10" t="s">
        <v>178</v>
      </c>
      <c r="B182" s="16" t="s">
        <v>179</v>
      </c>
      <c r="C182" s="10">
        <v>7</v>
      </c>
      <c r="D182" s="6">
        <v>2995</v>
      </c>
      <c r="E182" s="6">
        <v>1030</v>
      </c>
      <c r="F182" s="6">
        <v>100</v>
      </c>
      <c r="G182" s="6">
        <v>0</v>
      </c>
      <c r="H182" s="6">
        <v>0</v>
      </c>
      <c r="I182" s="6">
        <v>0</v>
      </c>
      <c r="J182" s="6">
        <v>65</v>
      </c>
      <c r="K182" s="6">
        <v>0</v>
      </c>
      <c r="L182" s="6">
        <v>1800</v>
      </c>
      <c r="M182" s="6">
        <v>0</v>
      </c>
      <c r="N182" s="22">
        <v>2021</v>
      </c>
      <c r="P182" s="26"/>
    </row>
    <row r="183" spans="1:16" ht="21.5" x14ac:dyDescent="0.35">
      <c r="A183" s="10" t="s">
        <v>178</v>
      </c>
      <c r="B183" s="16" t="s">
        <v>180</v>
      </c>
      <c r="C183" s="10">
        <v>7</v>
      </c>
      <c r="D183" s="6">
        <v>21291</v>
      </c>
      <c r="E183" s="6">
        <v>6656</v>
      </c>
      <c r="F183" s="6">
        <v>0</v>
      </c>
      <c r="G183" s="6">
        <v>2675</v>
      </c>
      <c r="H183" s="6">
        <v>0</v>
      </c>
      <c r="I183" s="6">
        <v>11959</v>
      </c>
      <c r="J183" s="6">
        <v>0</v>
      </c>
      <c r="K183" s="6">
        <v>0</v>
      </c>
      <c r="L183" s="6">
        <v>0</v>
      </c>
      <c r="M183" s="6">
        <v>0</v>
      </c>
      <c r="N183" s="23">
        <v>2021</v>
      </c>
      <c r="P183" s="26"/>
    </row>
    <row r="184" spans="1:16" ht="21.5" x14ac:dyDescent="0.35">
      <c r="A184" s="10" t="s">
        <v>178</v>
      </c>
      <c r="B184" s="16" t="s">
        <v>181</v>
      </c>
      <c r="C184" s="10">
        <v>7</v>
      </c>
      <c r="D184" s="6">
        <v>9032</v>
      </c>
      <c r="E184" s="6">
        <v>7213</v>
      </c>
      <c r="F184" s="6">
        <v>1026</v>
      </c>
      <c r="G184" s="6">
        <v>0</v>
      </c>
      <c r="H184" s="6">
        <v>0</v>
      </c>
      <c r="I184" s="6">
        <v>0</v>
      </c>
      <c r="J184" s="6">
        <v>0</v>
      </c>
      <c r="K184" s="6">
        <v>0</v>
      </c>
      <c r="L184" s="6">
        <v>793</v>
      </c>
      <c r="M184" s="6">
        <v>0</v>
      </c>
      <c r="N184" s="22">
        <v>2021</v>
      </c>
      <c r="P184" s="26"/>
    </row>
    <row r="185" spans="1:16" ht="21.5" x14ac:dyDescent="0.35">
      <c r="A185" s="10" t="s">
        <v>178</v>
      </c>
      <c r="B185" s="16" t="s">
        <v>182</v>
      </c>
      <c r="C185" s="10">
        <v>7</v>
      </c>
      <c r="D185" s="6">
        <v>203845</v>
      </c>
      <c r="E185" s="6">
        <v>43037</v>
      </c>
      <c r="F185" s="6">
        <v>8546</v>
      </c>
      <c r="G185" s="7" t="s">
        <v>143</v>
      </c>
      <c r="H185" s="7" t="s">
        <v>143</v>
      </c>
      <c r="I185" s="6">
        <v>5318</v>
      </c>
      <c r="J185" s="7" t="s">
        <v>143</v>
      </c>
      <c r="K185" s="7" t="s">
        <v>143</v>
      </c>
      <c r="L185" s="6">
        <v>91843</v>
      </c>
      <c r="M185" s="6">
        <v>55102</v>
      </c>
      <c r="N185" s="23">
        <v>2021</v>
      </c>
      <c r="P185" s="26"/>
    </row>
    <row r="186" spans="1:16" ht="21.5" x14ac:dyDescent="0.35">
      <c r="A186" s="10" t="s">
        <v>178</v>
      </c>
      <c r="B186" s="16" t="s">
        <v>183</v>
      </c>
      <c r="C186" s="10">
        <v>7</v>
      </c>
      <c r="D186" s="6">
        <v>1000</v>
      </c>
      <c r="E186" s="6">
        <v>0</v>
      </c>
      <c r="F186" s="6">
        <v>0</v>
      </c>
      <c r="G186" s="6">
        <v>0</v>
      </c>
      <c r="H186" s="6">
        <v>0</v>
      </c>
      <c r="I186" s="6">
        <v>0</v>
      </c>
      <c r="J186" s="6">
        <v>0</v>
      </c>
      <c r="K186" s="6">
        <v>0</v>
      </c>
      <c r="L186" s="6">
        <v>0</v>
      </c>
      <c r="M186" s="6">
        <v>1000</v>
      </c>
      <c r="N186" s="22">
        <v>2021</v>
      </c>
      <c r="P186" s="26"/>
    </row>
    <row r="187" spans="1:16" x14ac:dyDescent="0.35">
      <c r="A187" s="10" t="s">
        <v>178</v>
      </c>
      <c r="B187" s="10"/>
      <c r="C187" s="10">
        <v>7</v>
      </c>
      <c r="D187" s="6">
        <v>327816</v>
      </c>
      <c r="E187" s="6">
        <v>87792</v>
      </c>
      <c r="F187" s="6">
        <v>20843</v>
      </c>
      <c r="G187" s="6">
        <v>10320</v>
      </c>
      <c r="H187" s="6">
        <v>0</v>
      </c>
      <c r="I187" s="6">
        <v>38001</v>
      </c>
      <c r="J187" s="6">
        <v>0</v>
      </c>
      <c r="K187" s="6">
        <v>0</v>
      </c>
      <c r="L187" s="6">
        <v>112196</v>
      </c>
      <c r="M187" s="6">
        <v>58664</v>
      </c>
      <c r="N187" s="23">
        <v>2022</v>
      </c>
      <c r="P187" s="26"/>
    </row>
    <row r="188" spans="1:16" x14ac:dyDescent="0.35">
      <c r="A188" s="10" t="s">
        <v>178</v>
      </c>
      <c r="B188" s="16" t="s">
        <v>179</v>
      </c>
      <c r="C188" s="10">
        <v>7</v>
      </c>
      <c r="D188" s="6">
        <v>2243</v>
      </c>
      <c r="E188" s="6">
        <v>563</v>
      </c>
      <c r="F188" s="6">
        <v>3</v>
      </c>
      <c r="G188" s="6">
        <v>0</v>
      </c>
      <c r="H188" s="6">
        <v>0</v>
      </c>
      <c r="I188" s="6">
        <v>0</v>
      </c>
      <c r="J188" s="6">
        <v>0</v>
      </c>
      <c r="K188" s="6">
        <v>0</v>
      </c>
      <c r="L188" s="6">
        <v>1678</v>
      </c>
      <c r="M188" s="6">
        <v>0</v>
      </c>
      <c r="N188" s="22">
        <v>2022</v>
      </c>
      <c r="P188" s="26"/>
    </row>
    <row r="189" spans="1:16" ht="21.5" x14ac:dyDescent="0.35">
      <c r="A189" s="10" t="s">
        <v>178</v>
      </c>
      <c r="B189" s="16" t="s">
        <v>180</v>
      </c>
      <c r="C189" s="10">
        <v>7</v>
      </c>
      <c r="D189" s="6">
        <v>34878</v>
      </c>
      <c r="E189" s="6">
        <v>7919</v>
      </c>
      <c r="F189" s="6">
        <v>0</v>
      </c>
      <c r="G189" s="6">
        <v>5500</v>
      </c>
      <c r="H189" s="6">
        <v>0</v>
      </c>
      <c r="I189" s="6">
        <v>21459</v>
      </c>
      <c r="J189" s="6">
        <v>0</v>
      </c>
      <c r="K189" s="6">
        <v>0</v>
      </c>
      <c r="L189" s="6">
        <v>0</v>
      </c>
      <c r="M189" s="6">
        <v>0</v>
      </c>
      <c r="N189" s="23">
        <v>2022</v>
      </c>
      <c r="P189" s="26"/>
    </row>
    <row r="190" spans="1:16" ht="21.5" x14ac:dyDescent="0.35">
      <c r="A190" s="10" t="s">
        <v>178</v>
      </c>
      <c r="B190" s="16" t="s">
        <v>181</v>
      </c>
      <c r="C190" s="10">
        <v>7</v>
      </c>
      <c r="D190" s="6">
        <v>3440</v>
      </c>
      <c r="E190" s="6">
        <v>2647</v>
      </c>
      <c r="F190" s="6">
        <v>0</v>
      </c>
      <c r="G190" s="6">
        <v>0</v>
      </c>
      <c r="H190" s="6">
        <v>0</v>
      </c>
      <c r="I190" s="6">
        <v>0</v>
      </c>
      <c r="J190" s="6">
        <v>0</v>
      </c>
      <c r="K190" s="6">
        <v>0</v>
      </c>
      <c r="L190" s="6">
        <v>793</v>
      </c>
      <c r="M190" s="6">
        <v>0</v>
      </c>
      <c r="N190" s="22">
        <v>2022</v>
      </c>
      <c r="P190" s="26"/>
    </row>
    <row r="191" spans="1:16" ht="21.5" x14ac:dyDescent="0.35">
      <c r="A191" s="10" t="s">
        <v>178</v>
      </c>
      <c r="B191" s="16" t="s">
        <v>182</v>
      </c>
      <c r="C191" s="10">
        <v>7</v>
      </c>
      <c r="D191" s="6">
        <v>287005</v>
      </c>
      <c r="E191" s="6">
        <v>76414</v>
      </c>
      <c r="F191" s="6">
        <v>20840</v>
      </c>
      <c r="G191" s="6">
        <v>4820</v>
      </c>
      <c r="H191" s="6">
        <v>0</v>
      </c>
      <c r="I191" s="6">
        <v>16542</v>
      </c>
      <c r="J191" s="6">
        <v>0</v>
      </c>
      <c r="K191" s="6">
        <v>0</v>
      </c>
      <c r="L191" s="6">
        <v>109725</v>
      </c>
      <c r="M191" s="6">
        <v>58664</v>
      </c>
      <c r="N191" s="23">
        <v>2022</v>
      </c>
      <c r="P191" s="26"/>
    </row>
    <row r="192" spans="1:16" x14ac:dyDescent="0.35">
      <c r="A192" s="10" t="s">
        <v>178</v>
      </c>
      <c r="B192" s="16" t="s">
        <v>231</v>
      </c>
      <c r="C192" s="10">
        <v>7</v>
      </c>
      <c r="D192" s="6">
        <v>250</v>
      </c>
      <c r="E192" s="6">
        <v>250</v>
      </c>
      <c r="F192" s="6">
        <v>0</v>
      </c>
      <c r="G192" s="6">
        <v>0</v>
      </c>
      <c r="H192" s="6">
        <v>0</v>
      </c>
      <c r="I192" s="6">
        <v>0</v>
      </c>
      <c r="J192" s="6">
        <v>0</v>
      </c>
      <c r="K192" s="6">
        <v>0</v>
      </c>
      <c r="L192" s="6">
        <v>0</v>
      </c>
      <c r="M192" s="6">
        <v>0</v>
      </c>
      <c r="N192" s="22">
        <v>2022</v>
      </c>
      <c r="P192" s="26"/>
    </row>
    <row r="193" spans="1:16" ht="21.5" x14ac:dyDescent="0.35">
      <c r="A193" s="10" t="s">
        <v>178</v>
      </c>
      <c r="B193" s="16" t="s">
        <v>183</v>
      </c>
      <c r="C193" s="10">
        <v>7</v>
      </c>
      <c r="D193" s="7" t="s">
        <v>143</v>
      </c>
      <c r="E193" s="7" t="s">
        <v>143</v>
      </c>
      <c r="F193" s="6">
        <v>0</v>
      </c>
      <c r="G193" s="6">
        <v>0</v>
      </c>
      <c r="H193" s="6">
        <v>0</v>
      </c>
      <c r="I193" s="6">
        <v>0</v>
      </c>
      <c r="J193" s="6">
        <v>0</v>
      </c>
      <c r="K193" s="6">
        <v>0</v>
      </c>
      <c r="L193" s="6">
        <v>0</v>
      </c>
      <c r="M193" s="6">
        <v>0</v>
      </c>
      <c r="N193" s="23">
        <v>2022</v>
      </c>
      <c r="P193" s="26"/>
    </row>
    <row r="194" spans="1:16" x14ac:dyDescent="0.35">
      <c r="A194" s="10" t="s">
        <v>178</v>
      </c>
      <c r="B194" s="10"/>
      <c r="C194" s="10">
        <v>7</v>
      </c>
      <c r="D194" s="6">
        <v>256248</v>
      </c>
      <c r="E194" s="6">
        <v>97629</v>
      </c>
      <c r="F194" s="6">
        <v>12594</v>
      </c>
      <c r="G194" s="6">
        <v>11969</v>
      </c>
      <c r="H194" s="6">
        <v>0</v>
      </c>
      <c r="I194" s="6">
        <v>33498</v>
      </c>
      <c r="J194" s="6">
        <v>0</v>
      </c>
      <c r="K194" s="6">
        <v>1405</v>
      </c>
      <c r="L194" s="6">
        <v>68985</v>
      </c>
      <c r="M194" s="6">
        <v>30167</v>
      </c>
      <c r="N194" s="22">
        <v>2023</v>
      </c>
      <c r="P194" s="26"/>
    </row>
    <row r="195" spans="1:16" x14ac:dyDescent="0.35">
      <c r="A195" s="10" t="s">
        <v>178</v>
      </c>
      <c r="B195" s="16" t="s">
        <v>179</v>
      </c>
      <c r="C195" s="10">
        <v>7</v>
      </c>
      <c r="D195" s="6">
        <v>7476</v>
      </c>
      <c r="E195" s="6">
        <v>1739</v>
      </c>
      <c r="F195" s="6">
        <v>303</v>
      </c>
      <c r="G195" s="6">
        <v>0</v>
      </c>
      <c r="H195" s="6">
        <v>0</v>
      </c>
      <c r="I195" s="6">
        <v>0</v>
      </c>
      <c r="J195" s="6">
        <v>0</v>
      </c>
      <c r="K195" s="6">
        <v>0</v>
      </c>
      <c r="L195" s="6">
        <v>5434</v>
      </c>
      <c r="M195" s="6">
        <v>0</v>
      </c>
      <c r="N195" s="9">
        <v>2023</v>
      </c>
    </row>
    <row r="196" spans="1:16" ht="21.5" x14ac:dyDescent="0.35">
      <c r="A196" s="10" t="s">
        <v>178</v>
      </c>
      <c r="B196" s="16" t="s">
        <v>180</v>
      </c>
      <c r="C196" s="10">
        <v>7</v>
      </c>
      <c r="D196" s="6">
        <v>38450</v>
      </c>
      <c r="E196" s="6">
        <v>0</v>
      </c>
      <c r="F196" s="6">
        <v>0</v>
      </c>
      <c r="G196" s="6">
        <v>8600</v>
      </c>
      <c r="H196" s="6">
        <v>0</v>
      </c>
      <c r="I196" s="6">
        <v>20343</v>
      </c>
      <c r="J196" s="6">
        <v>0</v>
      </c>
      <c r="K196" s="6">
        <v>0</v>
      </c>
      <c r="L196" s="6">
        <v>0</v>
      </c>
      <c r="M196" s="6">
        <v>9508</v>
      </c>
      <c r="N196" s="8">
        <v>2023</v>
      </c>
    </row>
    <row r="197" spans="1:16" ht="21.5" x14ac:dyDescent="0.35">
      <c r="A197" s="10" t="s">
        <v>178</v>
      </c>
      <c r="B197" s="16" t="s">
        <v>181</v>
      </c>
      <c r="C197" s="10">
        <v>7</v>
      </c>
      <c r="D197" s="6">
        <v>3071</v>
      </c>
      <c r="E197" s="6">
        <v>1703</v>
      </c>
      <c r="F197" s="6">
        <v>0</v>
      </c>
      <c r="G197" s="6">
        <v>0</v>
      </c>
      <c r="H197" s="6">
        <v>0</v>
      </c>
      <c r="I197" s="6">
        <v>0</v>
      </c>
      <c r="J197" s="6">
        <v>0</v>
      </c>
      <c r="K197" s="6">
        <v>0</v>
      </c>
      <c r="L197" s="6">
        <v>1368</v>
      </c>
      <c r="M197" s="6">
        <v>0</v>
      </c>
      <c r="N197" s="9">
        <v>2023</v>
      </c>
    </row>
    <row r="198" spans="1:16" ht="21.5" x14ac:dyDescent="0.35">
      <c r="A198" s="10" t="s">
        <v>178</v>
      </c>
      <c r="B198" s="16" t="s">
        <v>182</v>
      </c>
      <c r="C198" s="10">
        <v>7</v>
      </c>
      <c r="D198" s="6">
        <v>207001</v>
      </c>
      <c r="E198" s="6">
        <v>93937</v>
      </c>
      <c r="F198" s="6">
        <v>12291</v>
      </c>
      <c r="G198" s="6">
        <v>3369</v>
      </c>
      <c r="H198" s="6">
        <v>0</v>
      </c>
      <c r="I198" s="6">
        <v>13155</v>
      </c>
      <c r="J198" s="6">
        <v>0</v>
      </c>
      <c r="K198" s="6">
        <v>1405</v>
      </c>
      <c r="L198" s="6">
        <v>62183</v>
      </c>
      <c r="M198" s="6">
        <v>20660</v>
      </c>
      <c r="N198" s="8">
        <v>2023</v>
      </c>
    </row>
    <row r="199" spans="1:16" x14ac:dyDescent="0.35">
      <c r="A199" s="10" t="s">
        <v>178</v>
      </c>
      <c r="B199" s="16" t="s">
        <v>231</v>
      </c>
      <c r="C199" s="10">
        <v>7</v>
      </c>
      <c r="D199" s="6">
        <v>250</v>
      </c>
      <c r="E199" s="6">
        <v>250</v>
      </c>
      <c r="F199" s="6">
        <v>0</v>
      </c>
      <c r="G199" s="6">
        <v>0</v>
      </c>
      <c r="H199" s="6">
        <v>0</v>
      </c>
      <c r="I199" s="6">
        <v>0</v>
      </c>
      <c r="J199" s="6">
        <v>0</v>
      </c>
      <c r="K199" s="6">
        <v>0</v>
      </c>
      <c r="L199" s="6">
        <v>0</v>
      </c>
      <c r="M199" s="6">
        <v>0</v>
      </c>
      <c r="N199" s="9">
        <v>2023</v>
      </c>
    </row>
    <row r="200" spans="1:16" x14ac:dyDescent="0.35">
      <c r="A200" s="10" t="s">
        <v>178</v>
      </c>
      <c r="B200" s="10"/>
      <c r="C200" s="10">
        <v>7</v>
      </c>
      <c r="D200" s="6">
        <v>239657</v>
      </c>
      <c r="E200" s="6">
        <v>86607</v>
      </c>
      <c r="F200" s="6">
        <v>12507</v>
      </c>
      <c r="G200" s="6">
        <v>11342</v>
      </c>
      <c r="H200" s="6">
        <v>0</v>
      </c>
      <c r="I200" s="6">
        <v>33770</v>
      </c>
      <c r="J200" s="6">
        <v>0</v>
      </c>
      <c r="K200" s="6">
        <v>1405</v>
      </c>
      <c r="L200" s="6">
        <v>64675</v>
      </c>
      <c r="M200" s="6">
        <v>29351</v>
      </c>
      <c r="N200" s="8">
        <v>2024</v>
      </c>
    </row>
    <row r="201" spans="1:16" x14ac:dyDescent="0.35">
      <c r="A201" s="10" t="s">
        <v>178</v>
      </c>
      <c r="B201" s="16" t="s">
        <v>179</v>
      </c>
      <c r="C201" s="10">
        <v>7</v>
      </c>
      <c r="D201" s="6">
        <v>7476</v>
      </c>
      <c r="E201" s="6">
        <v>1736</v>
      </c>
      <c r="F201" s="6">
        <v>601</v>
      </c>
      <c r="G201" s="6">
        <v>0</v>
      </c>
      <c r="H201" s="6">
        <v>0</v>
      </c>
      <c r="I201" s="6">
        <v>0</v>
      </c>
      <c r="J201" s="6">
        <v>0</v>
      </c>
      <c r="K201" s="6">
        <v>0</v>
      </c>
      <c r="L201" s="6">
        <v>5139</v>
      </c>
      <c r="M201" s="6">
        <v>0</v>
      </c>
      <c r="N201" s="9">
        <v>2024</v>
      </c>
    </row>
    <row r="202" spans="1:16" ht="21.5" x14ac:dyDescent="0.35">
      <c r="A202" s="10" t="s">
        <v>178</v>
      </c>
      <c r="B202" s="16" t="s">
        <v>180</v>
      </c>
      <c r="C202" s="10">
        <v>7</v>
      </c>
      <c r="D202" s="6">
        <v>37615</v>
      </c>
      <c r="E202" s="6">
        <v>0</v>
      </c>
      <c r="F202" s="6">
        <v>0</v>
      </c>
      <c r="G202" s="6">
        <v>8000</v>
      </c>
      <c r="H202" s="6">
        <v>0</v>
      </c>
      <c r="I202" s="6">
        <v>20615</v>
      </c>
      <c r="J202" s="6">
        <v>0</v>
      </c>
      <c r="K202" s="6">
        <v>0</v>
      </c>
      <c r="L202" s="6">
        <v>0</v>
      </c>
      <c r="M202" s="6">
        <v>9000</v>
      </c>
      <c r="N202" s="8">
        <v>2024</v>
      </c>
    </row>
    <row r="203" spans="1:16" ht="21.5" x14ac:dyDescent="0.35">
      <c r="A203" s="10" t="s">
        <v>178</v>
      </c>
      <c r="B203" s="16" t="s">
        <v>181</v>
      </c>
      <c r="C203" s="10">
        <v>7</v>
      </c>
      <c r="D203" s="6">
        <v>1216</v>
      </c>
      <c r="E203" s="6">
        <v>793</v>
      </c>
      <c r="F203" s="6">
        <v>0</v>
      </c>
      <c r="G203" s="6">
        <v>0</v>
      </c>
      <c r="H203" s="6">
        <v>0</v>
      </c>
      <c r="I203" s="6">
        <v>0</v>
      </c>
      <c r="J203" s="6">
        <v>0</v>
      </c>
      <c r="K203" s="6">
        <v>0</v>
      </c>
      <c r="L203" s="6">
        <v>423</v>
      </c>
      <c r="M203" s="6">
        <v>0</v>
      </c>
      <c r="N203" s="9">
        <v>2024</v>
      </c>
    </row>
    <row r="204" spans="1:16" ht="21.5" x14ac:dyDescent="0.35">
      <c r="A204" s="10" t="s">
        <v>178</v>
      </c>
      <c r="B204" s="16" t="s">
        <v>182</v>
      </c>
      <c r="C204" s="10">
        <v>7</v>
      </c>
      <c r="D204" s="6">
        <v>193000</v>
      </c>
      <c r="E204" s="6">
        <v>83727</v>
      </c>
      <c r="F204" s="6">
        <v>11906</v>
      </c>
      <c r="G204" s="6">
        <v>3342</v>
      </c>
      <c r="H204" s="6">
        <v>0</v>
      </c>
      <c r="I204" s="6">
        <v>13155</v>
      </c>
      <c r="J204" s="6">
        <v>0</v>
      </c>
      <c r="K204" s="6">
        <v>1405</v>
      </c>
      <c r="L204" s="6">
        <v>59113</v>
      </c>
      <c r="M204" s="6">
        <v>20351</v>
      </c>
      <c r="N204" s="8">
        <v>2024</v>
      </c>
    </row>
    <row r="205" spans="1:16" x14ac:dyDescent="0.35">
      <c r="A205" s="10" t="s">
        <v>178</v>
      </c>
      <c r="B205" s="16" t="s">
        <v>231</v>
      </c>
      <c r="C205" s="10">
        <v>7</v>
      </c>
      <c r="D205" s="6">
        <v>350</v>
      </c>
      <c r="E205" s="6">
        <v>350</v>
      </c>
      <c r="F205" s="6">
        <v>0</v>
      </c>
      <c r="G205" s="6">
        <v>0</v>
      </c>
      <c r="H205" s="6">
        <v>0</v>
      </c>
      <c r="I205" s="6">
        <v>0</v>
      </c>
      <c r="J205" s="6">
        <v>0</v>
      </c>
      <c r="K205" s="6">
        <v>0</v>
      </c>
      <c r="L205" s="6">
        <v>0</v>
      </c>
      <c r="M205" s="6">
        <v>0</v>
      </c>
      <c r="N205" s="9">
        <v>2024</v>
      </c>
    </row>
    <row r="206" spans="1:16" x14ac:dyDescent="0.35">
      <c r="A206" s="10" t="s">
        <v>184</v>
      </c>
      <c r="B206" s="10"/>
      <c r="C206" s="10">
        <v>8</v>
      </c>
      <c r="D206" s="6">
        <v>754199</v>
      </c>
      <c r="E206" s="6">
        <v>0</v>
      </c>
      <c r="F206" s="6">
        <v>410039</v>
      </c>
      <c r="G206" s="6">
        <v>289214</v>
      </c>
      <c r="H206" s="6">
        <v>0</v>
      </c>
      <c r="I206" s="6">
        <v>0</v>
      </c>
      <c r="J206" s="6">
        <v>0</v>
      </c>
      <c r="K206" s="6">
        <v>16498</v>
      </c>
      <c r="L206" s="6">
        <v>38448</v>
      </c>
      <c r="M206" s="6">
        <v>0</v>
      </c>
      <c r="N206" s="24">
        <v>2021</v>
      </c>
    </row>
    <row r="207" spans="1:16" x14ac:dyDescent="0.35">
      <c r="A207" s="10" t="s">
        <v>184</v>
      </c>
      <c r="B207" s="16" t="s">
        <v>185</v>
      </c>
      <c r="C207" s="10">
        <v>8</v>
      </c>
      <c r="D207" s="6">
        <v>5000</v>
      </c>
      <c r="E207" s="6">
        <v>0</v>
      </c>
      <c r="F207" s="6">
        <v>0</v>
      </c>
      <c r="G207" s="6">
        <v>5000</v>
      </c>
      <c r="H207" s="6">
        <v>0</v>
      </c>
      <c r="I207" s="6">
        <v>0</v>
      </c>
      <c r="J207" s="6">
        <v>0</v>
      </c>
      <c r="K207" s="6">
        <v>0</v>
      </c>
      <c r="L207" s="6">
        <v>0</v>
      </c>
      <c r="M207" s="6">
        <v>0</v>
      </c>
      <c r="N207" s="9">
        <v>2021</v>
      </c>
    </row>
    <row r="208" spans="1:16" x14ac:dyDescent="0.35">
      <c r="A208" s="10" t="s">
        <v>184</v>
      </c>
      <c r="B208" s="16" t="s">
        <v>186</v>
      </c>
      <c r="C208" s="10">
        <v>8</v>
      </c>
      <c r="D208" s="6">
        <v>9380</v>
      </c>
      <c r="E208" s="6">
        <v>0</v>
      </c>
      <c r="F208" s="6">
        <v>0</v>
      </c>
      <c r="G208" s="6">
        <v>9380</v>
      </c>
      <c r="H208" s="6">
        <v>0</v>
      </c>
      <c r="I208" s="6">
        <v>0</v>
      </c>
      <c r="J208" s="6">
        <v>0</v>
      </c>
      <c r="K208" s="6">
        <v>0</v>
      </c>
      <c r="L208" s="6">
        <v>0</v>
      </c>
      <c r="M208" s="6">
        <v>0</v>
      </c>
      <c r="N208" s="24">
        <v>2021</v>
      </c>
    </row>
    <row r="209" spans="1:14" ht="31.5" customHeight="1" x14ac:dyDescent="0.35">
      <c r="A209" s="10" t="s">
        <v>184</v>
      </c>
      <c r="B209" s="16" t="s">
        <v>187</v>
      </c>
      <c r="C209" s="10">
        <v>8</v>
      </c>
      <c r="D209" s="6">
        <v>62582</v>
      </c>
      <c r="E209" s="6">
        <v>0</v>
      </c>
      <c r="F209" s="6">
        <v>62582</v>
      </c>
      <c r="G209" s="6">
        <v>0</v>
      </c>
      <c r="H209" s="6">
        <v>0</v>
      </c>
      <c r="I209" s="6">
        <v>0</v>
      </c>
      <c r="J209" s="6">
        <v>0</v>
      </c>
      <c r="K209" s="6">
        <v>0</v>
      </c>
      <c r="L209" s="6">
        <v>0</v>
      </c>
      <c r="M209" s="6">
        <v>0</v>
      </c>
      <c r="N209" s="9">
        <v>2021</v>
      </c>
    </row>
    <row r="210" spans="1:14" x14ac:dyDescent="0.35">
      <c r="A210" s="10" t="s">
        <v>184</v>
      </c>
      <c r="B210" s="16" t="s">
        <v>188</v>
      </c>
      <c r="C210" s="10">
        <v>8</v>
      </c>
      <c r="D210" s="6">
        <v>18000</v>
      </c>
      <c r="E210" s="6">
        <v>0</v>
      </c>
      <c r="F210" s="6">
        <v>0</v>
      </c>
      <c r="G210" s="6">
        <v>0</v>
      </c>
      <c r="H210" s="6">
        <v>0</v>
      </c>
      <c r="I210" s="6">
        <v>0</v>
      </c>
      <c r="J210" s="6">
        <v>0</v>
      </c>
      <c r="K210" s="6">
        <v>0</v>
      </c>
      <c r="L210" s="6">
        <v>18000</v>
      </c>
      <c r="M210" s="6">
        <v>0</v>
      </c>
      <c r="N210" s="24">
        <v>2021</v>
      </c>
    </row>
    <row r="211" spans="1:14" ht="21.5" x14ac:dyDescent="0.35">
      <c r="A211" s="10" t="s">
        <v>184</v>
      </c>
      <c r="B211" s="16" t="s">
        <v>189</v>
      </c>
      <c r="C211" s="10">
        <v>8</v>
      </c>
      <c r="D211" s="6">
        <v>20448</v>
      </c>
      <c r="E211" s="6">
        <v>0</v>
      </c>
      <c r="F211" s="6">
        <v>0</v>
      </c>
      <c r="G211" s="6">
        <v>0</v>
      </c>
      <c r="H211" s="6">
        <v>0</v>
      </c>
      <c r="I211" s="6">
        <v>0</v>
      </c>
      <c r="J211" s="6">
        <v>0</v>
      </c>
      <c r="K211" s="6">
        <v>0</v>
      </c>
      <c r="L211" s="6">
        <v>20448</v>
      </c>
      <c r="M211" s="6">
        <v>0</v>
      </c>
      <c r="N211" s="9">
        <v>2021</v>
      </c>
    </row>
    <row r="212" spans="1:14" x14ac:dyDescent="0.35">
      <c r="A212" s="10" t="s">
        <v>184</v>
      </c>
      <c r="B212" s="16" t="s">
        <v>190</v>
      </c>
      <c r="C212" s="10">
        <v>8</v>
      </c>
      <c r="D212" s="6">
        <v>32650</v>
      </c>
      <c r="E212" s="6">
        <v>0</v>
      </c>
      <c r="F212" s="6">
        <v>0</v>
      </c>
      <c r="G212" s="6">
        <v>32650</v>
      </c>
      <c r="H212" s="6">
        <v>0</v>
      </c>
      <c r="I212" s="6">
        <v>0</v>
      </c>
      <c r="J212" s="6">
        <v>0</v>
      </c>
      <c r="K212" s="6">
        <v>0</v>
      </c>
      <c r="L212" s="6">
        <v>0</v>
      </c>
      <c r="M212" s="6">
        <v>0</v>
      </c>
      <c r="N212" s="24">
        <v>2021</v>
      </c>
    </row>
    <row r="213" spans="1:14" x14ac:dyDescent="0.35">
      <c r="A213" s="10" t="s">
        <v>184</v>
      </c>
      <c r="B213" s="16" t="s">
        <v>191</v>
      </c>
      <c r="C213" s="10">
        <v>8</v>
      </c>
      <c r="D213" s="6">
        <v>578917</v>
      </c>
      <c r="E213" s="6">
        <v>0</v>
      </c>
      <c r="F213" s="6">
        <v>347457</v>
      </c>
      <c r="G213" s="6">
        <v>231460</v>
      </c>
      <c r="H213" s="6">
        <v>0</v>
      </c>
      <c r="I213" s="6">
        <v>0</v>
      </c>
      <c r="J213" s="6">
        <v>0</v>
      </c>
      <c r="K213" s="6">
        <v>0</v>
      </c>
      <c r="L213" s="6">
        <v>0</v>
      </c>
      <c r="M213" s="6">
        <v>0</v>
      </c>
      <c r="N213" s="9">
        <v>2021</v>
      </c>
    </row>
    <row r="214" spans="1:14" x14ac:dyDescent="0.35">
      <c r="A214" s="10" t="s">
        <v>184</v>
      </c>
      <c r="B214" s="16" t="s">
        <v>192</v>
      </c>
      <c r="C214" s="10">
        <v>8</v>
      </c>
      <c r="D214" s="6">
        <v>27222</v>
      </c>
      <c r="E214" s="6">
        <v>0</v>
      </c>
      <c r="F214" s="6">
        <v>0</v>
      </c>
      <c r="G214" s="6">
        <v>10724</v>
      </c>
      <c r="H214" s="6">
        <v>0</v>
      </c>
      <c r="I214" s="6">
        <v>0</v>
      </c>
      <c r="J214" s="6">
        <v>0</v>
      </c>
      <c r="K214" s="6">
        <v>16498</v>
      </c>
      <c r="L214" s="6">
        <v>0</v>
      </c>
      <c r="M214" s="6">
        <v>0</v>
      </c>
      <c r="N214" s="24">
        <v>2021</v>
      </c>
    </row>
    <row r="215" spans="1:14" x14ac:dyDescent="0.35">
      <c r="A215" s="10" t="s">
        <v>184</v>
      </c>
      <c r="B215" s="10"/>
      <c r="C215" s="10">
        <v>8</v>
      </c>
      <c r="D215" s="6">
        <v>785328</v>
      </c>
      <c r="E215" s="6">
        <v>3431</v>
      </c>
      <c r="F215" s="6">
        <v>413193</v>
      </c>
      <c r="G215" s="6">
        <v>308320</v>
      </c>
      <c r="H215" s="6">
        <v>0</v>
      </c>
      <c r="I215" s="6">
        <v>7025</v>
      </c>
      <c r="J215" s="6">
        <v>0</v>
      </c>
      <c r="K215" s="6">
        <v>28137</v>
      </c>
      <c r="L215" s="6">
        <v>21318</v>
      </c>
      <c r="M215" s="6">
        <v>3904</v>
      </c>
      <c r="N215" s="9">
        <v>2022</v>
      </c>
    </row>
    <row r="216" spans="1:14" x14ac:dyDescent="0.35">
      <c r="A216" s="10" t="s">
        <v>184</v>
      </c>
      <c r="B216" s="16" t="s">
        <v>185</v>
      </c>
      <c r="C216" s="10">
        <v>8</v>
      </c>
      <c r="D216" s="6">
        <v>5000</v>
      </c>
      <c r="E216" s="6">
        <v>0</v>
      </c>
      <c r="F216" s="6">
        <v>0</v>
      </c>
      <c r="G216" s="6">
        <v>5000</v>
      </c>
      <c r="H216" s="6">
        <v>0</v>
      </c>
      <c r="I216" s="6">
        <v>0</v>
      </c>
      <c r="J216" s="6">
        <v>0</v>
      </c>
      <c r="K216" s="6">
        <v>0</v>
      </c>
      <c r="L216" s="6">
        <v>0</v>
      </c>
      <c r="M216" s="6">
        <v>0</v>
      </c>
      <c r="N216" s="24">
        <v>2022</v>
      </c>
    </row>
    <row r="217" spans="1:14" x14ac:dyDescent="0.35">
      <c r="A217" s="10" t="s">
        <v>184</v>
      </c>
      <c r="B217" s="16" t="s">
        <v>186</v>
      </c>
      <c r="C217" s="10">
        <v>8</v>
      </c>
      <c r="D217" s="6">
        <v>10583</v>
      </c>
      <c r="E217" s="6">
        <v>0</v>
      </c>
      <c r="F217" s="6">
        <v>0</v>
      </c>
      <c r="G217" s="6">
        <v>10583</v>
      </c>
      <c r="H217" s="6">
        <v>0</v>
      </c>
      <c r="I217" s="6">
        <v>0</v>
      </c>
      <c r="J217" s="6">
        <v>0</v>
      </c>
      <c r="K217" s="6">
        <v>0</v>
      </c>
      <c r="L217" s="6">
        <v>0</v>
      </c>
      <c r="M217" s="6">
        <v>0</v>
      </c>
      <c r="N217" s="9">
        <v>2022</v>
      </c>
    </row>
    <row r="218" spans="1:14" ht="21.5" x14ac:dyDescent="0.35">
      <c r="A218" s="10" t="s">
        <v>184</v>
      </c>
      <c r="B218" s="16" t="s">
        <v>187</v>
      </c>
      <c r="C218" s="10">
        <v>8</v>
      </c>
      <c r="D218" s="6">
        <v>66305</v>
      </c>
      <c r="E218" s="6">
        <v>3431</v>
      </c>
      <c r="F218" s="6">
        <v>42477</v>
      </c>
      <c r="G218" s="6">
        <v>0</v>
      </c>
      <c r="H218" s="6">
        <v>0</v>
      </c>
      <c r="I218" s="6">
        <v>4854</v>
      </c>
      <c r="J218" s="6">
        <v>0</v>
      </c>
      <c r="K218" s="6">
        <v>11639</v>
      </c>
      <c r="L218" s="6">
        <v>0</v>
      </c>
      <c r="M218" s="6">
        <v>3904</v>
      </c>
      <c r="N218" s="24">
        <v>2022</v>
      </c>
    </row>
    <row r="219" spans="1:14" x14ac:dyDescent="0.35">
      <c r="A219" s="10" t="s">
        <v>184</v>
      </c>
      <c r="B219" s="16" t="s">
        <v>188</v>
      </c>
      <c r="C219" s="10">
        <v>8</v>
      </c>
      <c r="D219" s="6">
        <v>17705</v>
      </c>
      <c r="E219" s="6">
        <v>0</v>
      </c>
      <c r="F219" s="6">
        <v>0</v>
      </c>
      <c r="G219" s="6">
        <v>0</v>
      </c>
      <c r="H219" s="6">
        <v>0</v>
      </c>
      <c r="I219" s="6">
        <v>0</v>
      </c>
      <c r="J219" s="6">
        <v>0</v>
      </c>
      <c r="K219" s="6">
        <v>0</v>
      </c>
      <c r="L219" s="6">
        <v>17705</v>
      </c>
      <c r="M219" s="6">
        <v>0</v>
      </c>
      <c r="N219" s="9">
        <v>2022</v>
      </c>
    </row>
    <row r="220" spans="1:14" ht="21.5" x14ac:dyDescent="0.35">
      <c r="A220" s="10" t="s">
        <v>184</v>
      </c>
      <c r="B220" s="16" t="s">
        <v>189</v>
      </c>
      <c r="C220" s="10">
        <v>8</v>
      </c>
      <c r="D220" s="6">
        <v>6056</v>
      </c>
      <c r="E220" s="6">
        <v>0</v>
      </c>
      <c r="F220" s="6">
        <v>271</v>
      </c>
      <c r="G220" s="6">
        <v>0</v>
      </c>
      <c r="H220" s="6">
        <v>0</v>
      </c>
      <c r="I220" s="6">
        <v>2172</v>
      </c>
      <c r="J220" s="6">
        <v>0</v>
      </c>
      <c r="K220" s="6">
        <v>0</v>
      </c>
      <c r="L220" s="6">
        <v>3613</v>
      </c>
      <c r="M220" s="6">
        <v>0</v>
      </c>
      <c r="N220" s="24">
        <v>2022</v>
      </c>
    </row>
    <row r="221" spans="1:14" x14ac:dyDescent="0.35">
      <c r="A221" s="10" t="s">
        <v>184</v>
      </c>
      <c r="B221" s="16" t="s">
        <v>190</v>
      </c>
      <c r="C221" s="10">
        <v>8</v>
      </c>
      <c r="D221" s="6">
        <v>35000</v>
      </c>
      <c r="E221" s="6">
        <v>0</v>
      </c>
      <c r="F221" s="6">
        <v>0</v>
      </c>
      <c r="G221" s="6">
        <v>35000</v>
      </c>
      <c r="H221" s="6">
        <v>0</v>
      </c>
      <c r="I221" s="6">
        <v>0</v>
      </c>
      <c r="J221" s="6">
        <v>0</v>
      </c>
      <c r="K221" s="6">
        <v>0</v>
      </c>
      <c r="L221" s="6">
        <v>0</v>
      </c>
      <c r="M221" s="6">
        <v>0</v>
      </c>
      <c r="N221" s="9">
        <v>2022</v>
      </c>
    </row>
    <row r="222" spans="1:14" x14ac:dyDescent="0.35">
      <c r="A222" s="10" t="s">
        <v>184</v>
      </c>
      <c r="B222" s="16" t="s">
        <v>191</v>
      </c>
      <c r="C222" s="10">
        <v>8</v>
      </c>
      <c r="D222" s="6">
        <v>617457</v>
      </c>
      <c r="E222" s="6">
        <v>0</v>
      </c>
      <c r="F222" s="6">
        <v>370444</v>
      </c>
      <c r="G222" s="6">
        <v>247013</v>
      </c>
      <c r="H222" s="6">
        <v>0</v>
      </c>
      <c r="I222" s="6">
        <v>0</v>
      </c>
      <c r="J222" s="6">
        <v>0</v>
      </c>
      <c r="K222" s="6">
        <v>0</v>
      </c>
      <c r="L222" s="6">
        <v>0</v>
      </c>
      <c r="M222" s="6">
        <v>0</v>
      </c>
      <c r="N222" s="24">
        <v>2022</v>
      </c>
    </row>
    <row r="223" spans="1:14" x14ac:dyDescent="0.35">
      <c r="A223" s="10" t="s">
        <v>184</v>
      </c>
      <c r="B223" s="16" t="s">
        <v>192</v>
      </c>
      <c r="C223" s="10">
        <v>8</v>
      </c>
      <c r="D223" s="6">
        <v>27222</v>
      </c>
      <c r="E223" s="6">
        <v>0</v>
      </c>
      <c r="F223" s="6">
        <v>0</v>
      </c>
      <c r="G223" s="6">
        <v>10724</v>
      </c>
      <c r="H223" s="6">
        <v>0</v>
      </c>
      <c r="I223" s="6">
        <v>0</v>
      </c>
      <c r="J223" s="6">
        <v>0</v>
      </c>
      <c r="K223" s="6">
        <v>16498</v>
      </c>
      <c r="L223" s="6">
        <v>0</v>
      </c>
      <c r="M223" s="6">
        <v>0</v>
      </c>
      <c r="N223" s="9">
        <v>2022</v>
      </c>
    </row>
    <row r="224" spans="1:14" x14ac:dyDescent="0.35">
      <c r="A224" s="10" t="s">
        <v>184</v>
      </c>
      <c r="B224" s="10"/>
      <c r="C224" s="10">
        <v>8</v>
      </c>
      <c r="D224" s="6">
        <v>474698</v>
      </c>
      <c r="E224" s="6">
        <v>0</v>
      </c>
      <c r="F224" s="6">
        <v>144061</v>
      </c>
      <c r="G224" s="6">
        <v>281311</v>
      </c>
      <c r="H224" s="6">
        <v>0</v>
      </c>
      <c r="I224" s="6">
        <v>5943</v>
      </c>
      <c r="J224" s="6">
        <v>282</v>
      </c>
      <c r="K224" s="6">
        <v>10868</v>
      </c>
      <c r="L224" s="6">
        <v>31977</v>
      </c>
      <c r="M224" s="6">
        <v>257</v>
      </c>
      <c r="N224" s="8">
        <v>2023</v>
      </c>
    </row>
    <row r="225" spans="1:14" x14ac:dyDescent="0.35">
      <c r="A225" s="10" t="s">
        <v>184</v>
      </c>
      <c r="B225" s="16" t="s">
        <v>185</v>
      </c>
      <c r="C225" s="10">
        <v>8</v>
      </c>
      <c r="D225" s="6">
        <v>5000</v>
      </c>
      <c r="E225" s="6">
        <v>0</v>
      </c>
      <c r="F225" s="6">
        <v>0</v>
      </c>
      <c r="G225" s="6">
        <v>5000</v>
      </c>
      <c r="H225" s="6">
        <v>0</v>
      </c>
      <c r="I225" s="6">
        <v>0</v>
      </c>
      <c r="J225" s="6">
        <v>0</v>
      </c>
      <c r="K225" s="6">
        <v>0</v>
      </c>
      <c r="L225" s="6">
        <v>0</v>
      </c>
      <c r="M225" s="6">
        <v>0</v>
      </c>
      <c r="N225" s="8">
        <v>2023</v>
      </c>
    </row>
    <row r="226" spans="1:14" ht="31.5" customHeight="1" x14ac:dyDescent="0.35">
      <c r="A226" s="10" t="s">
        <v>184</v>
      </c>
      <c r="B226" s="16" t="s">
        <v>186</v>
      </c>
      <c r="C226" s="10">
        <v>8</v>
      </c>
      <c r="D226" s="6">
        <v>13059</v>
      </c>
      <c r="E226" s="6">
        <v>0</v>
      </c>
      <c r="F226" s="6">
        <v>0</v>
      </c>
      <c r="G226" s="6">
        <v>13059</v>
      </c>
      <c r="H226" s="6">
        <v>0</v>
      </c>
      <c r="I226" s="6">
        <v>0</v>
      </c>
      <c r="J226" s="6">
        <v>0</v>
      </c>
      <c r="K226" s="6">
        <v>0</v>
      </c>
      <c r="L226" s="6">
        <v>0</v>
      </c>
      <c r="M226" s="6">
        <v>0</v>
      </c>
      <c r="N226" s="9">
        <v>2023</v>
      </c>
    </row>
    <row r="227" spans="1:14" x14ac:dyDescent="0.35">
      <c r="A227" s="10" t="s">
        <v>184</v>
      </c>
      <c r="B227" s="16" t="s">
        <v>188</v>
      </c>
      <c r="C227" s="10">
        <v>8</v>
      </c>
      <c r="D227" s="6">
        <v>27922</v>
      </c>
      <c r="E227" s="6">
        <v>0</v>
      </c>
      <c r="F227" s="6">
        <v>0</v>
      </c>
      <c r="G227" s="6">
        <v>3232</v>
      </c>
      <c r="H227" s="6">
        <v>0</v>
      </c>
      <c r="I227" s="6">
        <v>0</v>
      </c>
      <c r="J227" s="6">
        <v>0</v>
      </c>
      <c r="K227" s="6">
        <v>0</v>
      </c>
      <c r="L227" s="6">
        <v>24690</v>
      </c>
      <c r="M227" s="6">
        <v>0</v>
      </c>
      <c r="N227" s="8">
        <v>2023</v>
      </c>
    </row>
    <row r="228" spans="1:14" ht="21.5" x14ac:dyDescent="0.35">
      <c r="A228" s="10" t="s">
        <v>184</v>
      </c>
      <c r="B228" s="16" t="s">
        <v>189</v>
      </c>
      <c r="C228" s="10">
        <v>8</v>
      </c>
      <c r="D228" s="6">
        <v>7171</v>
      </c>
      <c r="E228" s="6">
        <v>0</v>
      </c>
      <c r="F228" s="6">
        <v>0</v>
      </c>
      <c r="G228" s="6">
        <v>0</v>
      </c>
      <c r="H228" s="6">
        <v>0</v>
      </c>
      <c r="I228" s="6">
        <v>646</v>
      </c>
      <c r="J228" s="6">
        <v>0</v>
      </c>
      <c r="K228" s="6">
        <v>0</v>
      </c>
      <c r="L228" s="6">
        <v>6525</v>
      </c>
      <c r="M228" s="6">
        <v>0</v>
      </c>
      <c r="N228" s="9">
        <v>2023</v>
      </c>
    </row>
    <row r="229" spans="1:14" x14ac:dyDescent="0.35">
      <c r="A229" s="10" t="s">
        <v>184</v>
      </c>
      <c r="B229" s="16" t="s">
        <v>190</v>
      </c>
      <c r="C229" s="10">
        <v>8</v>
      </c>
      <c r="D229" s="6">
        <v>41000</v>
      </c>
      <c r="E229" s="6">
        <v>0</v>
      </c>
      <c r="F229" s="6">
        <v>0</v>
      </c>
      <c r="G229" s="6">
        <v>41000</v>
      </c>
      <c r="H229" s="6">
        <v>0</v>
      </c>
      <c r="I229" s="6">
        <v>0</v>
      </c>
      <c r="J229" s="6">
        <v>0</v>
      </c>
      <c r="K229" s="6">
        <v>0</v>
      </c>
      <c r="L229" s="6">
        <v>0</v>
      </c>
      <c r="M229" s="6">
        <v>0</v>
      </c>
      <c r="N229" s="8">
        <v>2023</v>
      </c>
    </row>
    <row r="230" spans="1:14" x14ac:dyDescent="0.35">
      <c r="A230" s="10" t="s">
        <v>184</v>
      </c>
      <c r="B230" s="16" t="s">
        <v>191</v>
      </c>
      <c r="C230" s="10">
        <v>8</v>
      </c>
      <c r="D230" s="6">
        <v>375526</v>
      </c>
      <c r="E230" s="6">
        <v>0</v>
      </c>
      <c r="F230" s="6">
        <v>144061</v>
      </c>
      <c r="G230" s="6">
        <v>214257</v>
      </c>
      <c r="H230" s="6">
        <v>0</v>
      </c>
      <c r="I230" s="6">
        <v>5297</v>
      </c>
      <c r="J230" s="6">
        <v>282</v>
      </c>
      <c r="K230" s="6">
        <v>10868</v>
      </c>
      <c r="L230" s="6">
        <v>761</v>
      </c>
      <c r="M230" s="6">
        <v>0</v>
      </c>
      <c r="N230" s="9">
        <v>2023</v>
      </c>
    </row>
    <row r="231" spans="1:14" x14ac:dyDescent="0.35">
      <c r="A231" s="10" t="s">
        <v>184</v>
      </c>
      <c r="B231" s="16" t="s">
        <v>192</v>
      </c>
      <c r="C231" s="10">
        <v>8</v>
      </c>
      <c r="D231" s="6">
        <v>5020</v>
      </c>
      <c r="E231" s="6">
        <v>0</v>
      </c>
      <c r="F231" s="6">
        <v>0</v>
      </c>
      <c r="G231" s="6">
        <v>4763</v>
      </c>
      <c r="H231" s="6">
        <v>0</v>
      </c>
      <c r="I231" s="6">
        <v>0</v>
      </c>
      <c r="J231" s="6">
        <v>0</v>
      </c>
      <c r="K231" s="6">
        <v>0</v>
      </c>
      <c r="L231" s="6">
        <v>0</v>
      </c>
      <c r="M231" s="6">
        <v>257</v>
      </c>
      <c r="N231" s="8">
        <v>2023</v>
      </c>
    </row>
    <row r="232" spans="1:14" x14ac:dyDescent="0.35">
      <c r="A232" s="10" t="s">
        <v>184</v>
      </c>
      <c r="B232" s="10"/>
      <c r="C232" s="10">
        <v>8</v>
      </c>
      <c r="D232" s="6">
        <v>466648</v>
      </c>
      <c r="E232" s="6">
        <v>0</v>
      </c>
      <c r="F232" s="6">
        <v>140027</v>
      </c>
      <c r="G232" s="6">
        <v>278773</v>
      </c>
      <c r="H232" s="6">
        <v>0</v>
      </c>
      <c r="I232" s="6">
        <v>5920</v>
      </c>
      <c r="J232" s="6">
        <v>274</v>
      </c>
      <c r="K232" s="6">
        <v>10564</v>
      </c>
      <c r="L232" s="6">
        <v>30833</v>
      </c>
      <c r="M232" s="6">
        <v>257</v>
      </c>
      <c r="N232" s="9">
        <v>2024</v>
      </c>
    </row>
    <row r="233" spans="1:14" x14ac:dyDescent="0.35">
      <c r="A233" s="10" t="s">
        <v>184</v>
      </c>
      <c r="B233" s="16" t="s">
        <v>185</v>
      </c>
      <c r="C233" s="10">
        <v>8</v>
      </c>
      <c r="D233" s="6">
        <v>5000</v>
      </c>
      <c r="E233" s="6">
        <v>0</v>
      </c>
      <c r="F233" s="6">
        <v>0</v>
      </c>
      <c r="G233" s="6">
        <v>5000</v>
      </c>
      <c r="H233" s="6">
        <v>0</v>
      </c>
      <c r="I233" s="6">
        <v>0</v>
      </c>
      <c r="J233" s="6">
        <v>0</v>
      </c>
      <c r="K233" s="6">
        <v>0</v>
      </c>
      <c r="L233" s="6">
        <v>0</v>
      </c>
      <c r="M233" s="6">
        <v>0</v>
      </c>
      <c r="N233" s="8">
        <v>2024</v>
      </c>
    </row>
    <row r="234" spans="1:14" x14ac:dyDescent="0.35">
      <c r="A234" s="10" t="s">
        <v>184</v>
      </c>
      <c r="B234" s="16" t="s">
        <v>186</v>
      </c>
      <c r="C234" s="10">
        <v>8</v>
      </c>
      <c r="D234" s="6">
        <v>9768</v>
      </c>
      <c r="E234" s="6">
        <v>0</v>
      </c>
      <c r="F234" s="6">
        <v>0</v>
      </c>
      <c r="G234" s="6">
        <v>9768</v>
      </c>
      <c r="H234" s="6">
        <v>0</v>
      </c>
      <c r="I234" s="6">
        <v>0</v>
      </c>
      <c r="J234" s="6">
        <v>0</v>
      </c>
      <c r="K234" s="6">
        <v>0</v>
      </c>
      <c r="L234" s="6">
        <v>0</v>
      </c>
      <c r="M234" s="6">
        <v>0</v>
      </c>
      <c r="N234" s="9">
        <v>2024</v>
      </c>
    </row>
    <row r="235" spans="1:14" x14ac:dyDescent="0.35">
      <c r="A235" s="10" t="s">
        <v>184</v>
      </c>
      <c r="B235" s="16" t="s">
        <v>188</v>
      </c>
      <c r="C235" s="10">
        <v>8</v>
      </c>
      <c r="D235" s="6">
        <v>26297</v>
      </c>
      <c r="E235" s="6">
        <v>0</v>
      </c>
      <c r="F235" s="6">
        <v>0</v>
      </c>
      <c r="G235" s="6">
        <v>2984</v>
      </c>
      <c r="H235" s="6">
        <v>0</v>
      </c>
      <c r="I235" s="6">
        <v>0</v>
      </c>
      <c r="J235" s="6">
        <v>0</v>
      </c>
      <c r="K235" s="6">
        <v>0</v>
      </c>
      <c r="L235" s="6">
        <v>23313</v>
      </c>
      <c r="M235" s="6">
        <v>0</v>
      </c>
      <c r="N235" s="8">
        <v>2024</v>
      </c>
    </row>
    <row r="236" spans="1:14" ht="21.5" x14ac:dyDescent="0.35">
      <c r="A236" s="10" t="s">
        <v>184</v>
      </c>
      <c r="B236" s="16" t="s">
        <v>189</v>
      </c>
      <c r="C236" s="10">
        <v>8</v>
      </c>
      <c r="D236" s="6">
        <v>7552</v>
      </c>
      <c r="E236" s="6">
        <v>0</v>
      </c>
      <c r="F236" s="6">
        <v>0</v>
      </c>
      <c r="G236" s="6">
        <v>0</v>
      </c>
      <c r="H236" s="6">
        <v>0</v>
      </c>
      <c r="I236" s="6">
        <v>772</v>
      </c>
      <c r="J236" s="6">
        <v>0</v>
      </c>
      <c r="K236" s="6">
        <v>0</v>
      </c>
      <c r="L236" s="6">
        <v>6780</v>
      </c>
      <c r="M236" s="6">
        <v>0</v>
      </c>
      <c r="N236" s="9">
        <v>2024</v>
      </c>
    </row>
    <row r="237" spans="1:14" x14ac:dyDescent="0.35">
      <c r="A237" s="10" t="s">
        <v>184</v>
      </c>
      <c r="B237" s="16" t="s">
        <v>190</v>
      </c>
      <c r="C237" s="10">
        <v>8</v>
      </c>
      <c r="D237" s="6">
        <v>48000</v>
      </c>
      <c r="E237" s="6">
        <v>0</v>
      </c>
      <c r="F237" s="6">
        <v>0</v>
      </c>
      <c r="G237" s="6">
        <v>48000</v>
      </c>
      <c r="H237" s="6">
        <v>0</v>
      </c>
      <c r="I237" s="6">
        <v>0</v>
      </c>
      <c r="J237" s="6">
        <v>0</v>
      </c>
      <c r="K237" s="6">
        <v>0</v>
      </c>
      <c r="L237" s="6">
        <v>0</v>
      </c>
      <c r="M237" s="6">
        <v>0</v>
      </c>
      <c r="N237" s="8">
        <v>2024</v>
      </c>
    </row>
    <row r="238" spans="1:14" x14ac:dyDescent="0.35">
      <c r="A238" s="10" t="s">
        <v>184</v>
      </c>
      <c r="B238" s="16" t="s">
        <v>191</v>
      </c>
      <c r="C238" s="10">
        <v>8</v>
      </c>
      <c r="D238" s="6">
        <v>365011</v>
      </c>
      <c r="E238" s="6">
        <v>0</v>
      </c>
      <c r="F238" s="6">
        <v>140027</v>
      </c>
      <c r="G238" s="6">
        <v>208258</v>
      </c>
      <c r="H238" s="6">
        <v>0</v>
      </c>
      <c r="I238" s="6">
        <v>5149</v>
      </c>
      <c r="J238" s="6">
        <v>274</v>
      </c>
      <c r="K238" s="6">
        <v>10564</v>
      </c>
      <c r="L238" s="6">
        <v>740</v>
      </c>
      <c r="M238" s="6">
        <v>0</v>
      </c>
      <c r="N238" s="9">
        <v>2024</v>
      </c>
    </row>
    <row r="239" spans="1:14" x14ac:dyDescent="0.35">
      <c r="A239" s="10" t="s">
        <v>184</v>
      </c>
      <c r="B239" s="16" t="s">
        <v>192</v>
      </c>
      <c r="C239" s="10">
        <v>8</v>
      </c>
      <c r="D239" s="6">
        <v>5020</v>
      </c>
      <c r="E239" s="6">
        <v>0</v>
      </c>
      <c r="F239" s="6">
        <v>0</v>
      </c>
      <c r="G239" s="6">
        <v>4763</v>
      </c>
      <c r="H239" s="6">
        <v>0</v>
      </c>
      <c r="I239" s="6">
        <v>0</v>
      </c>
      <c r="J239" s="6">
        <v>0</v>
      </c>
      <c r="K239" s="6">
        <v>0</v>
      </c>
      <c r="L239" s="6">
        <v>0</v>
      </c>
      <c r="M239" s="6">
        <v>257</v>
      </c>
      <c r="N239" s="8">
        <v>2024</v>
      </c>
    </row>
    <row r="240" spans="1:14" x14ac:dyDescent="0.35">
      <c r="A240" s="10" t="s">
        <v>193</v>
      </c>
      <c r="B240" s="10"/>
      <c r="C240" s="10">
        <v>9</v>
      </c>
      <c r="D240" s="6">
        <v>78964</v>
      </c>
      <c r="E240" s="6">
        <v>2046</v>
      </c>
      <c r="F240" s="6">
        <v>452</v>
      </c>
      <c r="G240" s="6">
        <v>3234</v>
      </c>
      <c r="H240" s="6">
        <v>377</v>
      </c>
      <c r="I240" s="6">
        <v>5924</v>
      </c>
      <c r="J240" s="6">
        <v>0</v>
      </c>
      <c r="K240" s="6">
        <v>58197</v>
      </c>
      <c r="L240" s="6">
        <v>4836</v>
      </c>
      <c r="M240" s="6">
        <v>3897</v>
      </c>
      <c r="N240" s="9">
        <v>2021</v>
      </c>
    </row>
    <row r="241" spans="1:14" ht="15.5" x14ac:dyDescent="0.35">
      <c r="A241" s="10" t="s">
        <v>193</v>
      </c>
      <c r="B241" s="16" t="s">
        <v>194</v>
      </c>
      <c r="C241" s="10">
        <v>9</v>
      </c>
      <c r="D241" s="7" t="s">
        <v>143</v>
      </c>
      <c r="E241" s="6">
        <v>0</v>
      </c>
      <c r="F241" s="6">
        <v>0</v>
      </c>
      <c r="G241" s="6">
        <v>0</v>
      </c>
      <c r="H241" s="6">
        <v>0</v>
      </c>
      <c r="I241" s="6">
        <v>0</v>
      </c>
      <c r="J241" s="6">
        <v>0</v>
      </c>
      <c r="K241" s="7" t="s">
        <v>143</v>
      </c>
      <c r="L241" s="6">
        <v>0</v>
      </c>
      <c r="M241" s="6">
        <v>0</v>
      </c>
      <c r="N241" s="23">
        <v>2021</v>
      </c>
    </row>
    <row r="242" spans="1:14" x14ac:dyDescent="0.35">
      <c r="A242" s="10" t="s">
        <v>193</v>
      </c>
      <c r="B242" s="16" t="s">
        <v>195</v>
      </c>
      <c r="C242" s="10">
        <v>9</v>
      </c>
      <c r="D242" s="6">
        <v>3698</v>
      </c>
      <c r="E242" s="6">
        <v>0</v>
      </c>
      <c r="F242" s="6">
        <v>0</v>
      </c>
      <c r="G242" s="6">
        <v>0</v>
      </c>
      <c r="H242" s="6">
        <v>0</v>
      </c>
      <c r="I242" s="6">
        <v>0</v>
      </c>
      <c r="J242" s="6">
        <v>0</v>
      </c>
      <c r="K242" s="6">
        <v>0</v>
      </c>
      <c r="L242" s="6">
        <v>0</v>
      </c>
      <c r="M242" s="6">
        <v>3698</v>
      </c>
      <c r="N242" s="8">
        <v>2021</v>
      </c>
    </row>
    <row r="243" spans="1:14" x14ac:dyDescent="0.35">
      <c r="A243" s="10" t="s">
        <v>193</v>
      </c>
      <c r="B243" s="16" t="s">
        <v>196</v>
      </c>
      <c r="C243" s="10">
        <v>9</v>
      </c>
      <c r="D243" s="6">
        <v>75265</v>
      </c>
      <c r="E243" s="6">
        <v>2046</v>
      </c>
      <c r="F243" s="6">
        <v>452</v>
      </c>
      <c r="G243" s="6">
        <v>3234</v>
      </c>
      <c r="H243" s="6">
        <v>377</v>
      </c>
      <c r="I243" s="6">
        <v>5924</v>
      </c>
      <c r="J243" s="6">
        <v>0</v>
      </c>
      <c r="K243" s="6">
        <v>58196</v>
      </c>
      <c r="L243" s="6">
        <v>4836</v>
      </c>
      <c r="M243" s="6">
        <v>200</v>
      </c>
      <c r="N243" s="23">
        <v>2021</v>
      </c>
    </row>
    <row r="244" spans="1:14" x14ac:dyDescent="0.35">
      <c r="A244" s="10" t="s">
        <v>193</v>
      </c>
      <c r="B244" s="10"/>
      <c r="C244" s="10">
        <v>9</v>
      </c>
      <c r="D244" s="6">
        <v>102945</v>
      </c>
      <c r="E244" s="6">
        <v>408</v>
      </c>
      <c r="F244" s="6">
        <v>0</v>
      </c>
      <c r="G244" s="6">
        <v>6209</v>
      </c>
      <c r="H244" s="6">
        <v>266</v>
      </c>
      <c r="I244" s="6">
        <v>12806</v>
      </c>
      <c r="J244" s="6">
        <v>2438</v>
      </c>
      <c r="K244" s="6">
        <v>71399</v>
      </c>
      <c r="L244" s="6">
        <v>531</v>
      </c>
      <c r="M244" s="6">
        <v>8887</v>
      </c>
      <c r="N244" s="24">
        <v>2022</v>
      </c>
    </row>
    <row r="245" spans="1:14" x14ac:dyDescent="0.35">
      <c r="A245" s="10" t="s">
        <v>193</v>
      </c>
      <c r="B245" s="16" t="s">
        <v>194</v>
      </c>
      <c r="C245" s="10">
        <v>9</v>
      </c>
      <c r="D245" s="6">
        <v>2</v>
      </c>
      <c r="E245" s="6">
        <v>0</v>
      </c>
      <c r="F245" s="6">
        <v>0</v>
      </c>
      <c r="G245" s="6">
        <v>0</v>
      </c>
      <c r="H245" s="6">
        <v>0</v>
      </c>
      <c r="I245" s="6">
        <v>0</v>
      </c>
      <c r="J245" s="6">
        <v>0</v>
      </c>
      <c r="K245" s="6">
        <v>2</v>
      </c>
      <c r="L245" s="6">
        <v>0</v>
      </c>
      <c r="M245" s="6">
        <v>0</v>
      </c>
      <c r="N245" s="9">
        <v>2022</v>
      </c>
    </row>
    <row r="246" spans="1:14" x14ac:dyDescent="0.35">
      <c r="A246" s="10" t="s">
        <v>193</v>
      </c>
      <c r="B246" s="16" t="s">
        <v>195</v>
      </c>
      <c r="C246" s="10">
        <v>9</v>
      </c>
      <c r="D246" s="6">
        <v>8887</v>
      </c>
      <c r="E246" s="6">
        <v>0</v>
      </c>
      <c r="F246" s="6">
        <v>0</v>
      </c>
      <c r="G246" s="6">
        <v>0</v>
      </c>
      <c r="H246" s="6">
        <v>0</v>
      </c>
      <c r="I246" s="6">
        <v>0</v>
      </c>
      <c r="J246" s="6">
        <v>0</v>
      </c>
      <c r="K246" s="6">
        <v>0</v>
      </c>
      <c r="L246" s="6">
        <v>0</v>
      </c>
      <c r="M246" s="6">
        <v>8887</v>
      </c>
      <c r="N246" s="24">
        <v>2022</v>
      </c>
    </row>
    <row r="247" spans="1:14" x14ac:dyDescent="0.35">
      <c r="A247" s="10" t="s">
        <v>193</v>
      </c>
      <c r="B247" s="16" t="s">
        <v>196</v>
      </c>
      <c r="C247" s="10">
        <v>9</v>
      </c>
      <c r="D247" s="6">
        <v>94056</v>
      </c>
      <c r="E247" s="6">
        <v>408</v>
      </c>
      <c r="F247" s="6">
        <v>0</v>
      </c>
      <c r="G247" s="6">
        <v>6209</v>
      </c>
      <c r="H247" s="6">
        <v>266</v>
      </c>
      <c r="I247" s="6">
        <v>12806</v>
      </c>
      <c r="J247" s="6">
        <v>2438</v>
      </c>
      <c r="K247" s="6">
        <v>71398</v>
      </c>
      <c r="L247" s="6">
        <v>531</v>
      </c>
      <c r="M247" s="6">
        <v>0</v>
      </c>
      <c r="N247" s="9">
        <v>2022</v>
      </c>
    </row>
    <row r="248" spans="1:14" x14ac:dyDescent="0.35">
      <c r="A248" s="10" t="s">
        <v>193</v>
      </c>
      <c r="B248" s="10"/>
      <c r="C248" s="10">
        <v>9</v>
      </c>
      <c r="D248" s="6">
        <v>102125</v>
      </c>
      <c r="E248" s="6">
        <v>4023</v>
      </c>
      <c r="F248" s="6">
        <v>0</v>
      </c>
      <c r="G248" s="6">
        <v>2937</v>
      </c>
      <c r="H248" s="6">
        <v>1221</v>
      </c>
      <c r="I248" s="6">
        <v>10385</v>
      </c>
      <c r="J248" s="6">
        <v>167</v>
      </c>
      <c r="K248" s="6">
        <v>76908</v>
      </c>
      <c r="L248" s="6">
        <v>167</v>
      </c>
      <c r="M248" s="6">
        <v>6317</v>
      </c>
      <c r="N248" s="8">
        <v>2023</v>
      </c>
    </row>
    <row r="249" spans="1:14" x14ac:dyDescent="0.35">
      <c r="A249" s="10" t="s">
        <v>193</v>
      </c>
      <c r="B249" s="16" t="s">
        <v>194</v>
      </c>
      <c r="C249" s="10">
        <v>9</v>
      </c>
      <c r="D249" s="6">
        <v>2</v>
      </c>
      <c r="E249" s="6">
        <v>0</v>
      </c>
      <c r="F249" s="6">
        <v>0</v>
      </c>
      <c r="G249" s="6">
        <v>0</v>
      </c>
      <c r="H249" s="6">
        <v>0</v>
      </c>
      <c r="I249" s="6">
        <v>0</v>
      </c>
      <c r="J249" s="6">
        <v>0</v>
      </c>
      <c r="K249" s="6">
        <v>0</v>
      </c>
      <c r="L249" s="6">
        <v>0</v>
      </c>
      <c r="M249" s="6">
        <v>2</v>
      </c>
      <c r="N249" s="9">
        <v>2023</v>
      </c>
    </row>
    <row r="250" spans="1:14" x14ac:dyDescent="0.35">
      <c r="A250" s="10" t="s">
        <v>193</v>
      </c>
      <c r="B250" s="16" t="s">
        <v>195</v>
      </c>
      <c r="C250" s="10">
        <v>9</v>
      </c>
      <c r="D250" s="6">
        <v>6315</v>
      </c>
      <c r="E250" s="6">
        <v>0</v>
      </c>
      <c r="F250" s="6">
        <v>0</v>
      </c>
      <c r="G250" s="6">
        <v>0</v>
      </c>
      <c r="H250" s="6">
        <v>0</v>
      </c>
      <c r="I250" s="6">
        <v>0</v>
      </c>
      <c r="J250" s="6">
        <v>0</v>
      </c>
      <c r="K250" s="6">
        <v>0</v>
      </c>
      <c r="L250" s="6">
        <v>0</v>
      </c>
      <c r="M250" s="6">
        <v>6315</v>
      </c>
      <c r="N250" s="8">
        <v>2023</v>
      </c>
    </row>
    <row r="251" spans="1:14" x14ac:dyDescent="0.35">
      <c r="A251" s="10" t="s">
        <v>193</v>
      </c>
      <c r="B251" s="16" t="s">
        <v>196</v>
      </c>
      <c r="C251" s="10">
        <v>9</v>
      </c>
      <c r="D251" s="6">
        <v>95808</v>
      </c>
      <c r="E251" s="6">
        <v>4023</v>
      </c>
      <c r="F251" s="6">
        <v>0</v>
      </c>
      <c r="G251" s="6">
        <v>2937</v>
      </c>
      <c r="H251" s="6">
        <v>1221</v>
      </c>
      <c r="I251" s="6">
        <v>10385</v>
      </c>
      <c r="J251" s="6">
        <v>167</v>
      </c>
      <c r="K251" s="6">
        <v>76908</v>
      </c>
      <c r="L251" s="6">
        <v>167</v>
      </c>
      <c r="M251" s="6">
        <v>0</v>
      </c>
      <c r="N251" s="9">
        <v>2023</v>
      </c>
    </row>
    <row r="252" spans="1:14" x14ac:dyDescent="0.35">
      <c r="A252" s="10" t="s">
        <v>193</v>
      </c>
      <c r="B252" s="10"/>
      <c r="C252" s="10">
        <v>9</v>
      </c>
      <c r="D252" s="6">
        <v>112302</v>
      </c>
      <c r="E252" s="6">
        <v>4586</v>
      </c>
      <c r="F252" s="6">
        <v>0</v>
      </c>
      <c r="G252" s="6">
        <v>3231</v>
      </c>
      <c r="H252" s="6">
        <v>1344</v>
      </c>
      <c r="I252" s="6">
        <v>11424</v>
      </c>
      <c r="J252" s="6">
        <v>183</v>
      </c>
      <c r="K252" s="6">
        <v>85273</v>
      </c>
      <c r="L252" s="6">
        <v>183</v>
      </c>
      <c r="M252" s="6">
        <v>6078</v>
      </c>
      <c r="N252" s="8">
        <v>2024</v>
      </c>
    </row>
    <row r="253" spans="1:14" x14ac:dyDescent="0.35">
      <c r="A253" s="10" t="s">
        <v>193</v>
      </c>
      <c r="B253" s="16" t="s">
        <v>194</v>
      </c>
      <c r="C253" s="10">
        <v>9</v>
      </c>
      <c r="D253" s="6">
        <v>1</v>
      </c>
      <c r="E253" s="6">
        <v>0</v>
      </c>
      <c r="F253" s="6">
        <v>0</v>
      </c>
      <c r="G253" s="6">
        <v>0</v>
      </c>
      <c r="H253" s="6">
        <v>0</v>
      </c>
      <c r="I253" s="6">
        <v>0</v>
      </c>
      <c r="J253" s="6">
        <v>0</v>
      </c>
      <c r="K253" s="6">
        <v>1</v>
      </c>
      <c r="L253" s="6">
        <v>0</v>
      </c>
      <c r="M253" s="6">
        <v>0</v>
      </c>
      <c r="N253" s="9">
        <v>2024</v>
      </c>
    </row>
    <row r="254" spans="1:14" x14ac:dyDescent="0.35">
      <c r="A254" s="10" t="s">
        <v>193</v>
      </c>
      <c r="B254" s="16" t="s">
        <v>195</v>
      </c>
      <c r="C254" s="10">
        <v>9</v>
      </c>
      <c r="D254" s="6">
        <v>6078</v>
      </c>
      <c r="E254" s="6">
        <v>0</v>
      </c>
      <c r="F254" s="6">
        <v>0</v>
      </c>
      <c r="G254" s="6">
        <v>0</v>
      </c>
      <c r="H254" s="6">
        <v>0</v>
      </c>
      <c r="I254" s="6">
        <v>0</v>
      </c>
      <c r="J254" s="6">
        <v>0</v>
      </c>
      <c r="K254" s="6">
        <v>0</v>
      </c>
      <c r="L254" s="6">
        <v>0</v>
      </c>
      <c r="M254" s="6">
        <v>6078</v>
      </c>
      <c r="N254" s="8">
        <v>2024</v>
      </c>
    </row>
    <row r="255" spans="1:14" x14ac:dyDescent="0.35">
      <c r="A255" s="10" t="s">
        <v>193</v>
      </c>
      <c r="B255" s="16" t="s">
        <v>196</v>
      </c>
      <c r="C255" s="10">
        <v>9</v>
      </c>
      <c r="D255" s="6">
        <v>106222</v>
      </c>
      <c r="E255" s="6">
        <v>4586</v>
      </c>
      <c r="F255" s="6">
        <v>0</v>
      </c>
      <c r="G255" s="6">
        <v>3231</v>
      </c>
      <c r="H255" s="6">
        <v>1344</v>
      </c>
      <c r="I255" s="6">
        <v>11424</v>
      </c>
      <c r="J255" s="6">
        <v>183</v>
      </c>
      <c r="K255" s="6">
        <v>85272</v>
      </c>
      <c r="L255" s="6">
        <v>183</v>
      </c>
      <c r="M255" s="6">
        <v>0</v>
      </c>
      <c r="N255" s="9">
        <v>2024</v>
      </c>
    </row>
    <row r="256" spans="1:14" x14ac:dyDescent="0.35">
      <c r="A256" s="10" t="s">
        <v>197</v>
      </c>
      <c r="B256" s="10"/>
      <c r="C256" s="10">
        <v>10</v>
      </c>
      <c r="D256" s="6">
        <v>3493</v>
      </c>
      <c r="E256" s="6">
        <v>0</v>
      </c>
      <c r="F256" s="6">
        <v>0</v>
      </c>
      <c r="G256" s="6">
        <v>0</v>
      </c>
      <c r="H256" s="6">
        <v>0</v>
      </c>
      <c r="I256" s="6">
        <v>0</v>
      </c>
      <c r="J256" s="6">
        <v>0</v>
      </c>
      <c r="K256" s="6">
        <v>3493</v>
      </c>
      <c r="L256" s="6">
        <v>0</v>
      </c>
      <c r="M256" s="6">
        <v>0</v>
      </c>
      <c r="N256" s="8">
        <v>2021</v>
      </c>
    </row>
    <row r="257" spans="1:14" ht="21.5" x14ac:dyDescent="0.35">
      <c r="A257" s="10" t="s">
        <v>197</v>
      </c>
      <c r="B257" s="16" t="s">
        <v>198</v>
      </c>
      <c r="C257" s="10">
        <v>10</v>
      </c>
      <c r="D257" s="6">
        <v>1301</v>
      </c>
      <c r="E257" s="6">
        <v>0</v>
      </c>
      <c r="F257" s="6">
        <v>0</v>
      </c>
      <c r="G257" s="6">
        <v>0</v>
      </c>
      <c r="H257" s="6">
        <v>0</v>
      </c>
      <c r="I257" s="6">
        <v>0</v>
      </c>
      <c r="J257" s="6">
        <v>0</v>
      </c>
      <c r="K257" s="6">
        <v>1301</v>
      </c>
      <c r="L257" s="6">
        <v>0</v>
      </c>
      <c r="M257" s="6">
        <v>0</v>
      </c>
      <c r="N257" s="23">
        <v>2021</v>
      </c>
    </row>
    <row r="258" spans="1:14" ht="21.5" x14ac:dyDescent="0.35">
      <c r="A258" s="10" t="s">
        <v>197</v>
      </c>
      <c r="B258" s="16" t="s">
        <v>199</v>
      </c>
      <c r="C258" s="10">
        <v>10</v>
      </c>
      <c r="D258" s="6">
        <v>2192</v>
      </c>
      <c r="E258" s="6">
        <v>0</v>
      </c>
      <c r="F258" s="6">
        <v>0</v>
      </c>
      <c r="G258" s="6">
        <v>0</v>
      </c>
      <c r="H258" s="6">
        <v>0</v>
      </c>
      <c r="I258" s="6">
        <v>0</v>
      </c>
      <c r="J258" s="6">
        <v>0</v>
      </c>
      <c r="K258" s="6">
        <v>2192</v>
      </c>
      <c r="L258" s="6">
        <v>0</v>
      </c>
      <c r="M258" s="6">
        <v>0</v>
      </c>
      <c r="N258" s="8">
        <v>2021</v>
      </c>
    </row>
    <row r="259" spans="1:14" x14ac:dyDescent="0.35">
      <c r="A259" s="10" t="s">
        <v>197</v>
      </c>
      <c r="B259" s="10"/>
      <c r="C259" s="10">
        <v>10</v>
      </c>
      <c r="D259" s="6">
        <v>3698</v>
      </c>
      <c r="E259" s="6">
        <v>0</v>
      </c>
      <c r="F259" s="6">
        <v>0</v>
      </c>
      <c r="G259" s="6">
        <v>0</v>
      </c>
      <c r="H259" s="6">
        <v>0</v>
      </c>
      <c r="I259" s="6">
        <v>0</v>
      </c>
      <c r="J259" s="6">
        <v>0</v>
      </c>
      <c r="K259" s="6">
        <v>3698</v>
      </c>
      <c r="L259" s="6">
        <v>0</v>
      </c>
      <c r="M259" s="6">
        <v>0</v>
      </c>
      <c r="N259" s="23">
        <v>2022</v>
      </c>
    </row>
    <row r="260" spans="1:14" ht="21.5" x14ac:dyDescent="0.35">
      <c r="A260" s="10" t="s">
        <v>197</v>
      </c>
      <c r="B260" s="16" t="s">
        <v>198</v>
      </c>
      <c r="C260" s="10">
        <v>10</v>
      </c>
      <c r="D260" s="6">
        <v>1910</v>
      </c>
      <c r="E260" s="6">
        <v>0</v>
      </c>
      <c r="F260" s="6">
        <v>0</v>
      </c>
      <c r="G260" s="6">
        <v>0</v>
      </c>
      <c r="H260" s="6">
        <v>0</v>
      </c>
      <c r="I260" s="6">
        <v>0</v>
      </c>
      <c r="J260" s="6">
        <v>0</v>
      </c>
      <c r="K260" s="6">
        <v>1910</v>
      </c>
      <c r="L260" s="6">
        <v>0</v>
      </c>
      <c r="M260" s="6">
        <v>0</v>
      </c>
      <c r="N260" s="8">
        <v>2022</v>
      </c>
    </row>
    <row r="261" spans="1:14" ht="21.5" x14ac:dyDescent="0.35">
      <c r="A261" s="10" t="s">
        <v>197</v>
      </c>
      <c r="B261" s="16" t="s">
        <v>199</v>
      </c>
      <c r="C261" s="10">
        <v>10</v>
      </c>
      <c r="D261" s="6">
        <v>1788</v>
      </c>
      <c r="E261" s="6">
        <v>0</v>
      </c>
      <c r="F261" s="6">
        <v>0</v>
      </c>
      <c r="G261" s="6">
        <v>0</v>
      </c>
      <c r="H261" s="6">
        <v>0</v>
      </c>
      <c r="I261" s="6">
        <v>0</v>
      </c>
      <c r="J261" s="6">
        <v>0</v>
      </c>
      <c r="K261" s="6">
        <v>1788</v>
      </c>
      <c r="L261" s="6">
        <v>0</v>
      </c>
      <c r="M261" s="6">
        <v>0</v>
      </c>
      <c r="N261" s="23">
        <v>2022</v>
      </c>
    </row>
    <row r="262" spans="1:14" x14ac:dyDescent="0.35">
      <c r="A262" s="10" t="s">
        <v>197</v>
      </c>
      <c r="B262" s="10"/>
      <c r="C262" s="10">
        <v>10</v>
      </c>
      <c r="D262" s="6">
        <v>1898</v>
      </c>
      <c r="E262" s="6">
        <v>0</v>
      </c>
      <c r="F262" s="6">
        <v>0</v>
      </c>
      <c r="G262" s="6">
        <v>0</v>
      </c>
      <c r="H262" s="6">
        <v>0</v>
      </c>
      <c r="I262" s="6">
        <v>0</v>
      </c>
      <c r="J262" s="6">
        <v>0</v>
      </c>
      <c r="K262" s="6">
        <v>1898</v>
      </c>
      <c r="L262" s="6">
        <v>0</v>
      </c>
      <c r="M262" s="6">
        <v>0</v>
      </c>
      <c r="N262" s="8">
        <v>2023</v>
      </c>
    </row>
    <row r="263" spans="1:14" ht="21.5" x14ac:dyDescent="0.35">
      <c r="A263" s="10" t="s">
        <v>197</v>
      </c>
      <c r="B263" s="16" t="s">
        <v>198</v>
      </c>
      <c r="C263" s="10">
        <v>10</v>
      </c>
      <c r="D263" s="6">
        <v>1898</v>
      </c>
      <c r="E263" s="6">
        <v>0</v>
      </c>
      <c r="F263" s="6">
        <v>0</v>
      </c>
      <c r="G263" s="6">
        <v>0</v>
      </c>
      <c r="H263" s="6">
        <v>0</v>
      </c>
      <c r="I263" s="6">
        <v>0</v>
      </c>
      <c r="J263" s="6">
        <v>0</v>
      </c>
      <c r="K263" s="6">
        <v>1898</v>
      </c>
      <c r="L263" s="6">
        <v>0</v>
      </c>
      <c r="M263" s="6">
        <v>0</v>
      </c>
      <c r="N263" s="9">
        <v>2023</v>
      </c>
    </row>
    <row r="264" spans="1:14" x14ac:dyDescent="0.35">
      <c r="A264" s="10" t="s">
        <v>197</v>
      </c>
      <c r="B264" s="10"/>
      <c r="C264" s="10">
        <v>10</v>
      </c>
      <c r="D264" s="6">
        <v>2419</v>
      </c>
      <c r="E264" s="6">
        <v>0</v>
      </c>
      <c r="F264" s="6">
        <v>0</v>
      </c>
      <c r="G264" s="6">
        <v>0</v>
      </c>
      <c r="H264" s="6">
        <v>0</v>
      </c>
      <c r="I264" s="6">
        <v>0</v>
      </c>
      <c r="J264" s="6">
        <v>0</v>
      </c>
      <c r="K264" s="6">
        <v>2419</v>
      </c>
      <c r="L264" s="6">
        <v>0</v>
      </c>
      <c r="M264" s="6">
        <v>0</v>
      </c>
      <c r="N264" s="8">
        <v>2024</v>
      </c>
    </row>
    <row r="265" spans="1:14" ht="21.5" x14ac:dyDescent="0.35">
      <c r="A265" s="10" t="s">
        <v>197</v>
      </c>
      <c r="B265" s="16" t="s">
        <v>198</v>
      </c>
      <c r="C265" s="10">
        <v>10</v>
      </c>
      <c r="D265" s="6">
        <v>2419</v>
      </c>
      <c r="E265" s="6">
        <v>0</v>
      </c>
      <c r="F265" s="6">
        <v>0</v>
      </c>
      <c r="G265" s="6">
        <v>0</v>
      </c>
      <c r="H265" s="6">
        <v>0</v>
      </c>
      <c r="I265" s="6">
        <v>0</v>
      </c>
      <c r="J265" s="6">
        <v>0</v>
      </c>
      <c r="K265" s="6">
        <v>2419</v>
      </c>
      <c r="L265" s="6">
        <v>0</v>
      </c>
      <c r="M265" s="6">
        <v>0</v>
      </c>
      <c r="N265" s="9">
        <v>2024</v>
      </c>
    </row>
    <row r="266" spans="1:14" x14ac:dyDescent="0.35">
      <c r="A266" s="10" t="s">
        <v>200</v>
      </c>
      <c r="B266" s="10"/>
      <c r="C266" s="10">
        <v>11</v>
      </c>
      <c r="D266" s="6">
        <v>44000</v>
      </c>
      <c r="E266" s="6">
        <v>0</v>
      </c>
      <c r="F266" s="6">
        <v>0</v>
      </c>
      <c r="G266" s="6">
        <v>42000</v>
      </c>
      <c r="H266" s="6">
        <v>0</v>
      </c>
      <c r="I266" s="6">
        <v>0</v>
      </c>
      <c r="J266" s="6">
        <v>0</v>
      </c>
      <c r="K266" s="6">
        <v>2000</v>
      </c>
      <c r="L266" s="6">
        <v>0</v>
      </c>
      <c r="M266" s="6">
        <v>0</v>
      </c>
      <c r="N266" s="24">
        <v>2021</v>
      </c>
    </row>
    <row r="267" spans="1:14" x14ac:dyDescent="0.35">
      <c r="A267" s="10" t="s">
        <v>200</v>
      </c>
      <c r="B267" s="10"/>
      <c r="C267" s="10">
        <v>11</v>
      </c>
      <c r="D267" s="6">
        <v>45000</v>
      </c>
      <c r="E267" s="6">
        <v>0</v>
      </c>
      <c r="F267" s="6">
        <v>0</v>
      </c>
      <c r="G267" s="6">
        <v>38000</v>
      </c>
      <c r="H267" s="6">
        <v>0</v>
      </c>
      <c r="I267" s="6">
        <v>0</v>
      </c>
      <c r="J267" s="6">
        <v>0</v>
      </c>
      <c r="K267" s="6">
        <v>7000</v>
      </c>
      <c r="L267" s="6">
        <v>0</v>
      </c>
      <c r="M267" s="6">
        <v>0</v>
      </c>
      <c r="N267" s="9">
        <v>2022</v>
      </c>
    </row>
    <row r="268" spans="1:14" x14ac:dyDescent="0.35">
      <c r="A268" s="10" t="s">
        <v>200</v>
      </c>
      <c r="B268" s="10"/>
      <c r="C268" s="10">
        <v>11</v>
      </c>
      <c r="D268" s="6">
        <v>39076</v>
      </c>
      <c r="E268" s="6">
        <v>0</v>
      </c>
      <c r="F268" s="6">
        <v>0</v>
      </c>
      <c r="G268" s="6">
        <v>32998</v>
      </c>
      <c r="H268" s="6">
        <v>0</v>
      </c>
      <c r="I268" s="6">
        <v>0</v>
      </c>
      <c r="J268" s="6">
        <v>0</v>
      </c>
      <c r="K268" s="6">
        <v>6079</v>
      </c>
      <c r="L268" s="6">
        <v>0</v>
      </c>
      <c r="M268" s="6">
        <v>0</v>
      </c>
      <c r="N268" s="8">
        <v>2023</v>
      </c>
    </row>
    <row r="269" spans="1:14" x14ac:dyDescent="0.35">
      <c r="A269" s="10" t="s">
        <v>200</v>
      </c>
      <c r="B269" s="10"/>
      <c r="C269" s="10">
        <v>11</v>
      </c>
      <c r="D269" s="6">
        <v>22925</v>
      </c>
      <c r="E269" s="6">
        <v>0</v>
      </c>
      <c r="F269" s="6">
        <v>0</v>
      </c>
      <c r="G269" s="6">
        <v>21779</v>
      </c>
      <c r="H269" s="6">
        <v>0</v>
      </c>
      <c r="I269" s="6">
        <v>0</v>
      </c>
      <c r="J269" s="6">
        <v>0</v>
      </c>
      <c r="K269" s="6">
        <v>1146</v>
      </c>
      <c r="L269" s="6">
        <v>0</v>
      </c>
      <c r="M269" s="6">
        <v>0</v>
      </c>
      <c r="N269" s="9">
        <v>2024</v>
      </c>
    </row>
    <row r="270" spans="1:14" x14ac:dyDescent="0.35">
      <c r="A270" s="10" t="s">
        <v>201</v>
      </c>
      <c r="B270" s="10"/>
      <c r="C270" s="10">
        <v>12</v>
      </c>
      <c r="D270" s="6">
        <v>822962</v>
      </c>
      <c r="E270" s="6">
        <v>17317</v>
      </c>
      <c r="F270" s="6">
        <v>15813</v>
      </c>
      <c r="G270" s="6">
        <v>21460</v>
      </c>
      <c r="H270" s="6">
        <v>5075</v>
      </c>
      <c r="I270" s="6">
        <v>12095</v>
      </c>
      <c r="J270" s="6">
        <v>18059</v>
      </c>
      <c r="K270" s="6">
        <v>18008</v>
      </c>
      <c r="L270" s="6">
        <v>707642</v>
      </c>
      <c r="M270" s="6">
        <v>7492</v>
      </c>
      <c r="N270" s="8">
        <v>2021</v>
      </c>
    </row>
    <row r="271" spans="1:14" x14ac:dyDescent="0.35">
      <c r="A271" s="10" t="s">
        <v>201</v>
      </c>
      <c r="B271" s="16" t="s">
        <v>202</v>
      </c>
      <c r="C271" s="10">
        <v>12</v>
      </c>
      <c r="D271" s="6">
        <v>266866</v>
      </c>
      <c r="E271" s="6">
        <v>13112</v>
      </c>
      <c r="F271" s="6">
        <v>15706</v>
      </c>
      <c r="G271" s="6">
        <v>7949</v>
      </c>
      <c r="H271" s="6">
        <v>5075</v>
      </c>
      <c r="I271" s="6">
        <v>0</v>
      </c>
      <c r="J271" s="6">
        <v>17696</v>
      </c>
      <c r="K271" s="6">
        <v>0</v>
      </c>
      <c r="L271" s="6">
        <v>206334</v>
      </c>
      <c r="M271" s="6">
        <v>993</v>
      </c>
      <c r="N271" s="23">
        <v>2021</v>
      </c>
    </row>
    <row r="272" spans="1:14" x14ac:dyDescent="0.35">
      <c r="A272" s="10" t="s">
        <v>201</v>
      </c>
      <c r="B272" s="16" t="s">
        <v>203</v>
      </c>
      <c r="C272" s="10">
        <v>12</v>
      </c>
      <c r="D272" s="6">
        <v>373484</v>
      </c>
      <c r="E272" s="6">
        <v>0</v>
      </c>
      <c r="F272" s="6">
        <v>0</v>
      </c>
      <c r="G272" s="6">
        <v>0</v>
      </c>
      <c r="H272" s="6">
        <v>0</v>
      </c>
      <c r="I272" s="6">
        <v>0</v>
      </c>
      <c r="J272" s="6">
        <v>0</v>
      </c>
      <c r="K272" s="6">
        <v>0</v>
      </c>
      <c r="L272" s="6">
        <v>373484</v>
      </c>
      <c r="M272" s="6">
        <v>0</v>
      </c>
      <c r="N272" s="9">
        <v>2021</v>
      </c>
    </row>
    <row r="273" spans="1:14" ht="21.5" x14ac:dyDescent="0.35">
      <c r="A273" s="10" t="s">
        <v>201</v>
      </c>
      <c r="B273" s="16" t="s">
        <v>204</v>
      </c>
      <c r="C273" s="10">
        <v>12</v>
      </c>
      <c r="D273" s="6">
        <v>12344</v>
      </c>
      <c r="E273" s="6">
        <v>0</v>
      </c>
      <c r="F273" s="6">
        <v>0</v>
      </c>
      <c r="G273" s="6">
        <v>0</v>
      </c>
      <c r="H273" s="6">
        <v>0</v>
      </c>
      <c r="I273" s="6">
        <v>11451</v>
      </c>
      <c r="J273" s="6">
        <v>0</v>
      </c>
      <c r="K273" s="6">
        <v>0</v>
      </c>
      <c r="L273" s="6">
        <v>0</v>
      </c>
      <c r="M273" s="6">
        <v>893</v>
      </c>
      <c r="N273" s="24">
        <v>2021</v>
      </c>
    </row>
    <row r="274" spans="1:14" x14ac:dyDescent="0.35">
      <c r="A274" s="10" t="s">
        <v>201</v>
      </c>
      <c r="B274" s="16" t="s">
        <v>205</v>
      </c>
      <c r="C274" s="10">
        <v>12</v>
      </c>
      <c r="D274" s="6">
        <v>35039</v>
      </c>
      <c r="E274" s="6">
        <v>0</v>
      </c>
      <c r="F274" s="6">
        <v>108</v>
      </c>
      <c r="G274" s="6">
        <v>0</v>
      </c>
      <c r="H274" s="6">
        <v>0</v>
      </c>
      <c r="I274" s="6">
        <v>0</v>
      </c>
      <c r="J274" s="6">
        <v>0</v>
      </c>
      <c r="K274" s="6">
        <v>0</v>
      </c>
      <c r="L274" s="6">
        <v>34931</v>
      </c>
      <c r="M274" s="6">
        <v>0</v>
      </c>
      <c r="N274" s="9">
        <v>2021</v>
      </c>
    </row>
    <row r="275" spans="1:14" x14ac:dyDescent="0.35">
      <c r="A275" s="10" t="s">
        <v>201</v>
      </c>
      <c r="B275" s="16" t="s">
        <v>206</v>
      </c>
      <c r="C275" s="10">
        <v>12</v>
      </c>
      <c r="D275" s="6">
        <v>42045</v>
      </c>
      <c r="E275" s="6">
        <v>0</v>
      </c>
      <c r="F275" s="6">
        <v>0</v>
      </c>
      <c r="G275" s="6">
        <v>0</v>
      </c>
      <c r="H275" s="6">
        <v>0</v>
      </c>
      <c r="I275" s="6">
        <v>0</v>
      </c>
      <c r="J275" s="6">
        <v>363</v>
      </c>
      <c r="K275" s="6">
        <v>5463</v>
      </c>
      <c r="L275" s="6">
        <v>30731</v>
      </c>
      <c r="M275" s="6">
        <v>5488</v>
      </c>
      <c r="N275" s="24">
        <v>2021</v>
      </c>
    </row>
    <row r="276" spans="1:14" ht="21.5" x14ac:dyDescent="0.35">
      <c r="A276" s="10" t="s">
        <v>201</v>
      </c>
      <c r="B276" s="16" t="s">
        <v>207</v>
      </c>
      <c r="C276" s="10">
        <v>12</v>
      </c>
      <c r="D276" s="6">
        <v>65559</v>
      </c>
      <c r="E276" s="6">
        <v>4205</v>
      </c>
      <c r="F276" s="6">
        <v>0</v>
      </c>
      <c r="G276" s="6">
        <v>13511</v>
      </c>
      <c r="H276" s="6">
        <v>0</v>
      </c>
      <c r="I276" s="6">
        <v>0</v>
      </c>
      <c r="J276" s="6">
        <v>0</v>
      </c>
      <c r="K276" s="6">
        <v>12480</v>
      </c>
      <c r="L276" s="6">
        <v>35363</v>
      </c>
      <c r="M276" s="6">
        <v>0</v>
      </c>
      <c r="N276" s="9">
        <v>2021</v>
      </c>
    </row>
    <row r="277" spans="1:14" ht="21.5" x14ac:dyDescent="0.35">
      <c r="A277" s="10" t="s">
        <v>201</v>
      </c>
      <c r="B277" s="16" t="s">
        <v>208</v>
      </c>
      <c r="C277" s="10">
        <v>12</v>
      </c>
      <c r="D277" s="6">
        <v>11714</v>
      </c>
      <c r="E277" s="6">
        <v>0</v>
      </c>
      <c r="F277" s="6">
        <v>0</v>
      </c>
      <c r="G277" s="6">
        <v>0</v>
      </c>
      <c r="H277" s="6">
        <v>0</v>
      </c>
      <c r="I277" s="6">
        <v>0</v>
      </c>
      <c r="J277" s="6">
        <v>0</v>
      </c>
      <c r="K277" s="6">
        <v>0</v>
      </c>
      <c r="L277" s="6">
        <v>11696</v>
      </c>
      <c r="M277" s="7" t="s">
        <v>143</v>
      </c>
      <c r="N277" s="24">
        <v>2021</v>
      </c>
    </row>
    <row r="278" spans="1:14" ht="21.5" x14ac:dyDescent="0.35">
      <c r="A278" s="10" t="s">
        <v>201</v>
      </c>
      <c r="B278" s="16" t="s">
        <v>209</v>
      </c>
      <c r="C278" s="10">
        <v>12</v>
      </c>
      <c r="D278" s="6">
        <v>15912</v>
      </c>
      <c r="E278" s="6">
        <v>0</v>
      </c>
      <c r="F278" s="6">
        <v>0</v>
      </c>
      <c r="G278" s="6">
        <v>0</v>
      </c>
      <c r="H278" s="6">
        <v>0</v>
      </c>
      <c r="I278" s="6">
        <v>644</v>
      </c>
      <c r="J278" s="6">
        <v>0</v>
      </c>
      <c r="K278" s="6">
        <v>65</v>
      </c>
      <c r="L278" s="6">
        <v>15103</v>
      </c>
      <c r="M278" s="6">
        <v>100</v>
      </c>
      <c r="N278" s="9">
        <v>2021</v>
      </c>
    </row>
    <row r="279" spans="1:14" x14ac:dyDescent="0.35">
      <c r="A279" s="10" t="s">
        <v>201</v>
      </c>
      <c r="B279" s="10"/>
      <c r="C279" s="10">
        <v>12</v>
      </c>
      <c r="D279" s="6">
        <v>808368</v>
      </c>
      <c r="E279" s="6">
        <v>22104</v>
      </c>
      <c r="F279" s="6">
        <v>14933</v>
      </c>
      <c r="G279" s="6">
        <v>26589</v>
      </c>
      <c r="H279" s="6">
        <v>6347</v>
      </c>
      <c r="I279" s="6">
        <v>23737</v>
      </c>
      <c r="J279" s="6">
        <v>21622</v>
      </c>
      <c r="K279" s="6">
        <v>20930</v>
      </c>
      <c r="L279" s="6">
        <v>647954</v>
      </c>
      <c r="M279" s="6">
        <v>24152</v>
      </c>
      <c r="N279" s="24">
        <v>2022</v>
      </c>
    </row>
    <row r="280" spans="1:14" x14ac:dyDescent="0.35">
      <c r="A280" s="10" t="s">
        <v>201</v>
      </c>
      <c r="B280" s="16" t="s">
        <v>202</v>
      </c>
      <c r="C280" s="10">
        <v>12</v>
      </c>
      <c r="D280" s="6">
        <v>260969</v>
      </c>
      <c r="E280" s="6">
        <v>15467</v>
      </c>
      <c r="F280" s="6">
        <v>14933</v>
      </c>
      <c r="G280" s="6">
        <v>7580</v>
      </c>
      <c r="H280" s="6">
        <v>6347</v>
      </c>
      <c r="I280" s="6">
        <v>0</v>
      </c>
      <c r="J280" s="6">
        <v>21622</v>
      </c>
      <c r="K280" s="6">
        <v>0</v>
      </c>
      <c r="L280" s="6">
        <v>175577</v>
      </c>
      <c r="M280" s="6">
        <v>19443</v>
      </c>
      <c r="N280" s="9">
        <v>2022</v>
      </c>
    </row>
    <row r="281" spans="1:14" x14ac:dyDescent="0.35">
      <c r="A281" s="10" t="s">
        <v>201</v>
      </c>
      <c r="B281" s="16" t="s">
        <v>203</v>
      </c>
      <c r="C281" s="10">
        <v>12</v>
      </c>
      <c r="D281" s="6">
        <v>341879</v>
      </c>
      <c r="E281" s="6">
        <v>0</v>
      </c>
      <c r="F281" s="6">
        <v>0</v>
      </c>
      <c r="G281" s="6">
        <v>0</v>
      </c>
      <c r="H281" s="6">
        <v>0</v>
      </c>
      <c r="I281" s="6">
        <v>0</v>
      </c>
      <c r="J281" s="6">
        <v>0</v>
      </c>
      <c r="K281" s="6">
        <v>0</v>
      </c>
      <c r="L281" s="6">
        <v>341879</v>
      </c>
      <c r="M281" s="6">
        <v>0</v>
      </c>
      <c r="N281" s="24">
        <v>2022</v>
      </c>
    </row>
    <row r="282" spans="1:14" ht="21.5" x14ac:dyDescent="0.35">
      <c r="A282" s="10" t="s">
        <v>201</v>
      </c>
      <c r="B282" s="16" t="s">
        <v>204</v>
      </c>
      <c r="C282" s="10">
        <v>12</v>
      </c>
      <c r="D282" s="6">
        <v>21154</v>
      </c>
      <c r="E282" s="6">
        <v>0</v>
      </c>
      <c r="F282" s="6">
        <v>0</v>
      </c>
      <c r="G282" s="6">
        <v>0</v>
      </c>
      <c r="H282" s="6">
        <v>0</v>
      </c>
      <c r="I282" s="6">
        <v>21154</v>
      </c>
      <c r="J282" s="6">
        <v>0</v>
      </c>
      <c r="K282" s="6">
        <v>0</v>
      </c>
      <c r="L282" s="6">
        <v>0</v>
      </c>
      <c r="M282" s="6">
        <v>0</v>
      </c>
      <c r="N282" s="9">
        <v>2022</v>
      </c>
    </row>
    <row r="283" spans="1:14" x14ac:dyDescent="0.35">
      <c r="A283" s="10" t="s">
        <v>201</v>
      </c>
      <c r="B283" s="16" t="s">
        <v>205</v>
      </c>
      <c r="C283" s="10">
        <v>12</v>
      </c>
      <c r="D283" s="6">
        <v>32291</v>
      </c>
      <c r="E283" s="6">
        <v>0</v>
      </c>
      <c r="F283" s="6">
        <v>0</v>
      </c>
      <c r="G283" s="6">
        <v>0</v>
      </c>
      <c r="H283" s="6">
        <v>0</v>
      </c>
      <c r="I283" s="6">
        <v>0</v>
      </c>
      <c r="J283" s="6">
        <v>0</v>
      </c>
      <c r="K283" s="6">
        <v>0</v>
      </c>
      <c r="L283" s="6">
        <v>32291</v>
      </c>
      <c r="M283" s="6">
        <v>0</v>
      </c>
      <c r="N283" s="24">
        <v>2022</v>
      </c>
    </row>
    <row r="284" spans="1:14" ht="31.5" customHeight="1" x14ac:dyDescent="0.35">
      <c r="A284" s="10" t="s">
        <v>201</v>
      </c>
      <c r="B284" s="16" t="s">
        <v>206</v>
      </c>
      <c r="C284" s="10">
        <v>12</v>
      </c>
      <c r="D284" s="6">
        <v>11909</v>
      </c>
      <c r="E284" s="6">
        <v>700</v>
      </c>
      <c r="F284" s="6">
        <v>0</v>
      </c>
      <c r="G284" s="6">
        <v>0</v>
      </c>
      <c r="H284" s="6">
        <v>0</v>
      </c>
      <c r="I284" s="6">
        <v>0</v>
      </c>
      <c r="J284" s="6">
        <v>0</v>
      </c>
      <c r="K284" s="6">
        <v>3107</v>
      </c>
      <c r="L284" s="6">
        <v>5303</v>
      </c>
      <c r="M284" s="6">
        <v>2800</v>
      </c>
      <c r="N284" s="9">
        <v>2022</v>
      </c>
    </row>
    <row r="285" spans="1:14" ht="21.5" x14ac:dyDescent="0.35">
      <c r="A285" s="10" t="s">
        <v>201</v>
      </c>
      <c r="B285" s="16" t="s">
        <v>207</v>
      </c>
      <c r="C285" s="10">
        <v>12</v>
      </c>
      <c r="D285" s="6">
        <v>91739</v>
      </c>
      <c r="E285" s="6">
        <v>5916</v>
      </c>
      <c r="F285" s="6">
        <v>0</v>
      </c>
      <c r="G285" s="6">
        <v>19009</v>
      </c>
      <c r="H285" s="6">
        <v>0</v>
      </c>
      <c r="I285" s="6">
        <v>0</v>
      </c>
      <c r="J285" s="6">
        <v>0</v>
      </c>
      <c r="K285" s="6">
        <v>17559</v>
      </c>
      <c r="L285" s="6">
        <v>49255</v>
      </c>
      <c r="M285" s="6">
        <v>0</v>
      </c>
      <c r="N285" s="24">
        <v>2022</v>
      </c>
    </row>
    <row r="286" spans="1:14" ht="21.5" x14ac:dyDescent="0.35">
      <c r="A286" s="10" t="s">
        <v>201</v>
      </c>
      <c r="B286" s="16" t="s">
        <v>208</v>
      </c>
      <c r="C286" s="10">
        <v>12</v>
      </c>
      <c r="D286" s="6">
        <v>24389</v>
      </c>
      <c r="E286" s="6">
        <v>21</v>
      </c>
      <c r="F286" s="6">
        <v>0</v>
      </c>
      <c r="G286" s="6">
        <v>0</v>
      </c>
      <c r="H286" s="6">
        <v>0</v>
      </c>
      <c r="I286" s="6">
        <v>0</v>
      </c>
      <c r="J286" s="6">
        <v>0</v>
      </c>
      <c r="K286" s="6">
        <v>0</v>
      </c>
      <c r="L286" s="6">
        <v>24368</v>
      </c>
      <c r="M286" s="6">
        <v>0</v>
      </c>
      <c r="N286" s="9">
        <v>2022</v>
      </c>
    </row>
    <row r="287" spans="1:14" ht="21.5" x14ac:dyDescent="0.35">
      <c r="A287" s="10" t="s">
        <v>201</v>
      </c>
      <c r="B287" s="16" t="s">
        <v>209</v>
      </c>
      <c r="C287" s="10">
        <v>12</v>
      </c>
      <c r="D287" s="6">
        <v>24038</v>
      </c>
      <c r="E287" s="6">
        <v>0</v>
      </c>
      <c r="F287" s="6">
        <v>0</v>
      </c>
      <c r="G287" s="6">
        <v>0</v>
      </c>
      <c r="H287" s="6">
        <v>0</v>
      </c>
      <c r="I287" s="6">
        <v>2583</v>
      </c>
      <c r="J287" s="6">
        <v>0</v>
      </c>
      <c r="K287" s="6">
        <v>265</v>
      </c>
      <c r="L287" s="6">
        <v>19282</v>
      </c>
      <c r="M287" s="6">
        <v>1909</v>
      </c>
      <c r="N287" s="24">
        <v>2022</v>
      </c>
    </row>
    <row r="288" spans="1:14" x14ac:dyDescent="0.35">
      <c r="A288" s="10" t="s">
        <v>201</v>
      </c>
      <c r="B288" s="10"/>
      <c r="C288" s="10">
        <v>12</v>
      </c>
      <c r="D288" s="6">
        <v>905390</v>
      </c>
      <c r="E288" s="6">
        <v>16544</v>
      </c>
      <c r="F288" s="6">
        <v>16645</v>
      </c>
      <c r="G288" s="6">
        <v>11695</v>
      </c>
      <c r="H288" s="6">
        <v>4216</v>
      </c>
      <c r="I288" s="6">
        <v>12650</v>
      </c>
      <c r="J288" s="6">
        <v>28952</v>
      </c>
      <c r="K288" s="6">
        <v>0</v>
      </c>
      <c r="L288" s="6">
        <v>785209</v>
      </c>
      <c r="M288" s="6">
        <v>29478</v>
      </c>
      <c r="N288" s="9">
        <v>2023</v>
      </c>
    </row>
    <row r="289" spans="1:14" x14ac:dyDescent="0.35">
      <c r="A289" s="10" t="s">
        <v>201</v>
      </c>
      <c r="B289" s="16" t="s">
        <v>202</v>
      </c>
      <c r="C289" s="10">
        <v>12</v>
      </c>
      <c r="D289" s="6">
        <v>231338</v>
      </c>
      <c r="E289" s="6">
        <v>10309</v>
      </c>
      <c r="F289" s="6">
        <v>16645</v>
      </c>
      <c r="G289" s="6">
        <v>10395</v>
      </c>
      <c r="H289" s="6">
        <v>4216</v>
      </c>
      <c r="I289" s="6">
        <v>0</v>
      </c>
      <c r="J289" s="6">
        <v>11939</v>
      </c>
      <c r="K289" s="6">
        <v>0</v>
      </c>
      <c r="L289" s="6">
        <v>160563</v>
      </c>
      <c r="M289" s="6">
        <v>17269</v>
      </c>
      <c r="N289" s="9">
        <v>2023</v>
      </c>
    </row>
    <row r="290" spans="1:14" x14ac:dyDescent="0.35">
      <c r="A290" s="10" t="s">
        <v>201</v>
      </c>
      <c r="B290" s="16" t="s">
        <v>203</v>
      </c>
      <c r="C290" s="10">
        <v>12</v>
      </c>
      <c r="D290" s="6">
        <v>392264</v>
      </c>
      <c r="E290" s="6">
        <v>0</v>
      </c>
      <c r="F290" s="6">
        <v>0</v>
      </c>
      <c r="G290" s="6">
        <v>0</v>
      </c>
      <c r="H290" s="6">
        <v>0</v>
      </c>
      <c r="I290" s="6">
        <v>0</v>
      </c>
      <c r="J290" s="6">
        <v>0</v>
      </c>
      <c r="K290" s="6">
        <v>0</v>
      </c>
      <c r="L290" s="6">
        <v>392264</v>
      </c>
      <c r="M290" s="6">
        <v>0</v>
      </c>
      <c r="N290" s="9">
        <v>2023</v>
      </c>
    </row>
    <row r="291" spans="1:14" ht="21.5" x14ac:dyDescent="0.35">
      <c r="A291" s="10" t="s">
        <v>201</v>
      </c>
      <c r="B291" s="16" t="s">
        <v>204</v>
      </c>
      <c r="C291" s="10">
        <v>12</v>
      </c>
      <c r="D291" s="6">
        <v>10089</v>
      </c>
      <c r="E291" s="6">
        <v>0</v>
      </c>
      <c r="F291" s="6">
        <v>0</v>
      </c>
      <c r="G291" s="6">
        <v>0</v>
      </c>
      <c r="H291" s="6">
        <v>0</v>
      </c>
      <c r="I291" s="6">
        <v>10089</v>
      </c>
      <c r="J291" s="6">
        <v>0</v>
      </c>
      <c r="K291" s="6">
        <v>0</v>
      </c>
      <c r="L291" s="6">
        <v>0</v>
      </c>
      <c r="M291" s="6">
        <v>0</v>
      </c>
      <c r="N291" s="9">
        <v>2023</v>
      </c>
    </row>
    <row r="292" spans="1:14" x14ac:dyDescent="0.35">
      <c r="A292" s="10" t="s">
        <v>201</v>
      </c>
      <c r="B292" s="16" t="s">
        <v>205</v>
      </c>
      <c r="C292" s="10">
        <v>12</v>
      </c>
      <c r="D292" s="6">
        <v>45847</v>
      </c>
      <c r="E292" s="6">
        <v>6235</v>
      </c>
      <c r="F292" s="6">
        <v>0</v>
      </c>
      <c r="G292" s="6">
        <v>0</v>
      </c>
      <c r="H292" s="6">
        <v>0</v>
      </c>
      <c r="I292" s="6">
        <v>0</v>
      </c>
      <c r="J292" s="6">
        <v>0</v>
      </c>
      <c r="K292" s="6">
        <v>0</v>
      </c>
      <c r="L292" s="6">
        <v>36281</v>
      </c>
      <c r="M292" s="6">
        <v>3331</v>
      </c>
      <c r="N292" s="9">
        <v>2023</v>
      </c>
    </row>
    <row r="293" spans="1:14" x14ac:dyDescent="0.35">
      <c r="A293" s="10" t="s">
        <v>201</v>
      </c>
      <c r="B293" s="16" t="s">
        <v>206</v>
      </c>
      <c r="C293" s="10">
        <v>12</v>
      </c>
      <c r="D293" s="6">
        <v>6034</v>
      </c>
      <c r="E293" s="6">
        <v>0</v>
      </c>
      <c r="F293" s="6">
        <v>0</v>
      </c>
      <c r="G293" s="6">
        <v>1300</v>
      </c>
      <c r="H293" s="6">
        <v>0</v>
      </c>
      <c r="I293" s="6">
        <v>0</v>
      </c>
      <c r="J293" s="6">
        <v>0</v>
      </c>
      <c r="K293" s="6">
        <v>0</v>
      </c>
      <c r="L293" s="6">
        <v>1496</v>
      </c>
      <c r="M293" s="6">
        <v>3239</v>
      </c>
      <c r="N293" s="9">
        <v>2023</v>
      </c>
    </row>
    <row r="294" spans="1:14" ht="21.5" x14ac:dyDescent="0.35">
      <c r="A294" s="10" t="s">
        <v>201</v>
      </c>
      <c r="B294" s="16" t="s">
        <v>207</v>
      </c>
      <c r="C294" s="10">
        <v>12</v>
      </c>
      <c r="D294" s="6">
        <v>93330</v>
      </c>
      <c r="E294" s="6">
        <v>0</v>
      </c>
      <c r="F294" s="6">
        <v>0</v>
      </c>
      <c r="G294" s="6">
        <v>0</v>
      </c>
      <c r="H294" s="6">
        <v>0</v>
      </c>
      <c r="I294" s="6">
        <v>0</v>
      </c>
      <c r="J294" s="6">
        <v>17013</v>
      </c>
      <c r="K294" s="6">
        <v>0</v>
      </c>
      <c r="L294" s="6">
        <v>72041</v>
      </c>
      <c r="M294" s="6">
        <v>4276</v>
      </c>
      <c r="N294" s="9">
        <v>2023</v>
      </c>
    </row>
    <row r="295" spans="1:14" ht="21.5" x14ac:dyDescent="0.35">
      <c r="A295" s="10" t="s">
        <v>201</v>
      </c>
      <c r="B295" s="16" t="s">
        <v>208</v>
      </c>
      <c r="C295" s="10">
        <v>12</v>
      </c>
      <c r="D295" s="6">
        <v>93822</v>
      </c>
      <c r="E295" s="6">
        <v>0</v>
      </c>
      <c r="F295" s="6">
        <v>0</v>
      </c>
      <c r="G295" s="6">
        <v>0</v>
      </c>
      <c r="H295" s="6">
        <v>0</v>
      </c>
      <c r="I295" s="6">
        <v>0</v>
      </c>
      <c r="J295" s="6">
        <v>0</v>
      </c>
      <c r="K295" s="6">
        <v>0</v>
      </c>
      <c r="L295" s="6">
        <v>93822</v>
      </c>
      <c r="M295" s="6">
        <v>0</v>
      </c>
      <c r="N295" s="9">
        <v>2023</v>
      </c>
    </row>
    <row r="296" spans="1:14" ht="21.5" x14ac:dyDescent="0.35">
      <c r="A296" s="10" t="s">
        <v>201</v>
      </c>
      <c r="B296" s="16" t="s">
        <v>209</v>
      </c>
      <c r="C296" s="10">
        <v>12</v>
      </c>
      <c r="D296" s="6">
        <v>32665</v>
      </c>
      <c r="E296" s="6">
        <v>0</v>
      </c>
      <c r="F296" s="6">
        <v>0</v>
      </c>
      <c r="G296" s="6">
        <v>0</v>
      </c>
      <c r="H296" s="6">
        <v>0</v>
      </c>
      <c r="I296" s="6">
        <v>2561</v>
      </c>
      <c r="J296" s="6">
        <v>0</v>
      </c>
      <c r="K296" s="6">
        <v>0</v>
      </c>
      <c r="L296" s="6">
        <v>28741</v>
      </c>
      <c r="M296" s="6">
        <v>1363</v>
      </c>
      <c r="N296" s="9">
        <v>2023</v>
      </c>
    </row>
    <row r="297" spans="1:14" x14ac:dyDescent="0.35">
      <c r="A297" s="10" t="s">
        <v>201</v>
      </c>
      <c r="B297" s="10"/>
      <c r="C297" s="10">
        <v>12</v>
      </c>
      <c r="D297" s="6">
        <v>915111</v>
      </c>
      <c r="E297" s="6">
        <v>19220</v>
      </c>
      <c r="F297" s="6">
        <v>19506</v>
      </c>
      <c r="G297" s="6">
        <v>12497</v>
      </c>
      <c r="H297" s="6">
        <v>4941</v>
      </c>
      <c r="I297" s="6">
        <v>14660</v>
      </c>
      <c r="J297" s="6">
        <v>31003</v>
      </c>
      <c r="K297" s="6">
        <v>0</v>
      </c>
      <c r="L297" s="6">
        <v>785916</v>
      </c>
      <c r="M297" s="6">
        <v>27368</v>
      </c>
      <c r="N297" s="9">
        <v>2024</v>
      </c>
    </row>
    <row r="298" spans="1:14" x14ac:dyDescent="0.35">
      <c r="A298" s="10" t="s">
        <v>201</v>
      </c>
      <c r="B298" s="16" t="s">
        <v>202</v>
      </c>
      <c r="C298" s="10">
        <v>12</v>
      </c>
      <c r="D298" s="6">
        <v>241094</v>
      </c>
      <c r="E298" s="6">
        <v>12081</v>
      </c>
      <c r="F298" s="6">
        <v>19506</v>
      </c>
      <c r="G298" s="6">
        <v>12182</v>
      </c>
      <c r="H298" s="6">
        <v>4941</v>
      </c>
      <c r="I298" s="6">
        <v>0</v>
      </c>
      <c r="J298" s="6">
        <v>13991</v>
      </c>
      <c r="K298" s="6">
        <v>0</v>
      </c>
      <c r="L298" s="6">
        <v>158157</v>
      </c>
      <c r="M298" s="6">
        <v>20237</v>
      </c>
      <c r="N298" s="9">
        <v>2024</v>
      </c>
    </row>
    <row r="299" spans="1:14" x14ac:dyDescent="0.35">
      <c r="A299" s="10" t="s">
        <v>201</v>
      </c>
      <c r="B299" s="16" t="s">
        <v>203</v>
      </c>
      <c r="C299" s="10">
        <v>12</v>
      </c>
      <c r="D299" s="6">
        <v>402255</v>
      </c>
      <c r="E299" s="6">
        <v>0</v>
      </c>
      <c r="F299" s="6">
        <v>0</v>
      </c>
      <c r="G299" s="6">
        <v>0</v>
      </c>
      <c r="H299" s="6">
        <v>0</v>
      </c>
      <c r="I299" s="6">
        <v>0</v>
      </c>
      <c r="J299" s="6">
        <v>0</v>
      </c>
      <c r="K299" s="6">
        <v>0</v>
      </c>
      <c r="L299" s="6">
        <v>402255</v>
      </c>
      <c r="M299" s="6">
        <v>0</v>
      </c>
      <c r="N299" s="9">
        <v>2024</v>
      </c>
    </row>
    <row r="300" spans="1:14" ht="21.5" x14ac:dyDescent="0.35">
      <c r="A300" s="10" t="s">
        <v>201</v>
      </c>
      <c r="B300" s="16" t="s">
        <v>204</v>
      </c>
      <c r="C300" s="10">
        <v>12</v>
      </c>
      <c r="D300" s="6">
        <v>12000</v>
      </c>
      <c r="E300" s="6">
        <v>0</v>
      </c>
      <c r="F300" s="6">
        <v>0</v>
      </c>
      <c r="G300" s="6">
        <v>0</v>
      </c>
      <c r="H300" s="6">
        <v>0</v>
      </c>
      <c r="I300" s="6">
        <v>12000</v>
      </c>
      <c r="J300" s="6">
        <v>0</v>
      </c>
      <c r="K300" s="6">
        <v>0</v>
      </c>
      <c r="L300" s="6">
        <v>0</v>
      </c>
      <c r="M300" s="6">
        <v>0</v>
      </c>
      <c r="N300" s="9">
        <v>2024</v>
      </c>
    </row>
    <row r="301" spans="1:14" ht="31.5" customHeight="1" x14ac:dyDescent="0.35">
      <c r="A301" s="10" t="s">
        <v>201</v>
      </c>
      <c r="B301" s="16" t="s">
        <v>205</v>
      </c>
      <c r="C301" s="10">
        <v>12</v>
      </c>
      <c r="D301" s="6">
        <v>46764</v>
      </c>
      <c r="E301" s="6">
        <v>7139</v>
      </c>
      <c r="F301" s="6">
        <v>0</v>
      </c>
      <c r="G301" s="6">
        <v>0</v>
      </c>
      <c r="H301" s="6">
        <v>0</v>
      </c>
      <c r="I301" s="6">
        <v>0</v>
      </c>
      <c r="J301" s="6">
        <v>0</v>
      </c>
      <c r="K301" s="6">
        <v>0</v>
      </c>
      <c r="L301" s="6">
        <v>39625</v>
      </c>
      <c r="M301" s="6">
        <v>0</v>
      </c>
      <c r="N301" s="9">
        <v>2024</v>
      </c>
    </row>
    <row r="302" spans="1:14" x14ac:dyDescent="0.35">
      <c r="A302" s="10" t="s">
        <v>201</v>
      </c>
      <c r="B302" s="16" t="s">
        <v>206</v>
      </c>
      <c r="C302" s="10">
        <v>12</v>
      </c>
      <c r="D302" s="6">
        <v>5799</v>
      </c>
      <c r="E302" s="6">
        <v>0</v>
      </c>
      <c r="F302" s="6">
        <v>0</v>
      </c>
      <c r="G302" s="6">
        <v>315</v>
      </c>
      <c r="H302" s="6">
        <v>0</v>
      </c>
      <c r="I302" s="6">
        <v>0</v>
      </c>
      <c r="J302" s="6">
        <v>0</v>
      </c>
      <c r="K302" s="6">
        <v>0</v>
      </c>
      <c r="L302" s="6">
        <v>4698</v>
      </c>
      <c r="M302" s="6">
        <v>786</v>
      </c>
      <c r="N302" s="9">
        <v>2024</v>
      </c>
    </row>
    <row r="303" spans="1:14" ht="21.5" x14ac:dyDescent="0.35">
      <c r="A303" s="10" t="s">
        <v>201</v>
      </c>
      <c r="B303" s="16" t="s">
        <v>207</v>
      </c>
      <c r="C303" s="10">
        <v>12</v>
      </c>
      <c r="D303" s="6">
        <v>108577</v>
      </c>
      <c r="E303" s="6">
        <v>0</v>
      </c>
      <c r="F303" s="6">
        <v>0</v>
      </c>
      <c r="G303" s="6">
        <v>0</v>
      </c>
      <c r="H303" s="6">
        <v>0</v>
      </c>
      <c r="I303" s="6">
        <v>0</v>
      </c>
      <c r="J303" s="6">
        <v>17013</v>
      </c>
      <c r="K303" s="6">
        <v>0</v>
      </c>
      <c r="L303" s="6">
        <v>86581</v>
      </c>
      <c r="M303" s="6">
        <v>4982</v>
      </c>
      <c r="N303" s="9">
        <v>2024</v>
      </c>
    </row>
    <row r="304" spans="1:14" ht="21.5" x14ac:dyDescent="0.35">
      <c r="A304" s="10" t="s">
        <v>201</v>
      </c>
      <c r="B304" s="16" t="s">
        <v>208</v>
      </c>
      <c r="C304" s="10">
        <v>12</v>
      </c>
      <c r="D304" s="6">
        <v>80644</v>
      </c>
      <c r="E304" s="6">
        <v>0</v>
      </c>
      <c r="F304" s="6">
        <v>0</v>
      </c>
      <c r="G304" s="6">
        <v>0</v>
      </c>
      <c r="H304" s="6">
        <v>0</v>
      </c>
      <c r="I304" s="6">
        <v>0</v>
      </c>
      <c r="J304" s="6">
        <v>0</v>
      </c>
      <c r="K304" s="6">
        <v>0</v>
      </c>
      <c r="L304" s="6">
        <v>80644</v>
      </c>
      <c r="M304" s="6">
        <v>0</v>
      </c>
      <c r="N304" s="9">
        <v>2024</v>
      </c>
    </row>
    <row r="305" spans="1:16" ht="21.5" x14ac:dyDescent="0.35">
      <c r="A305" s="10" t="s">
        <v>201</v>
      </c>
      <c r="B305" s="16" t="s">
        <v>209</v>
      </c>
      <c r="C305" s="10">
        <v>12</v>
      </c>
      <c r="D305" s="6">
        <v>17979</v>
      </c>
      <c r="E305" s="6">
        <v>0</v>
      </c>
      <c r="F305" s="6">
        <v>0</v>
      </c>
      <c r="G305" s="6">
        <v>0</v>
      </c>
      <c r="H305" s="6">
        <v>0</v>
      </c>
      <c r="I305" s="6">
        <v>2660</v>
      </c>
      <c r="J305" s="6">
        <v>0</v>
      </c>
      <c r="K305" s="6">
        <v>0</v>
      </c>
      <c r="L305" s="6">
        <v>13956</v>
      </c>
      <c r="M305" s="6">
        <v>1363</v>
      </c>
      <c r="N305" s="9">
        <v>2024</v>
      </c>
    </row>
    <row r="306" spans="1:16" x14ac:dyDescent="0.35">
      <c r="A306" s="10" t="s">
        <v>210</v>
      </c>
      <c r="B306" s="10"/>
      <c r="C306" s="10">
        <v>13</v>
      </c>
      <c r="D306" s="6">
        <v>46553</v>
      </c>
      <c r="E306" s="6">
        <v>0</v>
      </c>
      <c r="F306" s="6">
        <v>0</v>
      </c>
      <c r="G306" s="6">
        <v>0</v>
      </c>
      <c r="H306" s="6">
        <v>0</v>
      </c>
      <c r="I306" s="6">
        <v>46553</v>
      </c>
      <c r="J306" s="6">
        <v>0</v>
      </c>
      <c r="K306" s="6">
        <v>0</v>
      </c>
      <c r="L306" s="6">
        <v>0</v>
      </c>
      <c r="M306" s="6">
        <v>0</v>
      </c>
      <c r="N306" s="23">
        <v>2021</v>
      </c>
    </row>
    <row r="307" spans="1:16" x14ac:dyDescent="0.35">
      <c r="A307" s="10" t="s">
        <v>210</v>
      </c>
      <c r="B307" s="16" t="s">
        <v>211</v>
      </c>
      <c r="C307" s="10">
        <v>13</v>
      </c>
      <c r="D307" s="6">
        <v>46534</v>
      </c>
      <c r="E307" s="6">
        <v>0</v>
      </c>
      <c r="F307" s="6">
        <v>0</v>
      </c>
      <c r="G307" s="6">
        <v>0</v>
      </c>
      <c r="H307" s="6">
        <v>0</v>
      </c>
      <c r="I307" s="6">
        <v>46534</v>
      </c>
      <c r="J307" s="6">
        <v>0</v>
      </c>
      <c r="K307" s="6">
        <v>0</v>
      </c>
      <c r="L307" s="6">
        <v>0</v>
      </c>
      <c r="M307" s="6">
        <v>0</v>
      </c>
      <c r="N307" s="9">
        <v>2021</v>
      </c>
    </row>
    <row r="308" spans="1:16" ht="15.5" x14ac:dyDescent="0.35">
      <c r="A308" s="10" t="s">
        <v>210</v>
      </c>
      <c r="B308" s="16" t="s">
        <v>212</v>
      </c>
      <c r="C308" s="10">
        <v>13</v>
      </c>
      <c r="D308" s="7" t="s">
        <v>143</v>
      </c>
      <c r="E308" s="6">
        <v>0</v>
      </c>
      <c r="F308" s="6">
        <v>0</v>
      </c>
      <c r="G308" s="6">
        <v>0</v>
      </c>
      <c r="H308" s="6">
        <v>0</v>
      </c>
      <c r="I308" s="7" t="s">
        <v>143</v>
      </c>
      <c r="J308" s="6">
        <v>0</v>
      </c>
      <c r="K308" s="6">
        <v>0</v>
      </c>
      <c r="L308" s="6">
        <v>0</v>
      </c>
      <c r="M308" s="6">
        <v>0</v>
      </c>
      <c r="N308" s="23">
        <v>2021</v>
      </c>
    </row>
    <row r="309" spans="1:16" x14ac:dyDescent="0.35">
      <c r="A309" s="10" t="s">
        <v>210</v>
      </c>
      <c r="B309" s="10"/>
      <c r="C309" s="10">
        <v>13</v>
      </c>
      <c r="D309" s="6">
        <v>37082</v>
      </c>
      <c r="E309" s="6">
        <v>0</v>
      </c>
      <c r="F309" s="6">
        <v>0</v>
      </c>
      <c r="G309" s="6">
        <v>0</v>
      </c>
      <c r="H309" s="6">
        <v>0</v>
      </c>
      <c r="I309" s="6">
        <v>37082</v>
      </c>
      <c r="J309" s="6">
        <v>0</v>
      </c>
      <c r="K309" s="6">
        <v>0</v>
      </c>
      <c r="L309" s="6">
        <v>0</v>
      </c>
      <c r="M309" s="6">
        <v>0</v>
      </c>
      <c r="N309" s="9">
        <v>2022</v>
      </c>
    </row>
    <row r="310" spans="1:16" x14ac:dyDescent="0.35">
      <c r="A310" s="10" t="s">
        <v>210</v>
      </c>
      <c r="B310" s="16" t="s">
        <v>211</v>
      </c>
      <c r="C310" s="10">
        <v>13</v>
      </c>
      <c r="D310" s="6">
        <v>37082</v>
      </c>
      <c r="E310" s="6">
        <v>0</v>
      </c>
      <c r="F310" s="6">
        <v>0</v>
      </c>
      <c r="G310" s="6">
        <v>0</v>
      </c>
      <c r="H310" s="6">
        <v>0</v>
      </c>
      <c r="I310" s="6">
        <v>37082</v>
      </c>
      <c r="J310" s="6">
        <v>0</v>
      </c>
      <c r="K310" s="6">
        <v>0</v>
      </c>
      <c r="L310" s="6">
        <v>0</v>
      </c>
      <c r="M310" s="6">
        <v>0</v>
      </c>
      <c r="N310" s="23">
        <v>2022</v>
      </c>
    </row>
    <row r="311" spans="1:16" x14ac:dyDescent="0.35">
      <c r="A311" s="10" t="s">
        <v>213</v>
      </c>
      <c r="B311" s="10"/>
      <c r="C311" s="10">
        <v>14</v>
      </c>
      <c r="D311" s="6">
        <v>1880077</v>
      </c>
      <c r="E311" s="6">
        <v>0</v>
      </c>
      <c r="F311" s="6">
        <v>0</v>
      </c>
      <c r="G311" s="6">
        <v>1880077</v>
      </c>
      <c r="H311" s="6">
        <v>0</v>
      </c>
      <c r="I311" s="6">
        <v>0</v>
      </c>
      <c r="J311" s="6">
        <v>0</v>
      </c>
      <c r="K311" s="6">
        <v>0</v>
      </c>
      <c r="L311" s="6">
        <v>0</v>
      </c>
      <c r="M311" s="6">
        <v>0</v>
      </c>
      <c r="N311" s="9">
        <v>2023</v>
      </c>
    </row>
    <row r="312" spans="1:16" x14ac:dyDescent="0.35">
      <c r="A312" s="10" t="s">
        <v>213</v>
      </c>
      <c r="B312" s="10"/>
      <c r="C312" s="10">
        <v>14</v>
      </c>
      <c r="D312" s="6">
        <v>1561156</v>
      </c>
      <c r="E312" s="6">
        <v>0</v>
      </c>
      <c r="F312" s="6">
        <v>0</v>
      </c>
      <c r="G312" s="6">
        <v>1561156</v>
      </c>
      <c r="H312" s="6">
        <v>0</v>
      </c>
      <c r="I312" s="6">
        <v>0</v>
      </c>
      <c r="J312" s="6">
        <v>0</v>
      </c>
      <c r="K312" s="6">
        <v>0</v>
      </c>
      <c r="L312" s="6">
        <v>0</v>
      </c>
      <c r="M312" s="6">
        <v>0</v>
      </c>
      <c r="N312" s="9">
        <v>2021</v>
      </c>
    </row>
    <row r="313" spans="1:16" x14ac:dyDescent="0.35">
      <c r="A313" s="10" t="s">
        <v>213</v>
      </c>
      <c r="B313" s="10"/>
      <c r="C313" s="10">
        <v>14</v>
      </c>
      <c r="D313" s="6">
        <v>1605959</v>
      </c>
      <c r="E313" s="6">
        <v>0</v>
      </c>
      <c r="F313" s="6">
        <v>0</v>
      </c>
      <c r="G313" s="6">
        <v>1605959</v>
      </c>
      <c r="H313" s="6">
        <v>0</v>
      </c>
      <c r="I313" s="6">
        <v>0</v>
      </c>
      <c r="J313" s="6">
        <v>0</v>
      </c>
      <c r="K313" s="6">
        <v>0</v>
      </c>
      <c r="L313" s="6">
        <v>0</v>
      </c>
      <c r="M313" s="6">
        <v>0</v>
      </c>
      <c r="N313" s="9">
        <v>2022</v>
      </c>
      <c r="P313" s="25"/>
    </row>
    <row r="314" spans="1:16" x14ac:dyDescent="0.35">
      <c r="A314" s="10" t="s">
        <v>213</v>
      </c>
      <c r="B314" s="10"/>
      <c r="C314" s="10">
        <v>14</v>
      </c>
      <c r="D314" s="6">
        <v>1915366</v>
      </c>
      <c r="E314" s="6">
        <v>0</v>
      </c>
      <c r="F314" s="6">
        <v>0</v>
      </c>
      <c r="G314" s="6">
        <v>1915366</v>
      </c>
      <c r="H314" s="6">
        <v>0</v>
      </c>
      <c r="I314" s="6">
        <v>0</v>
      </c>
      <c r="J314" s="6">
        <v>0</v>
      </c>
      <c r="K314" s="6">
        <v>0</v>
      </c>
      <c r="L314" s="6">
        <v>0</v>
      </c>
      <c r="M314" s="6">
        <v>0</v>
      </c>
      <c r="N314" s="9">
        <v>2024</v>
      </c>
    </row>
    <row r="315" spans="1:16" x14ac:dyDescent="0.35">
      <c r="A315" s="10" t="s">
        <v>215</v>
      </c>
      <c r="B315" s="10"/>
      <c r="C315" s="10">
        <v>15</v>
      </c>
      <c r="D315" s="6">
        <v>4597</v>
      </c>
      <c r="E315" s="6">
        <v>0</v>
      </c>
      <c r="F315" s="6">
        <v>0</v>
      </c>
      <c r="G315" s="6">
        <v>0</v>
      </c>
      <c r="H315" s="6">
        <v>0</v>
      </c>
      <c r="I315" s="6">
        <v>0</v>
      </c>
      <c r="J315" s="6">
        <v>0</v>
      </c>
      <c r="K315" s="6">
        <v>4597</v>
      </c>
      <c r="L315" s="6">
        <v>0</v>
      </c>
      <c r="M315" s="6">
        <v>0</v>
      </c>
      <c r="N315" s="23">
        <v>2021</v>
      </c>
    </row>
    <row r="316" spans="1:16" x14ac:dyDescent="0.35">
      <c r="A316" s="10" t="s">
        <v>215</v>
      </c>
      <c r="B316" s="10"/>
      <c r="C316" s="10">
        <v>15</v>
      </c>
      <c r="D316" s="6">
        <v>8413</v>
      </c>
      <c r="E316" s="6">
        <v>0</v>
      </c>
      <c r="F316" s="6">
        <v>0</v>
      </c>
      <c r="G316" s="6">
        <v>0</v>
      </c>
      <c r="H316" s="6">
        <v>0</v>
      </c>
      <c r="I316" s="6">
        <v>0</v>
      </c>
      <c r="J316" s="6">
        <v>0</v>
      </c>
      <c r="K316" s="6">
        <v>8413</v>
      </c>
      <c r="L316" s="6">
        <v>0</v>
      </c>
      <c r="M316" s="6">
        <v>0</v>
      </c>
      <c r="N316" s="23">
        <v>2022</v>
      </c>
      <c r="P316" s="25"/>
    </row>
    <row r="317" spans="1:16" x14ac:dyDescent="0.35">
      <c r="A317" s="10" t="s">
        <v>215</v>
      </c>
      <c r="B317" s="10"/>
      <c r="C317" s="10">
        <v>15</v>
      </c>
      <c r="D317" s="6">
        <v>9076</v>
      </c>
      <c r="E317" s="6">
        <v>0</v>
      </c>
      <c r="F317" s="6">
        <v>0</v>
      </c>
      <c r="G317" s="6">
        <v>0</v>
      </c>
      <c r="H317" s="6">
        <v>0</v>
      </c>
      <c r="I317" s="6">
        <v>0</v>
      </c>
      <c r="J317" s="6">
        <v>0</v>
      </c>
      <c r="K317" s="6">
        <v>9076</v>
      </c>
      <c r="L317" s="6">
        <v>0</v>
      </c>
      <c r="M317" s="6">
        <v>0</v>
      </c>
      <c r="N317" s="9">
        <v>2023</v>
      </c>
    </row>
    <row r="318" spans="1:16" ht="31.5" customHeight="1" x14ac:dyDescent="0.35">
      <c r="A318" s="10" t="s">
        <v>215</v>
      </c>
      <c r="B318" s="10"/>
      <c r="C318" s="10">
        <v>15</v>
      </c>
      <c r="D318" s="6">
        <v>9449</v>
      </c>
      <c r="E318" s="6">
        <v>0</v>
      </c>
      <c r="F318" s="6">
        <v>0</v>
      </c>
      <c r="G318" s="6">
        <v>0</v>
      </c>
      <c r="H318" s="6">
        <v>0</v>
      </c>
      <c r="I318" s="6">
        <v>0</v>
      </c>
      <c r="J318" s="6">
        <v>0</v>
      </c>
      <c r="K318" s="6">
        <v>9449</v>
      </c>
      <c r="L318" s="6">
        <v>0</v>
      </c>
      <c r="M318" s="6">
        <v>0</v>
      </c>
      <c r="N318" s="9">
        <v>2024</v>
      </c>
    </row>
    <row r="319" spans="1:16" ht="21.5" x14ac:dyDescent="0.35">
      <c r="A319" s="10" t="s">
        <v>216</v>
      </c>
      <c r="B319" s="10"/>
      <c r="C319" s="10">
        <v>16</v>
      </c>
      <c r="D319" s="6">
        <v>51211</v>
      </c>
      <c r="E319" s="6">
        <v>0</v>
      </c>
      <c r="F319" s="6">
        <v>0</v>
      </c>
      <c r="G319" s="6">
        <v>43631</v>
      </c>
      <c r="H319" s="6">
        <v>0</v>
      </c>
      <c r="I319" s="6">
        <v>0</v>
      </c>
      <c r="J319" s="6">
        <v>0</v>
      </c>
      <c r="K319" s="6">
        <v>4331</v>
      </c>
      <c r="L319" s="6">
        <v>0</v>
      </c>
      <c r="M319" s="6">
        <v>3250</v>
      </c>
      <c r="N319" s="9">
        <v>2021</v>
      </c>
    </row>
    <row r="320" spans="1:16" ht="21.5" x14ac:dyDescent="0.35">
      <c r="A320" s="10" t="s">
        <v>216</v>
      </c>
      <c r="B320" s="10"/>
      <c r="C320" s="10">
        <v>16</v>
      </c>
      <c r="D320" s="6">
        <v>152853</v>
      </c>
      <c r="E320" s="6">
        <v>0</v>
      </c>
      <c r="F320" s="6">
        <v>0</v>
      </c>
      <c r="G320" s="6">
        <v>146214</v>
      </c>
      <c r="H320" s="6">
        <v>0</v>
      </c>
      <c r="I320" s="6">
        <v>0</v>
      </c>
      <c r="J320" s="6">
        <v>0</v>
      </c>
      <c r="K320" s="6">
        <v>5329</v>
      </c>
      <c r="L320" s="6">
        <v>0</v>
      </c>
      <c r="M320" s="6">
        <v>1310</v>
      </c>
      <c r="N320" s="9">
        <v>2022</v>
      </c>
      <c r="P320" s="25"/>
    </row>
    <row r="321" spans="1:16" ht="21.5" x14ac:dyDescent="0.35">
      <c r="A321" s="10" t="s">
        <v>216</v>
      </c>
      <c r="B321" s="10"/>
      <c r="C321" s="10">
        <v>16</v>
      </c>
      <c r="D321" s="6">
        <v>199571</v>
      </c>
      <c r="E321" s="6">
        <v>0</v>
      </c>
      <c r="F321" s="6">
        <v>0</v>
      </c>
      <c r="G321" s="6">
        <v>0</v>
      </c>
      <c r="H321" s="6">
        <v>0</v>
      </c>
      <c r="I321" s="6">
        <v>0</v>
      </c>
      <c r="J321" s="6">
        <v>0</v>
      </c>
      <c r="K321" s="6">
        <v>0</v>
      </c>
      <c r="L321" s="6">
        <v>0</v>
      </c>
      <c r="M321" s="6">
        <v>199571</v>
      </c>
      <c r="N321" s="9">
        <v>2023</v>
      </c>
    </row>
    <row r="322" spans="1:16" ht="21.5" x14ac:dyDescent="0.35">
      <c r="A322" s="10" t="s">
        <v>216</v>
      </c>
      <c r="B322" s="10"/>
      <c r="C322" s="10">
        <v>16</v>
      </c>
      <c r="D322" s="6">
        <v>199571</v>
      </c>
      <c r="E322" s="6">
        <v>0</v>
      </c>
      <c r="F322" s="6">
        <v>0</v>
      </c>
      <c r="G322" s="6">
        <v>0</v>
      </c>
      <c r="H322" s="6">
        <v>0</v>
      </c>
      <c r="I322" s="6">
        <v>0</v>
      </c>
      <c r="J322" s="6">
        <v>0</v>
      </c>
      <c r="K322" s="6">
        <v>0</v>
      </c>
      <c r="L322" s="6">
        <v>0</v>
      </c>
      <c r="M322" s="6">
        <v>199571</v>
      </c>
      <c r="N322" s="9">
        <v>2024</v>
      </c>
    </row>
    <row r="323" spans="1:16" x14ac:dyDescent="0.35">
      <c r="A323" s="10" t="s">
        <v>217</v>
      </c>
      <c r="B323" s="10"/>
      <c r="C323" s="10">
        <v>17</v>
      </c>
      <c r="D323" s="6">
        <v>650</v>
      </c>
      <c r="E323" s="6">
        <v>0</v>
      </c>
      <c r="F323" s="6">
        <v>0</v>
      </c>
      <c r="G323" s="6">
        <v>0</v>
      </c>
      <c r="H323" s="6">
        <v>0</v>
      </c>
      <c r="I323" s="6">
        <v>0</v>
      </c>
      <c r="J323" s="6">
        <v>0</v>
      </c>
      <c r="K323" s="6">
        <v>650</v>
      </c>
      <c r="L323" s="6">
        <v>0</v>
      </c>
      <c r="M323" s="6">
        <v>0</v>
      </c>
      <c r="N323" s="23">
        <v>2021</v>
      </c>
    </row>
    <row r="324" spans="1:16" x14ac:dyDescent="0.35">
      <c r="A324" s="10" t="s">
        <v>217</v>
      </c>
      <c r="B324" s="10"/>
      <c r="C324" s="10">
        <v>17</v>
      </c>
      <c r="D324" s="6">
        <v>804</v>
      </c>
      <c r="E324" s="6">
        <v>0</v>
      </c>
      <c r="F324" s="6">
        <v>0</v>
      </c>
      <c r="G324" s="6">
        <v>0</v>
      </c>
      <c r="H324" s="6">
        <v>0</v>
      </c>
      <c r="I324" s="6">
        <v>0</v>
      </c>
      <c r="J324" s="6">
        <v>0</v>
      </c>
      <c r="K324" s="6">
        <v>804</v>
      </c>
      <c r="L324" s="6">
        <v>0</v>
      </c>
      <c r="M324" s="6">
        <v>0</v>
      </c>
      <c r="N324" s="23">
        <v>2022</v>
      </c>
      <c r="P324" s="25"/>
    </row>
    <row r="325" spans="1:16" x14ac:dyDescent="0.35">
      <c r="A325" s="10" t="s">
        <v>217</v>
      </c>
      <c r="B325" s="10"/>
      <c r="C325" s="10">
        <v>17</v>
      </c>
      <c r="D325" s="6">
        <v>1541</v>
      </c>
      <c r="E325" s="6">
        <v>0</v>
      </c>
      <c r="F325" s="6">
        <v>0</v>
      </c>
      <c r="G325" s="6">
        <v>0</v>
      </c>
      <c r="H325" s="6">
        <v>0</v>
      </c>
      <c r="I325" s="6">
        <v>0</v>
      </c>
      <c r="J325" s="6">
        <v>0</v>
      </c>
      <c r="K325" s="6">
        <v>1541</v>
      </c>
      <c r="L325" s="6">
        <v>0</v>
      </c>
      <c r="M325" s="6">
        <v>0</v>
      </c>
      <c r="N325" s="9">
        <v>2023</v>
      </c>
    </row>
    <row r="326" spans="1:16" x14ac:dyDescent="0.35">
      <c r="A326" s="10" t="s">
        <v>217</v>
      </c>
      <c r="B326" s="10"/>
      <c r="C326" s="10">
        <v>17</v>
      </c>
      <c r="D326" s="6">
        <v>369</v>
      </c>
      <c r="E326" s="6">
        <v>0</v>
      </c>
      <c r="F326" s="6">
        <v>0</v>
      </c>
      <c r="G326" s="6">
        <v>0</v>
      </c>
      <c r="H326" s="6">
        <v>0</v>
      </c>
      <c r="I326" s="6">
        <v>0</v>
      </c>
      <c r="J326" s="6">
        <v>0</v>
      </c>
      <c r="K326" s="6">
        <v>369</v>
      </c>
      <c r="L326" s="6">
        <v>0</v>
      </c>
      <c r="M326" s="6">
        <v>0</v>
      </c>
      <c r="N326" s="9">
        <v>2024</v>
      </c>
    </row>
    <row r="327" spans="1:16" ht="21.5" x14ac:dyDescent="0.35">
      <c r="A327" s="10" t="s">
        <v>218</v>
      </c>
      <c r="B327" s="10"/>
      <c r="C327" s="10">
        <v>18</v>
      </c>
      <c r="D327" s="6">
        <v>391</v>
      </c>
      <c r="E327" s="6">
        <v>0</v>
      </c>
      <c r="F327" s="6">
        <v>0</v>
      </c>
      <c r="G327" s="6">
        <v>0</v>
      </c>
      <c r="H327" s="6">
        <v>0</v>
      </c>
      <c r="I327" s="6">
        <v>0</v>
      </c>
      <c r="J327" s="6">
        <v>0</v>
      </c>
      <c r="K327" s="6">
        <v>0</v>
      </c>
      <c r="L327" s="6">
        <v>391</v>
      </c>
      <c r="M327" s="6">
        <v>0</v>
      </c>
      <c r="N327" s="9">
        <v>2021</v>
      </c>
    </row>
    <row r="328" spans="1:16" ht="21.5" x14ac:dyDescent="0.35">
      <c r="A328" s="10" t="s">
        <v>218</v>
      </c>
      <c r="B328" s="10"/>
      <c r="C328" s="10">
        <v>18</v>
      </c>
      <c r="D328" s="6">
        <v>165</v>
      </c>
      <c r="E328" s="6">
        <v>0</v>
      </c>
      <c r="F328" s="6">
        <v>0</v>
      </c>
      <c r="G328" s="6">
        <v>0</v>
      </c>
      <c r="H328" s="6">
        <v>0</v>
      </c>
      <c r="I328" s="6">
        <v>0</v>
      </c>
      <c r="J328" s="6">
        <v>0</v>
      </c>
      <c r="K328" s="6">
        <v>0</v>
      </c>
      <c r="L328" s="6">
        <v>165</v>
      </c>
      <c r="M328" s="6">
        <v>0</v>
      </c>
      <c r="N328" s="9">
        <v>2022</v>
      </c>
      <c r="P328" s="25"/>
    </row>
    <row r="329" spans="1:16" ht="21.5" x14ac:dyDescent="0.35">
      <c r="A329" s="10" t="s">
        <v>218</v>
      </c>
      <c r="B329" s="10"/>
      <c r="C329" s="10">
        <v>18</v>
      </c>
      <c r="D329" s="6">
        <v>374</v>
      </c>
      <c r="E329" s="6">
        <v>0</v>
      </c>
      <c r="F329" s="6">
        <v>0</v>
      </c>
      <c r="G329" s="6">
        <v>0</v>
      </c>
      <c r="H329" s="6">
        <v>0</v>
      </c>
      <c r="I329" s="6">
        <v>0</v>
      </c>
      <c r="J329" s="6">
        <v>0</v>
      </c>
      <c r="K329" s="6">
        <v>0</v>
      </c>
      <c r="L329" s="6">
        <v>374</v>
      </c>
      <c r="M329" s="6">
        <v>0</v>
      </c>
      <c r="N329" s="9">
        <v>2023</v>
      </c>
    </row>
    <row r="330" spans="1:16" ht="21.5" x14ac:dyDescent="0.35">
      <c r="A330" s="10" t="s">
        <v>218</v>
      </c>
      <c r="B330" s="10"/>
      <c r="C330" s="10">
        <v>18</v>
      </c>
      <c r="D330" s="6">
        <v>47</v>
      </c>
      <c r="E330" s="6">
        <v>0</v>
      </c>
      <c r="F330" s="6">
        <v>0</v>
      </c>
      <c r="G330" s="6">
        <v>0</v>
      </c>
      <c r="H330" s="6">
        <v>0</v>
      </c>
      <c r="I330" s="6">
        <v>0</v>
      </c>
      <c r="J330" s="6">
        <v>0</v>
      </c>
      <c r="K330" s="6">
        <v>0</v>
      </c>
      <c r="L330" s="6">
        <v>47</v>
      </c>
      <c r="M330" s="6">
        <v>0</v>
      </c>
      <c r="N330" s="9">
        <v>2024</v>
      </c>
    </row>
    <row r="331" spans="1:16" ht="15.5" x14ac:dyDescent="0.35">
      <c r="A331" s="10" t="s">
        <v>219</v>
      </c>
      <c r="B331" s="10"/>
      <c r="C331" s="10">
        <v>19</v>
      </c>
      <c r="D331" s="6">
        <v>403334</v>
      </c>
      <c r="E331" s="6">
        <v>5524</v>
      </c>
      <c r="F331" s="6">
        <v>166238</v>
      </c>
      <c r="G331" s="6">
        <v>159342</v>
      </c>
      <c r="H331" s="6">
        <v>3067</v>
      </c>
      <c r="I331" s="6">
        <v>9630</v>
      </c>
      <c r="J331" s="6">
        <v>0</v>
      </c>
      <c r="K331" s="6">
        <v>2330</v>
      </c>
      <c r="L331" s="6">
        <v>57202</v>
      </c>
      <c r="M331" s="7" t="s">
        <v>143</v>
      </c>
      <c r="N331" s="23">
        <v>2021</v>
      </c>
    </row>
    <row r="332" spans="1:16" x14ac:dyDescent="0.35">
      <c r="A332" s="10" t="s">
        <v>219</v>
      </c>
      <c r="B332" s="10"/>
      <c r="C332" s="10">
        <v>19</v>
      </c>
      <c r="D332" s="6">
        <v>406371</v>
      </c>
      <c r="E332" s="6">
        <v>5566</v>
      </c>
      <c r="F332" s="6">
        <v>167490</v>
      </c>
      <c r="G332" s="6">
        <v>160543</v>
      </c>
      <c r="H332" s="6">
        <v>3090</v>
      </c>
      <c r="I332" s="6">
        <v>9703</v>
      </c>
      <c r="J332" s="6">
        <v>0</v>
      </c>
      <c r="K332" s="6">
        <v>2348</v>
      </c>
      <c r="L332" s="6">
        <v>57632</v>
      </c>
      <c r="M332" s="6">
        <v>0</v>
      </c>
      <c r="N332" s="23">
        <v>2022</v>
      </c>
      <c r="P332" s="25"/>
    </row>
    <row r="333" spans="1:16" x14ac:dyDescent="0.35">
      <c r="A333" s="10" t="s">
        <v>219</v>
      </c>
      <c r="B333" s="10"/>
      <c r="C333" s="10">
        <v>19</v>
      </c>
      <c r="D333" s="6">
        <v>444513</v>
      </c>
      <c r="E333" s="6">
        <v>6088</v>
      </c>
      <c r="F333" s="6">
        <v>183210</v>
      </c>
      <c r="G333" s="6">
        <v>175611</v>
      </c>
      <c r="H333" s="6">
        <v>3380</v>
      </c>
      <c r="I333" s="6">
        <v>10614</v>
      </c>
      <c r="J333" s="6">
        <v>0</v>
      </c>
      <c r="K333" s="6">
        <v>2568</v>
      </c>
      <c r="L333" s="6">
        <v>63041</v>
      </c>
      <c r="M333" s="6">
        <v>0</v>
      </c>
      <c r="N333" s="9">
        <v>2023</v>
      </c>
    </row>
    <row r="334" spans="1:16" x14ac:dyDescent="0.35">
      <c r="A334" s="10" t="s">
        <v>219</v>
      </c>
      <c r="B334" s="10"/>
      <c r="C334" s="10">
        <v>19</v>
      </c>
      <c r="D334" s="6">
        <v>414945</v>
      </c>
      <c r="E334" s="6">
        <v>5683</v>
      </c>
      <c r="F334" s="6">
        <v>171023</v>
      </c>
      <c r="G334" s="6">
        <v>163930</v>
      </c>
      <c r="H334" s="6">
        <v>3155</v>
      </c>
      <c r="I334" s="6">
        <v>9908</v>
      </c>
      <c r="J334" s="6">
        <v>0</v>
      </c>
      <c r="K334" s="6">
        <v>2397</v>
      </c>
      <c r="L334" s="6">
        <v>58848</v>
      </c>
      <c r="M334" s="6">
        <v>0</v>
      </c>
      <c r="N334" s="9">
        <v>2024</v>
      </c>
    </row>
    <row r="335" spans="1:16" x14ac:dyDescent="0.35">
      <c r="A335" s="10" t="s">
        <v>220</v>
      </c>
      <c r="B335" s="10"/>
      <c r="C335" s="10">
        <v>20</v>
      </c>
      <c r="D335" s="6">
        <v>8094</v>
      </c>
      <c r="E335" s="6">
        <v>0</v>
      </c>
      <c r="F335" s="6">
        <v>0</v>
      </c>
      <c r="G335" s="6">
        <v>0</v>
      </c>
      <c r="H335" s="6">
        <v>0</v>
      </c>
      <c r="I335" s="6">
        <v>0</v>
      </c>
      <c r="J335" s="6">
        <v>0</v>
      </c>
      <c r="K335" s="6">
        <v>8094</v>
      </c>
      <c r="L335" s="6">
        <v>0</v>
      </c>
      <c r="M335" s="6">
        <v>0</v>
      </c>
      <c r="N335" s="9">
        <v>2021</v>
      </c>
    </row>
    <row r="336" spans="1:16" x14ac:dyDescent="0.35">
      <c r="A336" s="10" t="s">
        <v>220</v>
      </c>
      <c r="B336" s="10"/>
      <c r="C336" s="10">
        <v>20</v>
      </c>
      <c r="D336" s="6">
        <v>2713</v>
      </c>
      <c r="E336" s="6">
        <v>0</v>
      </c>
      <c r="F336" s="6">
        <v>0</v>
      </c>
      <c r="G336" s="6">
        <v>0</v>
      </c>
      <c r="H336" s="6">
        <v>0</v>
      </c>
      <c r="I336" s="6">
        <v>0</v>
      </c>
      <c r="J336" s="6">
        <v>0</v>
      </c>
      <c r="K336" s="6">
        <v>2713</v>
      </c>
      <c r="L336" s="6">
        <v>0</v>
      </c>
      <c r="M336" s="6">
        <v>0</v>
      </c>
      <c r="N336" s="9">
        <v>2022</v>
      </c>
      <c r="P336" s="25"/>
    </row>
    <row r="337" spans="1:16" x14ac:dyDescent="0.35">
      <c r="A337" s="10" t="s">
        <v>220</v>
      </c>
      <c r="B337" s="10"/>
      <c r="C337" s="10">
        <v>20</v>
      </c>
      <c r="D337" s="6">
        <v>3133</v>
      </c>
      <c r="E337" s="6">
        <v>0</v>
      </c>
      <c r="F337" s="6">
        <v>0</v>
      </c>
      <c r="G337" s="6">
        <v>0</v>
      </c>
      <c r="H337" s="6">
        <v>0</v>
      </c>
      <c r="I337" s="6">
        <v>0</v>
      </c>
      <c r="J337" s="6">
        <v>0</v>
      </c>
      <c r="K337" s="6">
        <v>3133</v>
      </c>
      <c r="L337" s="6">
        <v>0</v>
      </c>
      <c r="M337" s="6">
        <v>0</v>
      </c>
      <c r="N337" s="9">
        <v>2023</v>
      </c>
    </row>
    <row r="338" spans="1:16" x14ac:dyDescent="0.35">
      <c r="A338" s="10" t="s">
        <v>220</v>
      </c>
      <c r="B338" s="10"/>
      <c r="C338" s="10">
        <v>20</v>
      </c>
      <c r="D338" s="6">
        <v>10381</v>
      </c>
      <c r="E338" s="6">
        <v>0</v>
      </c>
      <c r="F338" s="6">
        <v>0</v>
      </c>
      <c r="G338" s="6">
        <v>0</v>
      </c>
      <c r="H338" s="6">
        <v>0</v>
      </c>
      <c r="I338" s="6">
        <v>0</v>
      </c>
      <c r="J338" s="6">
        <v>0</v>
      </c>
      <c r="K338" s="6">
        <v>10381</v>
      </c>
      <c r="L338" s="6">
        <v>0</v>
      </c>
      <c r="M338" s="6">
        <v>0</v>
      </c>
      <c r="N338" s="9">
        <v>2024</v>
      </c>
    </row>
    <row r="339" spans="1:16" x14ac:dyDescent="0.35">
      <c r="A339" s="10" t="s">
        <v>221</v>
      </c>
      <c r="B339" s="10"/>
      <c r="C339" s="10">
        <v>21</v>
      </c>
      <c r="D339" s="6">
        <v>550</v>
      </c>
      <c r="E339" s="6">
        <v>0</v>
      </c>
      <c r="F339" s="6">
        <v>0</v>
      </c>
      <c r="G339" s="6">
        <v>0</v>
      </c>
      <c r="H339" s="6">
        <v>0</v>
      </c>
      <c r="I339" s="6">
        <v>550</v>
      </c>
      <c r="J339" s="6">
        <v>0</v>
      </c>
      <c r="K339" s="6">
        <v>0</v>
      </c>
      <c r="L339" s="6">
        <v>0</v>
      </c>
      <c r="M339" s="6">
        <v>0</v>
      </c>
      <c r="N339" s="23">
        <v>2021</v>
      </c>
    </row>
    <row r="340" spans="1:16" x14ac:dyDescent="0.35">
      <c r="A340" s="10" t="s">
        <v>221</v>
      </c>
      <c r="B340" s="10"/>
      <c r="C340" s="10">
        <v>21</v>
      </c>
      <c r="D340" s="6">
        <v>512</v>
      </c>
      <c r="E340" s="6">
        <v>0</v>
      </c>
      <c r="F340" s="6">
        <v>0</v>
      </c>
      <c r="G340" s="6">
        <v>0</v>
      </c>
      <c r="H340" s="6">
        <v>0</v>
      </c>
      <c r="I340" s="6">
        <v>512</v>
      </c>
      <c r="J340" s="6">
        <v>0</v>
      </c>
      <c r="K340" s="6">
        <v>0</v>
      </c>
      <c r="L340" s="6">
        <v>0</v>
      </c>
      <c r="M340" s="6">
        <v>0</v>
      </c>
      <c r="N340" s="23">
        <v>2022</v>
      </c>
      <c r="P340" s="25"/>
    </row>
    <row r="341" spans="1:16" x14ac:dyDescent="0.35">
      <c r="A341" s="10" t="s">
        <v>221</v>
      </c>
      <c r="B341" s="10"/>
      <c r="C341" s="10">
        <v>21</v>
      </c>
      <c r="D341" s="6">
        <v>495</v>
      </c>
      <c r="E341" s="6">
        <v>0</v>
      </c>
      <c r="F341" s="6">
        <v>0</v>
      </c>
      <c r="G341" s="6">
        <v>0</v>
      </c>
      <c r="H341" s="6">
        <v>0</v>
      </c>
      <c r="I341" s="6">
        <v>495</v>
      </c>
      <c r="J341" s="6">
        <v>0</v>
      </c>
      <c r="K341" s="6">
        <v>0</v>
      </c>
      <c r="L341" s="6">
        <v>0</v>
      </c>
      <c r="M341" s="6">
        <v>0</v>
      </c>
      <c r="N341" s="9">
        <v>2023</v>
      </c>
    </row>
    <row r="342" spans="1:16" x14ac:dyDescent="0.35">
      <c r="A342" s="10" t="s">
        <v>221</v>
      </c>
      <c r="B342" s="10"/>
      <c r="C342" s="10">
        <v>21</v>
      </c>
      <c r="D342" s="6">
        <v>562</v>
      </c>
      <c r="E342" s="6">
        <v>0</v>
      </c>
      <c r="F342" s="6">
        <v>0</v>
      </c>
      <c r="G342" s="6">
        <v>0</v>
      </c>
      <c r="H342" s="6">
        <v>0</v>
      </c>
      <c r="I342" s="6">
        <v>562</v>
      </c>
      <c r="J342" s="6">
        <v>0</v>
      </c>
      <c r="K342" s="6">
        <v>0</v>
      </c>
      <c r="L342" s="6">
        <v>0</v>
      </c>
      <c r="M342" s="6">
        <v>0</v>
      </c>
      <c r="N342" s="9">
        <v>2024</v>
      </c>
    </row>
    <row r="343" spans="1:16" ht="21.5" x14ac:dyDescent="0.35">
      <c r="A343" s="10" t="s">
        <v>222</v>
      </c>
      <c r="B343" s="10"/>
      <c r="C343" s="10">
        <v>22</v>
      </c>
      <c r="D343" s="6">
        <v>7127210</v>
      </c>
      <c r="E343" s="6">
        <v>0</v>
      </c>
      <c r="F343" s="6">
        <v>25510</v>
      </c>
      <c r="G343" s="6">
        <v>29664</v>
      </c>
      <c r="H343" s="6">
        <v>0</v>
      </c>
      <c r="I343" s="6">
        <v>1030791</v>
      </c>
      <c r="J343" s="6">
        <v>0</v>
      </c>
      <c r="K343" s="6">
        <v>0</v>
      </c>
      <c r="L343" s="6">
        <v>820462</v>
      </c>
      <c r="M343" s="6">
        <v>5220783</v>
      </c>
      <c r="N343" s="9">
        <v>2021</v>
      </c>
    </row>
    <row r="344" spans="1:16" ht="21.5" x14ac:dyDescent="0.35">
      <c r="A344" s="10" t="s">
        <v>222</v>
      </c>
      <c r="B344" s="10"/>
      <c r="C344" s="10">
        <v>22</v>
      </c>
      <c r="D344" s="6">
        <v>7304822</v>
      </c>
      <c r="E344" s="6">
        <v>0</v>
      </c>
      <c r="F344" s="6">
        <v>1740610</v>
      </c>
      <c r="G344" s="6">
        <v>100254</v>
      </c>
      <c r="H344" s="6">
        <v>0</v>
      </c>
      <c r="I344" s="6">
        <v>3569584</v>
      </c>
      <c r="J344" s="6">
        <v>0</v>
      </c>
      <c r="K344" s="6">
        <v>0</v>
      </c>
      <c r="L344" s="6">
        <v>1847442</v>
      </c>
      <c r="M344" s="6">
        <v>46931</v>
      </c>
      <c r="N344" s="9">
        <v>2022</v>
      </c>
      <c r="P344" s="25"/>
    </row>
    <row r="345" spans="1:16" ht="21.5" x14ac:dyDescent="0.35">
      <c r="A345" s="10" t="s">
        <v>222</v>
      </c>
      <c r="B345" s="10"/>
      <c r="C345" s="10">
        <v>22</v>
      </c>
      <c r="D345" s="6">
        <v>6792898</v>
      </c>
      <c r="E345" s="6">
        <v>0</v>
      </c>
      <c r="F345" s="6">
        <v>1902026</v>
      </c>
      <c r="G345" s="6">
        <v>32967</v>
      </c>
      <c r="H345" s="6">
        <v>0</v>
      </c>
      <c r="I345" s="6">
        <v>3394634</v>
      </c>
      <c r="J345" s="6">
        <v>0</v>
      </c>
      <c r="K345" s="6">
        <v>0</v>
      </c>
      <c r="L345" s="6">
        <v>1202860</v>
      </c>
      <c r="M345" s="6">
        <v>260412</v>
      </c>
      <c r="N345" s="9">
        <v>2023</v>
      </c>
    </row>
    <row r="346" spans="1:16" ht="21.5" x14ac:dyDescent="0.35">
      <c r="A346" s="10" t="s">
        <v>222</v>
      </c>
      <c r="B346" s="10"/>
      <c r="C346" s="10">
        <v>22</v>
      </c>
      <c r="D346" s="6">
        <v>7181362</v>
      </c>
      <c r="E346" s="6">
        <v>0</v>
      </c>
      <c r="F346" s="6">
        <v>2114908</v>
      </c>
      <c r="G346" s="6">
        <v>90005</v>
      </c>
      <c r="H346" s="6">
        <v>0</v>
      </c>
      <c r="I346" s="6">
        <v>3603701</v>
      </c>
      <c r="J346" s="6">
        <v>0</v>
      </c>
      <c r="K346" s="6">
        <v>0</v>
      </c>
      <c r="L346" s="6">
        <v>1190259</v>
      </c>
      <c r="M346" s="6">
        <v>182489</v>
      </c>
      <c r="N346" s="9">
        <v>2024</v>
      </c>
    </row>
    <row r="347" spans="1:16" x14ac:dyDescent="0.35">
      <c r="A347" s="10" t="s">
        <v>223</v>
      </c>
      <c r="B347" s="10"/>
      <c r="C347" s="10">
        <v>23</v>
      </c>
      <c r="D347" s="6">
        <v>6705056</v>
      </c>
      <c r="E347" s="6">
        <v>988023</v>
      </c>
      <c r="F347" s="6">
        <v>1047283</v>
      </c>
      <c r="G347" s="6">
        <v>756389</v>
      </c>
      <c r="H347" s="6">
        <v>256627</v>
      </c>
      <c r="I347" s="6">
        <v>1300389</v>
      </c>
      <c r="J347" s="6">
        <v>32826</v>
      </c>
      <c r="K347" s="6">
        <v>206179</v>
      </c>
      <c r="L347" s="6">
        <v>1018918</v>
      </c>
      <c r="M347" s="6">
        <v>1098422</v>
      </c>
      <c r="N347" s="23">
        <v>2021</v>
      </c>
    </row>
    <row r="348" spans="1:16" x14ac:dyDescent="0.35">
      <c r="A348" s="10" t="s">
        <v>223</v>
      </c>
      <c r="B348" s="10"/>
      <c r="C348" s="10">
        <v>23</v>
      </c>
      <c r="D348" s="6">
        <v>6896067</v>
      </c>
      <c r="E348" s="6">
        <v>961874</v>
      </c>
      <c r="F348" s="6">
        <v>1034143</v>
      </c>
      <c r="G348" s="6">
        <v>792464</v>
      </c>
      <c r="H348" s="6">
        <v>267961</v>
      </c>
      <c r="I348" s="6">
        <v>1326313</v>
      </c>
      <c r="J348" s="6">
        <v>33174</v>
      </c>
      <c r="K348" s="6">
        <v>186317</v>
      </c>
      <c r="L348" s="6">
        <v>1051629</v>
      </c>
      <c r="M348" s="6">
        <v>1242194</v>
      </c>
      <c r="N348" s="23">
        <v>2022</v>
      </c>
      <c r="P348" s="25"/>
    </row>
    <row r="349" spans="1:16" x14ac:dyDescent="0.35">
      <c r="A349" s="10" t="s">
        <v>223</v>
      </c>
      <c r="B349" s="10"/>
      <c r="C349" s="10">
        <v>23</v>
      </c>
      <c r="D349" s="6">
        <v>7490087</v>
      </c>
      <c r="E349" s="6">
        <v>1004658</v>
      </c>
      <c r="F349" s="6">
        <v>1070652</v>
      </c>
      <c r="G349" s="6">
        <v>785575</v>
      </c>
      <c r="H349" s="6">
        <v>269756</v>
      </c>
      <c r="I349" s="6">
        <v>1401338</v>
      </c>
      <c r="J349" s="6">
        <v>34720</v>
      </c>
      <c r="K349" s="6">
        <v>207135</v>
      </c>
      <c r="L349" s="6">
        <v>1098036</v>
      </c>
      <c r="M349" s="6">
        <v>1618217</v>
      </c>
      <c r="N349" s="9">
        <v>2023</v>
      </c>
    </row>
    <row r="350" spans="1:16" x14ac:dyDescent="0.35">
      <c r="A350" s="10" t="s">
        <v>223</v>
      </c>
      <c r="B350" s="10"/>
      <c r="C350" s="10">
        <v>23</v>
      </c>
      <c r="D350" s="6">
        <v>6883083</v>
      </c>
      <c r="E350" s="6">
        <v>923208</v>
      </c>
      <c r="F350" s="6">
        <v>983974</v>
      </c>
      <c r="G350" s="6">
        <v>721975</v>
      </c>
      <c r="H350" s="6">
        <v>247921</v>
      </c>
      <c r="I350" s="6">
        <v>1287969</v>
      </c>
      <c r="J350" s="6">
        <v>31910</v>
      </c>
      <c r="K350" s="6">
        <v>190367</v>
      </c>
      <c r="L350" s="6">
        <v>1008791</v>
      </c>
      <c r="M350" s="6">
        <v>1486969</v>
      </c>
      <c r="N350" s="9">
        <v>2024</v>
      </c>
    </row>
    <row r="351" spans="1:16" ht="15.5" x14ac:dyDescent="0.35">
      <c r="A351" s="10" t="s">
        <v>224</v>
      </c>
      <c r="B351" s="10"/>
      <c r="C351" s="10">
        <v>24</v>
      </c>
      <c r="D351" s="6">
        <v>76714</v>
      </c>
      <c r="E351" s="7" t="s">
        <v>143</v>
      </c>
      <c r="F351" s="6">
        <v>0</v>
      </c>
      <c r="G351" s="6">
        <v>0</v>
      </c>
      <c r="H351" s="6">
        <v>0</v>
      </c>
      <c r="I351" s="6">
        <v>0</v>
      </c>
      <c r="J351" s="6">
        <v>0</v>
      </c>
      <c r="K351" s="6">
        <v>0</v>
      </c>
      <c r="L351" s="6">
        <v>76694</v>
      </c>
      <c r="M351" s="6">
        <v>0</v>
      </c>
      <c r="N351" s="9">
        <v>2021</v>
      </c>
    </row>
    <row r="352" spans="1:16" x14ac:dyDescent="0.35">
      <c r="A352" s="10" t="s">
        <v>224</v>
      </c>
      <c r="B352" s="10"/>
      <c r="C352" s="10">
        <v>24</v>
      </c>
      <c r="D352" s="6">
        <v>61399</v>
      </c>
      <c r="E352" s="6">
        <v>372</v>
      </c>
      <c r="F352" s="6">
        <v>0</v>
      </c>
      <c r="G352" s="6">
        <v>0</v>
      </c>
      <c r="H352" s="6">
        <v>0</v>
      </c>
      <c r="I352" s="6">
        <v>0</v>
      </c>
      <c r="J352" s="6">
        <v>0</v>
      </c>
      <c r="K352" s="6">
        <v>0</v>
      </c>
      <c r="L352" s="6">
        <v>61027</v>
      </c>
      <c r="M352" s="6">
        <v>0</v>
      </c>
      <c r="N352" s="9">
        <v>2022</v>
      </c>
      <c r="P352" s="25"/>
    </row>
    <row r="353" spans="1:16" x14ac:dyDescent="0.35">
      <c r="A353" s="10" t="s">
        <v>224</v>
      </c>
      <c r="B353" s="10"/>
      <c r="C353" s="10">
        <v>24</v>
      </c>
      <c r="D353" s="6">
        <v>47200</v>
      </c>
      <c r="E353" s="6">
        <v>530</v>
      </c>
      <c r="F353" s="6">
        <v>0</v>
      </c>
      <c r="G353" s="6">
        <v>0</v>
      </c>
      <c r="H353" s="6">
        <v>0</v>
      </c>
      <c r="I353" s="6">
        <v>0</v>
      </c>
      <c r="J353" s="6">
        <v>0</v>
      </c>
      <c r="K353" s="6">
        <v>0</v>
      </c>
      <c r="L353" s="6">
        <v>46671</v>
      </c>
      <c r="M353" s="6">
        <v>0</v>
      </c>
      <c r="N353" s="9">
        <v>2023</v>
      </c>
    </row>
    <row r="354" spans="1:16" x14ac:dyDescent="0.35">
      <c r="A354" s="10" t="s">
        <v>224</v>
      </c>
      <c r="B354" s="10"/>
      <c r="C354" s="10">
        <v>24</v>
      </c>
      <c r="D354" s="6">
        <v>45713</v>
      </c>
      <c r="E354" s="6">
        <v>526</v>
      </c>
      <c r="F354" s="6">
        <v>0</v>
      </c>
      <c r="G354" s="6">
        <v>0</v>
      </c>
      <c r="H354" s="6">
        <v>0</v>
      </c>
      <c r="I354" s="6">
        <v>0</v>
      </c>
      <c r="J354" s="6">
        <v>0</v>
      </c>
      <c r="K354" s="6">
        <v>0</v>
      </c>
      <c r="L354" s="6">
        <v>45187</v>
      </c>
      <c r="M354" s="6">
        <v>0</v>
      </c>
      <c r="N354" s="9">
        <v>2024</v>
      </c>
    </row>
    <row r="355" spans="1:16" ht="21.5" x14ac:dyDescent="0.35">
      <c r="A355" s="10" t="s">
        <v>225</v>
      </c>
      <c r="B355" s="10"/>
      <c r="C355" s="10">
        <v>25</v>
      </c>
      <c r="D355" s="6">
        <v>460331</v>
      </c>
      <c r="E355" s="6">
        <v>0</v>
      </c>
      <c r="F355" s="6">
        <v>0</v>
      </c>
      <c r="G355" s="6">
        <v>460331</v>
      </c>
      <c r="H355" s="6">
        <v>0</v>
      </c>
      <c r="I355" s="6">
        <v>0</v>
      </c>
      <c r="J355" s="6">
        <v>0</v>
      </c>
      <c r="K355" s="6">
        <v>0</v>
      </c>
      <c r="L355" s="6">
        <v>0</v>
      </c>
      <c r="M355" s="6">
        <v>0</v>
      </c>
      <c r="N355" s="23">
        <v>2021</v>
      </c>
    </row>
    <row r="356" spans="1:16" ht="21.5" x14ac:dyDescent="0.35">
      <c r="A356" s="10" t="s">
        <v>225</v>
      </c>
      <c r="B356" s="10"/>
      <c r="C356" s="10">
        <v>25</v>
      </c>
      <c r="D356" s="6">
        <v>521671</v>
      </c>
      <c r="E356" s="6">
        <v>0</v>
      </c>
      <c r="F356" s="6">
        <v>0</v>
      </c>
      <c r="G356" s="6">
        <v>521671</v>
      </c>
      <c r="H356" s="6">
        <v>0</v>
      </c>
      <c r="I356" s="6">
        <v>0</v>
      </c>
      <c r="J356" s="6">
        <v>0</v>
      </c>
      <c r="K356" s="6">
        <v>0</v>
      </c>
      <c r="L356" s="6">
        <v>0</v>
      </c>
      <c r="M356" s="6">
        <v>0</v>
      </c>
      <c r="N356" s="23">
        <v>2022</v>
      </c>
      <c r="P356" s="25"/>
    </row>
    <row r="357" spans="1:16" ht="21.5" x14ac:dyDescent="0.35">
      <c r="A357" s="10" t="s">
        <v>225</v>
      </c>
      <c r="B357" s="10"/>
      <c r="C357" s="10">
        <v>25</v>
      </c>
      <c r="D357" s="6">
        <v>553441</v>
      </c>
      <c r="E357" s="6">
        <v>0</v>
      </c>
      <c r="F357" s="6">
        <v>0</v>
      </c>
      <c r="G357" s="6">
        <v>553441</v>
      </c>
      <c r="H357" s="6">
        <v>0</v>
      </c>
      <c r="I357" s="6">
        <v>0</v>
      </c>
      <c r="J357" s="6">
        <v>0</v>
      </c>
      <c r="K357" s="6">
        <v>0</v>
      </c>
      <c r="L357" s="6">
        <v>0</v>
      </c>
      <c r="M357" s="6">
        <v>0</v>
      </c>
      <c r="N357" s="9">
        <v>2023</v>
      </c>
    </row>
    <row r="358" spans="1:16" ht="21.5" x14ac:dyDescent="0.35">
      <c r="A358" s="10" t="s">
        <v>225</v>
      </c>
      <c r="B358" s="10"/>
      <c r="C358" s="10">
        <v>25</v>
      </c>
      <c r="D358" s="6">
        <v>542680</v>
      </c>
      <c r="E358" s="6">
        <v>0</v>
      </c>
      <c r="F358" s="6">
        <v>0</v>
      </c>
      <c r="G358" s="6">
        <v>542680</v>
      </c>
      <c r="H358" s="6">
        <v>0</v>
      </c>
      <c r="I358" s="6">
        <v>0</v>
      </c>
      <c r="J358" s="6">
        <v>0</v>
      </c>
      <c r="K358" s="6">
        <v>0</v>
      </c>
      <c r="L358" s="6">
        <v>0</v>
      </c>
      <c r="M358" s="6">
        <v>0</v>
      </c>
      <c r="N358" s="9">
        <v>2024</v>
      </c>
    </row>
    <row r="359" spans="1:16" x14ac:dyDescent="0.35">
      <c r="A359" s="10" t="s">
        <v>226</v>
      </c>
      <c r="B359" s="10"/>
      <c r="C359" s="10">
        <v>26</v>
      </c>
      <c r="D359" s="6">
        <v>15435</v>
      </c>
      <c r="E359" s="6">
        <v>0</v>
      </c>
      <c r="F359" s="6">
        <v>0</v>
      </c>
      <c r="G359" s="6">
        <v>0</v>
      </c>
      <c r="H359" s="6">
        <v>0</v>
      </c>
      <c r="I359" s="6">
        <v>0</v>
      </c>
      <c r="J359" s="6">
        <v>0</v>
      </c>
      <c r="K359" s="6">
        <v>0</v>
      </c>
      <c r="L359" s="6">
        <v>15435</v>
      </c>
      <c r="M359" s="6">
        <v>0</v>
      </c>
      <c r="N359" s="9">
        <v>2021</v>
      </c>
    </row>
    <row r="360" spans="1:16" x14ac:dyDescent="0.35">
      <c r="A360" s="10" t="s">
        <v>226</v>
      </c>
      <c r="B360" s="10"/>
      <c r="C360" s="10">
        <v>26</v>
      </c>
      <c r="D360" s="6">
        <v>13860</v>
      </c>
      <c r="E360" s="6">
        <v>0</v>
      </c>
      <c r="F360" s="6">
        <v>0</v>
      </c>
      <c r="G360" s="6">
        <v>0</v>
      </c>
      <c r="H360" s="6">
        <v>0</v>
      </c>
      <c r="I360" s="6">
        <v>0</v>
      </c>
      <c r="J360" s="6">
        <v>0</v>
      </c>
      <c r="K360" s="6">
        <v>0</v>
      </c>
      <c r="L360" s="6">
        <v>13860</v>
      </c>
      <c r="M360" s="6">
        <v>0</v>
      </c>
      <c r="N360" s="9">
        <v>2022</v>
      </c>
      <c r="P360" s="25"/>
    </row>
    <row r="361" spans="1:16" x14ac:dyDescent="0.35">
      <c r="A361" s="10" t="s">
        <v>226</v>
      </c>
      <c r="B361" s="10"/>
      <c r="C361" s="10">
        <v>26</v>
      </c>
      <c r="D361" s="6">
        <v>6923</v>
      </c>
      <c r="E361" s="6">
        <v>0</v>
      </c>
      <c r="F361" s="6">
        <v>0</v>
      </c>
      <c r="G361" s="6">
        <v>0</v>
      </c>
      <c r="H361" s="6">
        <v>0</v>
      </c>
      <c r="I361" s="6">
        <v>0</v>
      </c>
      <c r="J361" s="6">
        <v>0</v>
      </c>
      <c r="K361" s="6">
        <v>0</v>
      </c>
      <c r="L361" s="6">
        <v>6923</v>
      </c>
      <c r="M361" s="6">
        <v>0</v>
      </c>
      <c r="N361" s="9">
        <v>2023</v>
      </c>
    </row>
    <row r="362" spans="1:16" x14ac:dyDescent="0.35">
      <c r="A362" s="10" t="s">
        <v>226</v>
      </c>
      <c r="B362" s="10"/>
      <c r="C362" s="10">
        <v>26</v>
      </c>
      <c r="D362" s="6">
        <v>6479</v>
      </c>
      <c r="E362" s="6">
        <v>0</v>
      </c>
      <c r="F362" s="6">
        <v>0</v>
      </c>
      <c r="G362" s="6">
        <v>0</v>
      </c>
      <c r="H362" s="6">
        <v>0</v>
      </c>
      <c r="I362" s="6">
        <v>0</v>
      </c>
      <c r="J362" s="6">
        <v>0</v>
      </c>
      <c r="K362" s="6">
        <v>0</v>
      </c>
      <c r="L362" s="6">
        <v>6479</v>
      </c>
      <c r="M362" s="6">
        <v>0</v>
      </c>
      <c r="N362" s="9">
        <v>2024</v>
      </c>
    </row>
    <row r="363" spans="1:16" x14ac:dyDescent="0.35">
      <c r="A363" s="10" t="s">
        <v>227</v>
      </c>
      <c r="B363" s="10"/>
      <c r="C363" s="10">
        <v>27</v>
      </c>
      <c r="D363" s="6">
        <v>62500</v>
      </c>
      <c r="E363" s="6">
        <v>0</v>
      </c>
      <c r="F363" s="6">
        <v>1875</v>
      </c>
      <c r="G363" s="6">
        <v>34375</v>
      </c>
      <c r="H363" s="6">
        <v>0</v>
      </c>
      <c r="I363" s="6">
        <v>11672</v>
      </c>
      <c r="J363" s="6">
        <v>0</v>
      </c>
      <c r="K363" s="6">
        <v>2718</v>
      </c>
      <c r="L363" s="6">
        <v>10172</v>
      </c>
      <c r="M363" s="6">
        <v>1688</v>
      </c>
      <c r="N363" s="23">
        <v>2021</v>
      </c>
    </row>
    <row r="364" spans="1:16" x14ac:dyDescent="0.35">
      <c r="A364" s="10" t="s">
        <v>227</v>
      </c>
      <c r="B364" s="10"/>
      <c r="C364" s="10">
        <v>27</v>
      </c>
      <c r="D364" s="6">
        <v>227400</v>
      </c>
      <c r="E364" s="6">
        <v>0</v>
      </c>
      <c r="F364" s="6">
        <v>24650</v>
      </c>
      <c r="G364" s="6">
        <v>74230</v>
      </c>
      <c r="H364" s="6">
        <v>0</v>
      </c>
      <c r="I364" s="6">
        <v>42360</v>
      </c>
      <c r="J364" s="6">
        <v>0</v>
      </c>
      <c r="K364" s="6">
        <v>25420</v>
      </c>
      <c r="L364" s="6">
        <v>47500</v>
      </c>
      <c r="M364" s="6">
        <v>13240</v>
      </c>
      <c r="N364" s="9">
        <v>2022</v>
      </c>
      <c r="P364" s="25"/>
    </row>
    <row r="365" spans="1:16" x14ac:dyDescent="0.35">
      <c r="A365" s="10" t="s">
        <v>227</v>
      </c>
      <c r="B365" s="10"/>
      <c r="C365" s="10">
        <v>27</v>
      </c>
      <c r="D365" s="6">
        <v>242000</v>
      </c>
      <c r="E365" s="6">
        <v>0</v>
      </c>
      <c r="F365" s="6">
        <v>26233</v>
      </c>
      <c r="G365" s="6">
        <v>78996</v>
      </c>
      <c r="H365" s="6">
        <v>0</v>
      </c>
      <c r="I365" s="6">
        <v>45080</v>
      </c>
      <c r="J365" s="6">
        <v>0</v>
      </c>
      <c r="K365" s="6">
        <v>27052</v>
      </c>
      <c r="L365" s="6">
        <v>50550</v>
      </c>
      <c r="M365" s="6">
        <v>14090</v>
      </c>
      <c r="N365" s="9">
        <v>2023</v>
      </c>
    </row>
    <row r="366" spans="1:16" x14ac:dyDescent="0.35">
      <c r="A366" s="10" t="s">
        <v>227</v>
      </c>
      <c r="B366" s="10"/>
      <c r="C366" s="10">
        <v>27</v>
      </c>
      <c r="D366" s="6">
        <v>254100</v>
      </c>
      <c r="E366" s="6">
        <v>0</v>
      </c>
      <c r="F366" s="6">
        <v>31658</v>
      </c>
      <c r="G366" s="6">
        <v>78467</v>
      </c>
      <c r="H366" s="6">
        <v>0</v>
      </c>
      <c r="I366" s="6">
        <v>47838</v>
      </c>
      <c r="J366" s="6">
        <v>0</v>
      </c>
      <c r="K366" s="6">
        <v>29841</v>
      </c>
      <c r="L366" s="6">
        <v>49875</v>
      </c>
      <c r="M366" s="6">
        <v>16422</v>
      </c>
      <c r="N366" s="9">
        <v>2024</v>
      </c>
    </row>
    <row r="367" spans="1:16" x14ac:dyDescent="0.35">
      <c r="A367" s="10" t="s">
        <v>228</v>
      </c>
      <c r="B367" s="10"/>
      <c r="C367" s="10">
        <v>28</v>
      </c>
      <c r="D367" s="6">
        <v>105392</v>
      </c>
      <c r="E367" s="6">
        <v>0</v>
      </c>
      <c r="F367" s="6">
        <v>0</v>
      </c>
      <c r="G367" s="6">
        <v>0</v>
      </c>
      <c r="H367" s="6">
        <v>0</v>
      </c>
      <c r="I367" s="6">
        <v>0</v>
      </c>
      <c r="J367" s="6">
        <v>0</v>
      </c>
      <c r="K367" s="6">
        <v>105392</v>
      </c>
      <c r="L367" s="6">
        <v>0</v>
      </c>
      <c r="M367" s="6">
        <v>0</v>
      </c>
      <c r="N367" s="9">
        <v>2021</v>
      </c>
    </row>
    <row r="368" spans="1:16" x14ac:dyDescent="0.35">
      <c r="A368" s="10" t="s">
        <v>228</v>
      </c>
      <c r="B368" s="10"/>
      <c r="C368" s="10">
        <v>28</v>
      </c>
      <c r="D368" s="6">
        <v>78704</v>
      </c>
      <c r="E368" s="6">
        <v>0</v>
      </c>
      <c r="F368" s="6">
        <v>0</v>
      </c>
      <c r="G368" s="6">
        <v>0</v>
      </c>
      <c r="H368" s="6">
        <v>0</v>
      </c>
      <c r="I368" s="6">
        <v>0</v>
      </c>
      <c r="J368" s="6">
        <v>0</v>
      </c>
      <c r="K368" s="6">
        <v>78704</v>
      </c>
      <c r="L368" s="6">
        <v>0</v>
      </c>
      <c r="M368" s="6">
        <v>0</v>
      </c>
      <c r="N368" s="23">
        <v>2022</v>
      </c>
      <c r="P368" s="25"/>
    </row>
    <row r="369" spans="1:16" x14ac:dyDescent="0.35">
      <c r="A369" s="10" t="s">
        <v>228</v>
      </c>
      <c r="B369" s="10"/>
      <c r="C369" s="10">
        <v>28</v>
      </c>
      <c r="D369" s="6">
        <v>96274</v>
      </c>
      <c r="E369" s="6">
        <v>0</v>
      </c>
      <c r="F369" s="6">
        <v>0</v>
      </c>
      <c r="G369" s="6">
        <v>0</v>
      </c>
      <c r="H369" s="6">
        <v>0</v>
      </c>
      <c r="I369" s="6">
        <v>0</v>
      </c>
      <c r="J369" s="6">
        <v>0</v>
      </c>
      <c r="K369" s="6">
        <v>96274</v>
      </c>
      <c r="L369" s="6">
        <v>0</v>
      </c>
      <c r="M369" s="6">
        <v>0</v>
      </c>
      <c r="N369" s="9">
        <v>2023</v>
      </c>
    </row>
    <row r="370" spans="1:16" x14ac:dyDescent="0.35">
      <c r="A370" s="10" t="s">
        <v>228</v>
      </c>
      <c r="B370" s="10"/>
      <c r="C370" s="10">
        <v>28</v>
      </c>
      <c r="D370" s="6">
        <v>110695</v>
      </c>
      <c r="E370" s="6">
        <v>0</v>
      </c>
      <c r="F370" s="6">
        <v>0</v>
      </c>
      <c r="G370" s="6">
        <v>0</v>
      </c>
      <c r="H370" s="6">
        <v>0</v>
      </c>
      <c r="I370" s="6">
        <v>0</v>
      </c>
      <c r="J370" s="6">
        <v>0</v>
      </c>
      <c r="K370" s="6">
        <v>110695</v>
      </c>
      <c r="L370" s="6">
        <v>0</v>
      </c>
      <c r="M370" s="6">
        <v>0</v>
      </c>
      <c r="N370" s="9">
        <v>2024</v>
      </c>
    </row>
    <row r="371" spans="1:16" x14ac:dyDescent="0.35">
      <c r="A371" s="10" t="s">
        <v>229</v>
      </c>
      <c r="B371" s="10"/>
      <c r="C371" s="10">
        <v>29</v>
      </c>
      <c r="D371" s="6">
        <v>9179</v>
      </c>
      <c r="E371" s="6">
        <v>0</v>
      </c>
      <c r="F371" s="6">
        <v>0</v>
      </c>
      <c r="G371" s="6">
        <v>0</v>
      </c>
      <c r="H371" s="6">
        <v>0</v>
      </c>
      <c r="I371" s="6">
        <v>0</v>
      </c>
      <c r="J371" s="6">
        <v>0</v>
      </c>
      <c r="K371" s="6">
        <v>0</v>
      </c>
      <c r="L371" s="6">
        <v>9179</v>
      </c>
      <c r="M371" s="6">
        <v>0</v>
      </c>
      <c r="N371" s="23">
        <v>2021</v>
      </c>
    </row>
    <row r="372" spans="1:16" x14ac:dyDescent="0.35">
      <c r="A372" s="10" t="s">
        <v>229</v>
      </c>
      <c r="B372" s="10"/>
      <c r="C372" s="10">
        <v>29</v>
      </c>
      <c r="D372" s="6">
        <v>11752</v>
      </c>
      <c r="E372" s="6">
        <v>0</v>
      </c>
      <c r="F372" s="6">
        <v>0</v>
      </c>
      <c r="G372" s="6">
        <v>0</v>
      </c>
      <c r="H372" s="6">
        <v>0</v>
      </c>
      <c r="I372" s="6">
        <v>0</v>
      </c>
      <c r="J372" s="6">
        <v>0</v>
      </c>
      <c r="K372" s="6">
        <v>0</v>
      </c>
      <c r="L372" s="6">
        <v>11752</v>
      </c>
      <c r="M372" s="6">
        <v>0</v>
      </c>
      <c r="N372" s="9">
        <v>2022</v>
      </c>
    </row>
    <row r="373" spans="1:16" x14ac:dyDescent="0.35">
      <c r="A373" s="10" t="s">
        <v>229</v>
      </c>
      <c r="B373" s="10"/>
      <c r="C373" s="10">
        <v>29</v>
      </c>
      <c r="D373" s="6">
        <v>18000</v>
      </c>
      <c r="E373" s="6">
        <v>0</v>
      </c>
      <c r="F373" s="6">
        <v>0</v>
      </c>
      <c r="G373" s="6">
        <v>0</v>
      </c>
      <c r="H373" s="6">
        <v>0</v>
      </c>
      <c r="I373" s="6">
        <v>0</v>
      </c>
      <c r="J373" s="6">
        <v>0</v>
      </c>
      <c r="K373" s="6">
        <v>0</v>
      </c>
      <c r="L373" s="6">
        <v>18000</v>
      </c>
      <c r="M373" s="6">
        <v>0</v>
      </c>
      <c r="N373" s="9">
        <v>2023</v>
      </c>
    </row>
    <row r="374" spans="1:16" x14ac:dyDescent="0.35">
      <c r="A374" s="10" t="s">
        <v>229</v>
      </c>
      <c r="B374" s="10"/>
      <c r="C374" s="10">
        <v>29</v>
      </c>
      <c r="D374" s="6">
        <v>14000</v>
      </c>
      <c r="E374" s="6">
        <v>0</v>
      </c>
      <c r="F374" s="6">
        <v>0</v>
      </c>
      <c r="G374" s="6">
        <v>0</v>
      </c>
      <c r="H374" s="6">
        <v>0</v>
      </c>
      <c r="I374" s="6">
        <v>0</v>
      </c>
      <c r="J374" s="6">
        <v>0</v>
      </c>
      <c r="K374" s="6">
        <v>0</v>
      </c>
      <c r="L374" s="6">
        <v>14000</v>
      </c>
      <c r="M374" s="6">
        <v>0</v>
      </c>
      <c r="N374" s="9">
        <v>2024</v>
      </c>
    </row>
    <row r="375" spans="1:16" ht="21.5" x14ac:dyDescent="0.35">
      <c r="A375" s="10" t="s">
        <v>214</v>
      </c>
      <c r="B375" s="10"/>
      <c r="C375" s="10">
        <v>31</v>
      </c>
      <c r="D375" s="6">
        <v>4362</v>
      </c>
      <c r="E375" s="6">
        <v>4362</v>
      </c>
      <c r="F375" s="6">
        <v>0</v>
      </c>
      <c r="G375" s="6">
        <v>0</v>
      </c>
      <c r="H375" s="6">
        <v>0</v>
      </c>
      <c r="I375" s="6">
        <v>0</v>
      </c>
      <c r="J375" s="6">
        <v>0</v>
      </c>
      <c r="K375" s="6">
        <v>0</v>
      </c>
      <c r="L375" s="6">
        <v>0</v>
      </c>
      <c r="M375" s="6">
        <v>0</v>
      </c>
      <c r="N375" s="9">
        <v>2021</v>
      </c>
    </row>
    <row r="376" spans="1:16" ht="31.5" customHeight="1" x14ac:dyDescent="0.35">
      <c r="A376" s="10" t="s">
        <v>214</v>
      </c>
      <c r="B376" s="10"/>
      <c r="C376" s="10">
        <v>31</v>
      </c>
      <c r="D376" s="6">
        <v>1443</v>
      </c>
      <c r="E376" s="6">
        <v>1443</v>
      </c>
      <c r="F376" s="6">
        <v>0</v>
      </c>
      <c r="G376" s="6">
        <v>0</v>
      </c>
      <c r="H376" s="6">
        <v>0</v>
      </c>
      <c r="I376" s="6">
        <v>0</v>
      </c>
      <c r="J376" s="6">
        <v>0</v>
      </c>
      <c r="K376" s="6">
        <v>0</v>
      </c>
      <c r="L376" s="6">
        <v>0</v>
      </c>
      <c r="M376" s="6">
        <v>0</v>
      </c>
      <c r="N376" s="9">
        <v>2022</v>
      </c>
      <c r="P376" s="25"/>
    </row>
    <row r="377" spans="1:16" ht="31.5" x14ac:dyDescent="0.35">
      <c r="A377" s="10" t="s">
        <v>232</v>
      </c>
      <c r="B377" s="10"/>
      <c r="C377" s="10">
        <v>32</v>
      </c>
      <c r="D377" s="6">
        <v>6960</v>
      </c>
      <c r="E377" s="6">
        <v>0</v>
      </c>
      <c r="F377" s="6">
        <v>0</v>
      </c>
      <c r="G377" s="6">
        <v>0</v>
      </c>
      <c r="H377" s="6">
        <v>0</v>
      </c>
      <c r="I377" s="6">
        <v>0</v>
      </c>
      <c r="J377" s="6">
        <v>0</v>
      </c>
      <c r="K377" s="6">
        <v>0</v>
      </c>
      <c r="L377" s="6">
        <v>0</v>
      </c>
      <c r="M377" s="6">
        <v>6960</v>
      </c>
      <c r="N377" s="23">
        <v>2022</v>
      </c>
      <c r="P377" s="25"/>
    </row>
    <row r="378" spans="1:16" ht="31.5" x14ac:dyDescent="0.35">
      <c r="A378" s="10" t="s">
        <v>232</v>
      </c>
      <c r="B378" s="10"/>
      <c r="C378" s="10">
        <v>32</v>
      </c>
      <c r="D378" s="6">
        <v>22996</v>
      </c>
      <c r="E378" s="6">
        <v>0</v>
      </c>
      <c r="F378" s="6">
        <v>0</v>
      </c>
      <c r="G378" s="6">
        <v>0</v>
      </c>
      <c r="H378" s="6">
        <v>0</v>
      </c>
      <c r="I378" s="6">
        <v>0</v>
      </c>
      <c r="J378" s="6">
        <v>0</v>
      </c>
      <c r="K378" s="6">
        <v>0</v>
      </c>
      <c r="L378" s="6">
        <v>0</v>
      </c>
      <c r="M378" s="6">
        <v>22996</v>
      </c>
      <c r="N378" s="9">
        <v>2023</v>
      </c>
    </row>
    <row r="379" spans="1:16" ht="31.5" x14ac:dyDescent="0.35">
      <c r="A379" s="10" t="s">
        <v>232</v>
      </c>
      <c r="B379" s="10"/>
      <c r="C379" s="10">
        <v>32</v>
      </c>
      <c r="D379" s="6">
        <v>1000</v>
      </c>
      <c r="E379" s="6">
        <v>0</v>
      </c>
      <c r="F379" s="6">
        <v>0</v>
      </c>
      <c r="G379" s="6">
        <v>0</v>
      </c>
      <c r="H379" s="6">
        <v>0</v>
      </c>
      <c r="I379" s="6">
        <v>0</v>
      </c>
      <c r="J379" s="6">
        <v>0</v>
      </c>
      <c r="K379" s="6">
        <v>0</v>
      </c>
      <c r="L379" s="6">
        <v>0</v>
      </c>
      <c r="M379" s="6">
        <v>1000</v>
      </c>
      <c r="N379" s="9">
        <v>2024</v>
      </c>
    </row>
    <row r="380" spans="1:16" x14ac:dyDescent="0.35">
      <c r="A380" s="12"/>
      <c r="B380" s="12"/>
      <c r="C380" s="12"/>
      <c r="D380" s="11"/>
      <c r="E380" s="11"/>
      <c r="F380" s="11"/>
      <c r="G380" s="11"/>
      <c r="H380" s="11"/>
      <c r="I380" s="11"/>
      <c r="J380" s="11"/>
      <c r="K380" s="11"/>
      <c r="L380" s="11"/>
      <c r="M380" s="11"/>
      <c r="N380" s="14"/>
    </row>
    <row r="381" spans="1:16" x14ac:dyDescent="0.35">
      <c r="A381" s="12"/>
      <c r="B381" s="17"/>
      <c r="C381" s="17"/>
      <c r="D381" s="11"/>
      <c r="E381" s="11"/>
      <c r="F381" s="11"/>
      <c r="G381" s="11"/>
      <c r="H381" s="11"/>
      <c r="I381" s="11"/>
      <c r="J381" s="11"/>
      <c r="K381" s="11"/>
      <c r="L381" s="11"/>
      <c r="M381" s="11"/>
      <c r="N381" s="14"/>
    </row>
    <row r="382" spans="1:16" x14ac:dyDescent="0.35">
      <c r="A382" s="12"/>
      <c r="B382" s="17"/>
      <c r="C382" s="17"/>
      <c r="D382" s="11"/>
      <c r="E382" s="11"/>
      <c r="F382" s="11"/>
      <c r="G382" s="11"/>
      <c r="H382" s="11"/>
      <c r="I382" s="11"/>
      <c r="J382" s="11"/>
      <c r="K382" s="11"/>
      <c r="L382" s="11"/>
      <c r="M382" s="11"/>
      <c r="N382" s="14"/>
    </row>
    <row r="383" spans="1:16" x14ac:dyDescent="0.35">
      <c r="A383" s="12"/>
      <c r="B383" s="17"/>
      <c r="C383" s="17"/>
      <c r="D383" s="11"/>
      <c r="E383" s="11"/>
      <c r="F383" s="11"/>
      <c r="G383" s="11"/>
      <c r="H383" s="11"/>
      <c r="I383" s="11"/>
      <c r="J383" s="11"/>
      <c r="K383" s="11"/>
      <c r="L383" s="11"/>
      <c r="M383" s="11"/>
      <c r="N383" s="14"/>
    </row>
    <row r="384" spans="1:16" x14ac:dyDescent="0.35">
      <c r="A384" s="12"/>
      <c r="B384" s="17"/>
      <c r="C384" s="17"/>
      <c r="D384" s="11"/>
      <c r="E384" s="11"/>
      <c r="F384" s="11"/>
      <c r="G384" s="11"/>
      <c r="H384" s="11"/>
      <c r="I384" s="11"/>
      <c r="J384" s="11"/>
      <c r="K384" s="11"/>
      <c r="L384" s="11"/>
      <c r="M384" s="11"/>
      <c r="N384" s="14"/>
    </row>
    <row r="385" spans="1:14" x14ac:dyDescent="0.35">
      <c r="A385" s="12"/>
      <c r="B385" s="17"/>
      <c r="C385" s="17"/>
      <c r="D385" s="11"/>
      <c r="E385" s="11"/>
      <c r="F385" s="11"/>
      <c r="G385" s="11"/>
      <c r="H385" s="11"/>
      <c r="I385" s="11"/>
      <c r="J385" s="11"/>
      <c r="K385" s="11"/>
      <c r="L385" s="11"/>
      <c r="M385" s="11"/>
      <c r="N385" s="14"/>
    </row>
    <row r="386" spans="1:14" x14ac:dyDescent="0.35">
      <c r="A386" s="12"/>
      <c r="B386" s="17"/>
      <c r="C386" s="17"/>
      <c r="D386" s="11"/>
      <c r="E386" s="11"/>
      <c r="F386" s="11"/>
      <c r="G386" s="11"/>
      <c r="H386" s="11"/>
      <c r="I386" s="11"/>
      <c r="J386" s="11"/>
      <c r="K386" s="11"/>
      <c r="L386" s="11"/>
      <c r="M386" s="11"/>
      <c r="N386" s="14"/>
    </row>
    <row r="387" spans="1:14" x14ac:dyDescent="0.35">
      <c r="A387" s="12"/>
      <c r="B387" s="17"/>
      <c r="C387" s="17"/>
      <c r="D387" s="11"/>
      <c r="E387" s="11"/>
      <c r="F387" s="11"/>
      <c r="G387" s="11"/>
      <c r="H387" s="11"/>
      <c r="I387" s="11"/>
      <c r="J387" s="11"/>
      <c r="K387" s="11"/>
      <c r="L387" s="11"/>
      <c r="M387" s="11"/>
      <c r="N387" s="14"/>
    </row>
    <row r="388" spans="1:14" x14ac:dyDescent="0.35">
      <c r="A388" s="12"/>
      <c r="B388" s="17"/>
      <c r="C388" s="17"/>
      <c r="D388" s="11"/>
      <c r="E388" s="11"/>
      <c r="F388" s="11"/>
      <c r="G388" s="11"/>
      <c r="H388" s="11"/>
      <c r="I388" s="11"/>
      <c r="J388" s="11"/>
      <c r="K388" s="11"/>
      <c r="L388" s="11"/>
      <c r="M388" s="11"/>
      <c r="N388" s="14"/>
    </row>
    <row r="389" spans="1:14" x14ac:dyDescent="0.35">
      <c r="A389" s="12"/>
      <c r="B389" s="12"/>
      <c r="C389" s="12"/>
      <c r="D389" s="11"/>
      <c r="E389" s="11"/>
      <c r="F389" s="11"/>
      <c r="G389" s="11"/>
      <c r="H389" s="11"/>
      <c r="I389" s="11"/>
      <c r="J389" s="11"/>
      <c r="K389" s="11"/>
      <c r="L389" s="11"/>
      <c r="M389" s="11"/>
      <c r="N389" s="14"/>
    </row>
    <row r="390" spans="1:14" x14ac:dyDescent="0.35">
      <c r="A390" s="12"/>
      <c r="B390" s="17"/>
      <c r="C390" s="17"/>
      <c r="D390" s="11"/>
      <c r="E390" s="11"/>
      <c r="F390" s="11"/>
      <c r="G390" s="11"/>
      <c r="H390" s="11"/>
      <c r="I390" s="11"/>
      <c r="J390" s="11"/>
      <c r="K390" s="11"/>
      <c r="L390" s="11"/>
      <c r="M390" s="11"/>
      <c r="N390" s="14"/>
    </row>
    <row r="391" spans="1:14" x14ac:dyDescent="0.35">
      <c r="A391" s="12"/>
      <c r="B391" s="17"/>
      <c r="C391" s="17"/>
      <c r="D391" s="11"/>
      <c r="E391" s="11"/>
      <c r="F391" s="11"/>
      <c r="G391" s="11"/>
      <c r="H391" s="11"/>
      <c r="I391" s="11"/>
      <c r="J391" s="11"/>
      <c r="K391" s="11"/>
      <c r="L391" s="11"/>
      <c r="M391" s="11"/>
      <c r="N391" s="14"/>
    </row>
    <row r="392" spans="1:14" x14ac:dyDescent="0.35">
      <c r="A392" s="12"/>
      <c r="B392" s="17"/>
      <c r="C392" s="17"/>
      <c r="D392" s="11"/>
      <c r="E392" s="11"/>
      <c r="F392" s="11"/>
      <c r="G392" s="11"/>
      <c r="H392" s="11"/>
      <c r="I392" s="11"/>
      <c r="J392" s="11"/>
      <c r="K392" s="11"/>
      <c r="L392" s="11"/>
      <c r="M392" s="11"/>
      <c r="N392" s="14"/>
    </row>
    <row r="393" spans="1:14" x14ac:dyDescent="0.35">
      <c r="A393" s="12"/>
      <c r="B393" s="17"/>
      <c r="C393" s="17"/>
      <c r="D393" s="11"/>
      <c r="E393" s="11"/>
      <c r="F393" s="11"/>
      <c r="G393" s="11"/>
      <c r="H393" s="11"/>
      <c r="I393" s="11"/>
      <c r="J393" s="11"/>
      <c r="K393" s="11"/>
      <c r="L393" s="11"/>
      <c r="M393" s="11"/>
      <c r="N393" s="14"/>
    </row>
    <row r="394" spans="1:14" x14ac:dyDescent="0.35">
      <c r="A394" s="12"/>
      <c r="B394" s="12"/>
      <c r="C394" s="12"/>
      <c r="D394" s="11"/>
      <c r="E394" s="11"/>
      <c r="F394" s="11"/>
      <c r="G394" s="11"/>
      <c r="H394" s="11"/>
      <c r="I394" s="11"/>
      <c r="J394" s="11"/>
      <c r="K394" s="11"/>
      <c r="L394" s="11"/>
      <c r="M394" s="11"/>
      <c r="N394" s="14"/>
    </row>
    <row r="395" spans="1:14" x14ac:dyDescent="0.35">
      <c r="A395" s="12"/>
      <c r="B395" s="17"/>
      <c r="C395" s="17"/>
      <c r="D395" s="11"/>
      <c r="E395" s="11"/>
      <c r="F395" s="11"/>
      <c r="G395" s="11"/>
      <c r="H395" s="11"/>
      <c r="I395" s="11"/>
      <c r="J395" s="11"/>
      <c r="K395" s="11"/>
      <c r="L395" s="11"/>
      <c r="M395" s="11"/>
      <c r="N395" s="14"/>
    </row>
    <row r="396" spans="1:14" x14ac:dyDescent="0.35">
      <c r="A396" s="12"/>
      <c r="B396" s="17"/>
      <c r="C396" s="17"/>
      <c r="D396" s="11"/>
      <c r="E396" s="11"/>
      <c r="F396" s="11"/>
      <c r="G396" s="11"/>
      <c r="H396" s="11"/>
      <c r="I396" s="11"/>
      <c r="J396" s="11"/>
      <c r="K396" s="11"/>
      <c r="L396" s="11"/>
      <c r="M396" s="11"/>
      <c r="N396" s="14"/>
    </row>
    <row r="397" spans="1:14" x14ac:dyDescent="0.35">
      <c r="A397" s="12"/>
      <c r="B397" s="17"/>
      <c r="C397" s="17"/>
      <c r="D397" s="11"/>
      <c r="E397" s="11"/>
      <c r="F397" s="11"/>
      <c r="G397" s="11"/>
      <c r="H397" s="11"/>
      <c r="I397" s="11"/>
      <c r="J397" s="11"/>
      <c r="K397" s="11"/>
      <c r="L397" s="11"/>
      <c r="M397" s="11"/>
      <c r="N397" s="14"/>
    </row>
    <row r="398" spans="1:14" x14ac:dyDescent="0.35">
      <c r="A398" s="12"/>
      <c r="B398" s="17"/>
      <c r="C398" s="17"/>
      <c r="D398" s="11"/>
      <c r="E398" s="11"/>
      <c r="F398" s="11"/>
      <c r="G398" s="11"/>
      <c r="H398" s="11"/>
      <c r="I398" s="11"/>
      <c r="J398" s="11"/>
      <c r="K398" s="11"/>
      <c r="L398" s="11"/>
      <c r="M398" s="11"/>
      <c r="N398" s="14"/>
    </row>
    <row r="399" spans="1:14" x14ac:dyDescent="0.35">
      <c r="A399" s="12"/>
      <c r="B399" s="17"/>
      <c r="C399" s="17"/>
      <c r="D399" s="11"/>
      <c r="E399" s="11"/>
      <c r="F399" s="11"/>
      <c r="G399" s="11"/>
      <c r="H399" s="11"/>
      <c r="I399" s="11"/>
      <c r="J399" s="11"/>
      <c r="K399" s="11"/>
      <c r="L399" s="11"/>
      <c r="M399" s="11"/>
      <c r="N399" s="14"/>
    </row>
    <row r="400" spans="1:14" x14ac:dyDescent="0.35">
      <c r="A400" s="12"/>
      <c r="B400" s="17"/>
      <c r="C400" s="17"/>
      <c r="D400" s="11"/>
      <c r="E400" s="11"/>
      <c r="F400" s="11"/>
      <c r="G400" s="11"/>
      <c r="H400" s="11"/>
      <c r="I400" s="11"/>
      <c r="J400" s="11"/>
      <c r="K400" s="11"/>
      <c r="L400" s="11"/>
      <c r="M400" s="11"/>
      <c r="N400" s="14"/>
    </row>
    <row r="401" spans="1:14" x14ac:dyDescent="0.35">
      <c r="A401" s="12"/>
      <c r="B401" s="12"/>
      <c r="C401" s="12"/>
      <c r="D401" s="11"/>
      <c r="E401" s="11"/>
      <c r="F401" s="11"/>
      <c r="G401" s="11"/>
      <c r="H401" s="11"/>
      <c r="I401" s="11"/>
      <c r="J401" s="11"/>
      <c r="K401" s="11"/>
      <c r="L401" s="11"/>
      <c r="M401" s="11"/>
      <c r="N401" s="14"/>
    </row>
    <row r="402" spans="1:14" x14ac:dyDescent="0.35">
      <c r="A402" s="12"/>
      <c r="B402" s="12"/>
      <c r="C402" s="12"/>
      <c r="D402" s="11"/>
      <c r="E402" s="11"/>
      <c r="F402" s="11"/>
      <c r="G402" s="11"/>
      <c r="H402" s="11"/>
      <c r="I402" s="11"/>
      <c r="J402" s="11"/>
      <c r="K402" s="11"/>
      <c r="L402" s="11"/>
      <c r="M402" s="11"/>
      <c r="N402" s="14"/>
    </row>
    <row r="403" spans="1:14" x14ac:dyDescent="0.35">
      <c r="A403" s="12"/>
      <c r="B403" s="17"/>
      <c r="C403" s="17"/>
      <c r="D403" s="11"/>
      <c r="E403" s="11"/>
      <c r="F403" s="11"/>
      <c r="G403" s="11"/>
      <c r="H403" s="11"/>
      <c r="I403" s="11"/>
      <c r="J403" s="11"/>
      <c r="K403" s="11"/>
      <c r="L403" s="11"/>
      <c r="M403" s="11"/>
      <c r="N403" s="14"/>
    </row>
    <row r="404" spans="1:14" x14ac:dyDescent="0.35">
      <c r="A404" s="12"/>
      <c r="B404" s="17"/>
      <c r="C404" s="17"/>
      <c r="D404" s="11"/>
      <c r="E404" s="11"/>
      <c r="F404" s="11"/>
      <c r="G404" s="11"/>
      <c r="H404" s="11"/>
      <c r="I404" s="11"/>
      <c r="J404" s="11"/>
      <c r="K404" s="11"/>
      <c r="L404" s="11"/>
      <c r="M404" s="11"/>
      <c r="N404" s="14"/>
    </row>
    <row r="405" spans="1:14" x14ac:dyDescent="0.35">
      <c r="A405" s="12"/>
      <c r="B405" s="17"/>
      <c r="C405" s="17"/>
      <c r="D405" s="11"/>
      <c r="E405" s="11"/>
      <c r="F405" s="11"/>
      <c r="G405" s="11"/>
      <c r="H405" s="11"/>
      <c r="I405" s="11"/>
      <c r="J405" s="11"/>
      <c r="K405" s="11"/>
      <c r="L405" s="11"/>
      <c r="M405" s="11"/>
      <c r="N405" s="14"/>
    </row>
    <row r="406" spans="1:14" x14ac:dyDescent="0.35">
      <c r="A406" s="12"/>
      <c r="B406" s="17"/>
      <c r="C406" s="17"/>
      <c r="D406" s="11"/>
      <c r="E406" s="11"/>
      <c r="F406" s="11"/>
      <c r="G406" s="11"/>
      <c r="H406" s="11"/>
      <c r="I406" s="11"/>
      <c r="J406" s="11"/>
      <c r="K406" s="11"/>
      <c r="L406" s="11"/>
      <c r="M406" s="11"/>
      <c r="N406" s="14"/>
    </row>
    <row r="407" spans="1:14" x14ac:dyDescent="0.35">
      <c r="A407" s="12"/>
      <c r="B407" s="17"/>
      <c r="C407" s="17"/>
      <c r="D407" s="11"/>
      <c r="E407" s="11"/>
      <c r="F407" s="11"/>
      <c r="G407" s="11"/>
      <c r="H407" s="11"/>
      <c r="I407" s="11"/>
      <c r="J407" s="11"/>
      <c r="K407" s="11"/>
      <c r="L407" s="11"/>
      <c r="M407" s="11"/>
      <c r="N407" s="14"/>
    </row>
    <row r="408" spans="1:14" x14ac:dyDescent="0.35">
      <c r="A408" s="12"/>
      <c r="B408" s="17"/>
      <c r="C408" s="17"/>
      <c r="D408" s="11"/>
      <c r="E408" s="11"/>
      <c r="F408" s="11"/>
      <c r="G408" s="11"/>
      <c r="H408" s="11"/>
      <c r="I408" s="11"/>
      <c r="J408" s="11"/>
      <c r="K408" s="11"/>
      <c r="L408" s="11"/>
      <c r="M408" s="11"/>
      <c r="N408" s="14"/>
    </row>
    <row r="409" spans="1:14" x14ac:dyDescent="0.35">
      <c r="A409" s="12"/>
      <c r="B409" s="17"/>
      <c r="C409" s="17"/>
      <c r="D409" s="11"/>
      <c r="E409" s="11"/>
      <c r="F409" s="11"/>
      <c r="G409" s="11"/>
      <c r="H409" s="11"/>
      <c r="I409" s="11"/>
      <c r="J409" s="11"/>
      <c r="K409" s="11"/>
      <c r="L409" s="11"/>
      <c r="M409" s="11"/>
      <c r="N409" s="14"/>
    </row>
    <row r="410" spans="1:14" ht="31.5" customHeight="1" x14ac:dyDescent="0.35">
      <c r="A410" s="12"/>
      <c r="B410" s="17"/>
      <c r="C410" s="17"/>
      <c r="D410" s="11"/>
      <c r="E410" s="11"/>
      <c r="F410" s="11"/>
      <c r="G410" s="11"/>
      <c r="H410" s="11"/>
      <c r="I410" s="11"/>
      <c r="J410" s="11"/>
      <c r="K410" s="11"/>
      <c r="L410" s="11"/>
      <c r="M410" s="11"/>
      <c r="N410" s="14"/>
    </row>
    <row r="411" spans="1:14" x14ac:dyDescent="0.35">
      <c r="A411" s="12"/>
      <c r="B411" s="17"/>
      <c r="C411" s="17"/>
      <c r="D411" s="11"/>
      <c r="E411" s="11"/>
      <c r="F411" s="11"/>
      <c r="G411" s="11"/>
      <c r="H411" s="11"/>
      <c r="I411" s="11"/>
      <c r="J411" s="11"/>
      <c r="K411" s="11"/>
      <c r="L411" s="11"/>
      <c r="M411" s="11"/>
      <c r="N411" s="14"/>
    </row>
    <row r="412" spans="1:14" x14ac:dyDescent="0.35">
      <c r="A412" s="12"/>
      <c r="B412" s="12"/>
      <c r="C412" s="12"/>
      <c r="D412" s="11"/>
      <c r="E412" s="11"/>
      <c r="F412" s="11"/>
      <c r="G412" s="11"/>
      <c r="H412" s="11"/>
      <c r="I412" s="11"/>
      <c r="J412" s="11"/>
      <c r="K412" s="11"/>
      <c r="L412" s="11"/>
      <c r="M412" s="11"/>
      <c r="N412" s="14"/>
    </row>
    <row r="413" spans="1:14" x14ac:dyDescent="0.35">
      <c r="A413" s="12"/>
      <c r="B413" s="17"/>
      <c r="C413" s="17"/>
      <c r="D413" s="11"/>
      <c r="E413" s="11"/>
      <c r="F413" s="11"/>
      <c r="G413" s="11"/>
      <c r="H413" s="11"/>
      <c r="I413" s="11"/>
      <c r="J413" s="11"/>
      <c r="K413" s="11"/>
      <c r="L413" s="11"/>
      <c r="M413" s="11"/>
      <c r="N413" s="14"/>
    </row>
    <row r="414" spans="1:14" x14ac:dyDescent="0.35">
      <c r="A414" s="12"/>
      <c r="B414" s="17"/>
      <c r="C414" s="17"/>
      <c r="D414" s="11"/>
      <c r="E414" s="11"/>
      <c r="F414" s="11"/>
      <c r="G414" s="11"/>
      <c r="H414" s="11"/>
      <c r="I414" s="11"/>
      <c r="J414" s="11"/>
      <c r="K414" s="11"/>
      <c r="L414" s="11"/>
      <c r="M414" s="11"/>
      <c r="N414" s="14"/>
    </row>
    <row r="415" spans="1:14" x14ac:dyDescent="0.35">
      <c r="A415" s="12"/>
      <c r="B415" s="17"/>
      <c r="C415" s="17"/>
      <c r="D415" s="11"/>
      <c r="E415" s="11"/>
      <c r="F415" s="11"/>
      <c r="G415" s="11"/>
      <c r="H415" s="11"/>
      <c r="I415" s="11"/>
      <c r="J415" s="11"/>
      <c r="K415" s="11"/>
      <c r="L415" s="11"/>
      <c r="M415" s="11"/>
      <c r="N415" s="14"/>
    </row>
    <row r="416" spans="1:14" x14ac:dyDescent="0.35">
      <c r="A416" s="12"/>
      <c r="B416" s="17"/>
      <c r="C416" s="17"/>
      <c r="D416" s="11"/>
      <c r="E416" s="11"/>
      <c r="F416" s="11"/>
      <c r="G416" s="11"/>
      <c r="H416" s="11"/>
      <c r="I416" s="11"/>
      <c r="J416" s="11"/>
      <c r="K416" s="11"/>
      <c r="L416" s="11"/>
      <c r="M416" s="11"/>
      <c r="N416" s="14"/>
    </row>
    <row r="417" spans="1:14" x14ac:dyDescent="0.35">
      <c r="A417" s="12"/>
      <c r="B417" s="17"/>
      <c r="C417" s="17"/>
      <c r="D417" s="11"/>
      <c r="E417" s="11"/>
      <c r="F417" s="11"/>
      <c r="G417" s="11"/>
      <c r="H417" s="11"/>
      <c r="I417" s="11"/>
      <c r="J417" s="11"/>
      <c r="K417" s="11"/>
      <c r="L417" s="11"/>
      <c r="M417" s="11"/>
      <c r="N417" s="14"/>
    </row>
    <row r="418" spans="1:14" x14ac:dyDescent="0.35">
      <c r="A418" s="12"/>
      <c r="B418" s="17"/>
      <c r="C418" s="17"/>
      <c r="D418" s="11"/>
      <c r="E418" s="11"/>
      <c r="F418" s="11"/>
      <c r="G418" s="11"/>
      <c r="H418" s="11"/>
      <c r="I418" s="11"/>
      <c r="J418" s="11"/>
      <c r="K418" s="11"/>
      <c r="L418" s="11"/>
      <c r="M418" s="11"/>
      <c r="N418" s="14"/>
    </row>
    <row r="419" spans="1:14" x14ac:dyDescent="0.35">
      <c r="A419" s="12"/>
      <c r="B419" s="17"/>
      <c r="C419" s="17"/>
      <c r="D419" s="11"/>
      <c r="E419" s="11"/>
      <c r="F419" s="11"/>
      <c r="G419" s="11"/>
      <c r="H419" s="11"/>
      <c r="I419" s="11"/>
      <c r="J419" s="11"/>
      <c r="K419" s="11"/>
      <c r="L419" s="11"/>
      <c r="M419" s="11"/>
      <c r="N419" s="14"/>
    </row>
    <row r="420" spans="1:14" x14ac:dyDescent="0.35">
      <c r="A420" s="12"/>
      <c r="B420" s="17"/>
      <c r="C420" s="17"/>
      <c r="D420" s="11"/>
      <c r="E420" s="11"/>
      <c r="F420" s="11"/>
      <c r="G420" s="11"/>
      <c r="H420" s="11"/>
      <c r="I420" s="11"/>
      <c r="J420" s="11"/>
      <c r="K420" s="11"/>
      <c r="L420" s="11"/>
      <c r="M420" s="11"/>
      <c r="N420" s="14"/>
    </row>
    <row r="421" spans="1:14" x14ac:dyDescent="0.35">
      <c r="A421" s="12"/>
      <c r="B421" s="17"/>
      <c r="C421" s="17"/>
      <c r="D421" s="11"/>
      <c r="E421" s="11"/>
      <c r="F421" s="11"/>
      <c r="G421" s="11"/>
      <c r="H421" s="11"/>
      <c r="I421" s="11"/>
      <c r="J421" s="11"/>
      <c r="K421" s="11"/>
      <c r="L421" s="11"/>
      <c r="M421" s="11"/>
      <c r="N421" s="14"/>
    </row>
    <row r="422" spans="1:14" x14ac:dyDescent="0.35">
      <c r="A422" s="12"/>
      <c r="B422" s="17"/>
      <c r="C422" s="17"/>
      <c r="D422" s="11"/>
      <c r="E422" s="11"/>
      <c r="F422" s="11"/>
      <c r="G422" s="11"/>
      <c r="H422" s="11"/>
      <c r="I422" s="11"/>
      <c r="J422" s="11"/>
      <c r="K422" s="11"/>
      <c r="L422" s="11"/>
      <c r="M422" s="11"/>
      <c r="N422" s="14"/>
    </row>
    <row r="423" spans="1:14" x14ac:dyDescent="0.35">
      <c r="A423" s="12"/>
      <c r="B423" s="12"/>
      <c r="C423" s="12"/>
      <c r="D423" s="11"/>
      <c r="E423" s="11"/>
      <c r="F423" s="11"/>
      <c r="G423" s="11"/>
      <c r="H423" s="11"/>
      <c r="I423" s="11"/>
      <c r="J423" s="11"/>
      <c r="K423" s="11"/>
      <c r="L423" s="11"/>
      <c r="M423" s="11"/>
      <c r="N423" s="14"/>
    </row>
    <row r="424" spans="1:14" x14ac:dyDescent="0.35">
      <c r="A424" s="12"/>
      <c r="B424" s="17"/>
      <c r="C424" s="17"/>
      <c r="D424" s="11"/>
      <c r="E424" s="11"/>
      <c r="F424" s="11"/>
      <c r="G424" s="11"/>
      <c r="H424" s="11"/>
      <c r="I424" s="11"/>
      <c r="J424" s="11"/>
      <c r="K424" s="11"/>
      <c r="L424" s="11"/>
      <c r="M424" s="11"/>
      <c r="N424" s="14"/>
    </row>
    <row r="425" spans="1:14" x14ac:dyDescent="0.35">
      <c r="A425" s="12"/>
      <c r="B425" s="17"/>
      <c r="C425" s="17"/>
      <c r="D425" s="11"/>
      <c r="E425" s="11"/>
      <c r="F425" s="11"/>
      <c r="G425" s="11"/>
      <c r="H425" s="11"/>
      <c r="I425" s="11"/>
      <c r="J425" s="11"/>
      <c r="K425" s="11"/>
      <c r="L425" s="11"/>
      <c r="M425" s="11"/>
      <c r="N425" s="14"/>
    </row>
    <row r="426" spans="1:14" x14ac:dyDescent="0.35">
      <c r="A426" s="12"/>
      <c r="B426" s="17"/>
      <c r="C426" s="17"/>
      <c r="D426" s="11"/>
      <c r="E426" s="11"/>
      <c r="F426" s="11"/>
      <c r="G426" s="11"/>
      <c r="H426" s="11"/>
      <c r="I426" s="11"/>
      <c r="J426" s="11"/>
      <c r="K426" s="11"/>
      <c r="L426" s="11"/>
      <c r="M426" s="11"/>
      <c r="N426" s="14"/>
    </row>
    <row r="427" spans="1:14" x14ac:dyDescent="0.35">
      <c r="A427" s="12"/>
      <c r="B427" s="17"/>
      <c r="C427" s="17"/>
      <c r="D427" s="11"/>
      <c r="E427" s="11"/>
      <c r="F427" s="11"/>
      <c r="G427" s="11"/>
      <c r="H427" s="11"/>
      <c r="I427" s="11"/>
      <c r="J427" s="11"/>
      <c r="K427" s="11"/>
      <c r="L427" s="11"/>
      <c r="M427" s="11"/>
      <c r="N427" s="14"/>
    </row>
    <row r="428" spans="1:14" x14ac:dyDescent="0.35">
      <c r="A428" s="12"/>
      <c r="B428" s="12"/>
      <c r="C428" s="12"/>
      <c r="D428" s="11"/>
      <c r="E428" s="11"/>
      <c r="F428" s="11"/>
      <c r="G428" s="11"/>
      <c r="H428" s="11"/>
      <c r="I428" s="11"/>
      <c r="J428" s="11"/>
      <c r="K428" s="11"/>
      <c r="L428" s="11"/>
      <c r="M428" s="11"/>
      <c r="N428" s="14"/>
    </row>
    <row r="429" spans="1:14" ht="15.5" x14ac:dyDescent="0.35">
      <c r="A429" s="12"/>
      <c r="B429" s="17"/>
      <c r="C429" s="17"/>
      <c r="D429" s="13"/>
      <c r="E429" s="11"/>
      <c r="F429" s="11"/>
      <c r="G429" s="11"/>
      <c r="H429" s="13"/>
      <c r="I429" s="11"/>
      <c r="J429" s="11"/>
      <c r="K429" s="11"/>
      <c r="L429" s="11"/>
      <c r="M429" s="11"/>
      <c r="N429" s="14"/>
    </row>
    <row r="430" spans="1:14" x14ac:dyDescent="0.35">
      <c r="A430" s="12"/>
      <c r="B430" s="17"/>
      <c r="C430" s="17"/>
      <c r="D430" s="11"/>
      <c r="E430" s="11"/>
      <c r="F430" s="11"/>
      <c r="G430" s="11"/>
      <c r="H430" s="11"/>
      <c r="I430" s="11"/>
      <c r="J430" s="11"/>
      <c r="K430" s="11"/>
      <c r="L430" s="11"/>
      <c r="M430" s="11"/>
      <c r="N430" s="14"/>
    </row>
    <row r="431" spans="1:14" x14ac:dyDescent="0.35">
      <c r="A431" s="12"/>
      <c r="B431" s="17"/>
      <c r="C431" s="17"/>
      <c r="D431" s="11"/>
      <c r="E431" s="11"/>
      <c r="F431" s="11"/>
      <c r="G431" s="11"/>
      <c r="H431" s="11"/>
      <c r="I431" s="11"/>
      <c r="J431" s="11"/>
      <c r="K431" s="11"/>
      <c r="L431" s="11"/>
      <c r="M431" s="11"/>
      <c r="N431" s="14"/>
    </row>
    <row r="432" spans="1:14" x14ac:dyDescent="0.35">
      <c r="A432" s="12"/>
      <c r="B432" s="17"/>
      <c r="C432" s="17"/>
      <c r="D432" s="11"/>
      <c r="E432" s="11"/>
      <c r="F432" s="11"/>
      <c r="G432" s="11"/>
      <c r="H432" s="11"/>
      <c r="I432" s="11"/>
      <c r="J432" s="11"/>
      <c r="K432" s="11"/>
      <c r="L432" s="11"/>
      <c r="M432" s="11"/>
      <c r="N432" s="14"/>
    </row>
    <row r="433" spans="1:14" x14ac:dyDescent="0.35">
      <c r="A433" s="12"/>
      <c r="B433" s="17"/>
      <c r="C433" s="17"/>
      <c r="D433" s="11"/>
      <c r="E433" s="11"/>
      <c r="F433" s="11"/>
      <c r="G433" s="11"/>
      <c r="H433" s="11"/>
      <c r="I433" s="11"/>
      <c r="J433" s="11"/>
      <c r="K433" s="11"/>
      <c r="L433" s="11"/>
      <c r="M433" s="11"/>
      <c r="N433" s="14"/>
    </row>
    <row r="434" spans="1:14" x14ac:dyDescent="0.35">
      <c r="A434" s="12"/>
      <c r="B434" s="17"/>
      <c r="C434" s="17"/>
      <c r="D434" s="11"/>
      <c r="E434" s="11"/>
      <c r="F434" s="11"/>
      <c r="G434" s="11"/>
      <c r="H434" s="11"/>
      <c r="I434" s="11"/>
      <c r="J434" s="11"/>
      <c r="K434" s="11"/>
      <c r="L434" s="11"/>
      <c r="M434" s="11"/>
      <c r="N434" s="14"/>
    </row>
    <row r="435" spans="1:14" x14ac:dyDescent="0.35">
      <c r="A435" s="12"/>
      <c r="B435" s="17"/>
      <c r="C435" s="17"/>
      <c r="D435" s="11"/>
      <c r="E435" s="11"/>
      <c r="F435" s="11"/>
      <c r="G435" s="11"/>
      <c r="H435" s="11"/>
      <c r="I435" s="11"/>
      <c r="J435" s="11"/>
      <c r="K435" s="11"/>
      <c r="L435" s="11"/>
      <c r="M435" s="11"/>
      <c r="N435" s="14"/>
    </row>
    <row r="436" spans="1:14" x14ac:dyDescent="0.35">
      <c r="A436" s="12"/>
      <c r="B436" s="17"/>
      <c r="C436" s="17"/>
      <c r="D436" s="11"/>
      <c r="E436" s="11"/>
      <c r="F436" s="11"/>
      <c r="G436" s="11"/>
      <c r="H436" s="11"/>
      <c r="I436" s="11"/>
      <c r="J436" s="11"/>
      <c r="K436" s="11"/>
      <c r="L436" s="11"/>
      <c r="M436" s="11"/>
      <c r="N436" s="14"/>
    </row>
    <row r="437" spans="1:14" x14ac:dyDescent="0.35">
      <c r="A437" s="12"/>
      <c r="B437" s="17"/>
      <c r="C437" s="17"/>
      <c r="D437" s="11"/>
      <c r="E437" s="11"/>
      <c r="F437" s="11"/>
      <c r="G437" s="11"/>
      <c r="H437" s="11"/>
      <c r="I437" s="11"/>
      <c r="J437" s="11"/>
      <c r="K437" s="11"/>
      <c r="L437" s="11"/>
      <c r="M437" s="11"/>
      <c r="N437" s="14"/>
    </row>
    <row r="438" spans="1:14" x14ac:dyDescent="0.35">
      <c r="A438" s="12"/>
      <c r="B438" s="12"/>
      <c r="C438" s="12"/>
      <c r="D438" s="11"/>
      <c r="E438" s="11"/>
      <c r="F438" s="11"/>
      <c r="G438" s="11"/>
      <c r="H438" s="11"/>
      <c r="I438" s="11"/>
      <c r="J438" s="11"/>
      <c r="K438" s="11"/>
      <c r="L438" s="11"/>
      <c r="M438" s="11"/>
      <c r="N438" s="14"/>
    </row>
    <row r="439" spans="1:14" x14ac:dyDescent="0.35">
      <c r="A439" s="12"/>
      <c r="B439" s="17"/>
      <c r="C439" s="17"/>
      <c r="D439" s="11"/>
      <c r="E439" s="11"/>
      <c r="F439" s="11"/>
      <c r="G439" s="11"/>
      <c r="H439" s="11"/>
      <c r="I439" s="11"/>
      <c r="J439" s="11"/>
      <c r="K439" s="11"/>
      <c r="L439" s="11"/>
      <c r="M439" s="11"/>
      <c r="N439" s="14"/>
    </row>
    <row r="440" spans="1:14" x14ac:dyDescent="0.35">
      <c r="A440" s="12"/>
      <c r="B440" s="17"/>
      <c r="C440" s="17"/>
      <c r="D440" s="11"/>
      <c r="E440" s="11"/>
      <c r="F440" s="11"/>
      <c r="G440" s="11"/>
      <c r="H440" s="11"/>
      <c r="I440" s="11"/>
      <c r="J440" s="11"/>
      <c r="K440" s="11"/>
      <c r="L440" s="11"/>
      <c r="M440" s="11"/>
      <c r="N440" s="14"/>
    </row>
    <row r="441" spans="1:14" x14ac:dyDescent="0.35">
      <c r="A441" s="12"/>
      <c r="B441" s="17"/>
      <c r="C441" s="17"/>
      <c r="D441" s="11"/>
      <c r="E441" s="11"/>
      <c r="F441" s="11"/>
      <c r="G441" s="11"/>
      <c r="H441" s="11"/>
      <c r="I441" s="11"/>
      <c r="J441" s="11"/>
      <c r="K441" s="11"/>
      <c r="L441" s="11"/>
      <c r="M441" s="11"/>
      <c r="N441" s="14"/>
    </row>
    <row r="442" spans="1:14" x14ac:dyDescent="0.35">
      <c r="A442" s="12"/>
      <c r="B442" s="12"/>
      <c r="C442" s="12"/>
      <c r="D442" s="11"/>
      <c r="E442" s="11"/>
      <c r="F442" s="11"/>
      <c r="G442" s="11"/>
      <c r="H442" s="11"/>
      <c r="I442" s="11"/>
      <c r="J442" s="11"/>
      <c r="K442" s="11"/>
      <c r="L442" s="11"/>
      <c r="M442" s="11"/>
      <c r="N442" s="14"/>
    </row>
    <row r="443" spans="1:14" x14ac:dyDescent="0.35">
      <c r="A443" s="12"/>
      <c r="B443" s="17"/>
      <c r="C443" s="17"/>
      <c r="D443" s="11"/>
      <c r="E443" s="11"/>
      <c r="F443" s="11"/>
      <c r="G443" s="11"/>
      <c r="H443" s="11"/>
      <c r="I443" s="11"/>
      <c r="J443" s="11"/>
      <c r="K443" s="11"/>
      <c r="L443" s="11"/>
      <c r="M443" s="11"/>
      <c r="N443" s="14"/>
    </row>
    <row r="444" spans="1:14" x14ac:dyDescent="0.35">
      <c r="A444" s="12"/>
      <c r="B444" s="17"/>
      <c r="C444" s="17"/>
      <c r="D444" s="11"/>
      <c r="E444" s="11"/>
      <c r="F444" s="11"/>
      <c r="G444" s="11"/>
      <c r="H444" s="11"/>
      <c r="I444" s="11"/>
      <c r="J444" s="11"/>
      <c r="K444" s="11"/>
      <c r="L444" s="11"/>
      <c r="M444" s="11"/>
      <c r="N444" s="14"/>
    </row>
    <row r="445" spans="1:14" x14ac:dyDescent="0.35">
      <c r="A445" s="12"/>
      <c r="B445" s="12"/>
      <c r="C445" s="12"/>
      <c r="D445" s="11"/>
      <c r="E445" s="11"/>
      <c r="F445" s="11"/>
      <c r="G445" s="11"/>
      <c r="H445" s="11"/>
      <c r="I445" s="11"/>
      <c r="J445" s="11"/>
      <c r="K445" s="11"/>
      <c r="L445" s="11"/>
      <c r="M445" s="11"/>
      <c r="N445" s="14"/>
    </row>
    <row r="446" spans="1:14" x14ac:dyDescent="0.35">
      <c r="A446" s="12"/>
      <c r="B446" s="12"/>
      <c r="C446" s="12"/>
      <c r="D446" s="11"/>
      <c r="E446" s="11"/>
      <c r="F446" s="11"/>
      <c r="G446" s="11"/>
      <c r="H446" s="11"/>
      <c r="I446" s="11"/>
      <c r="J446" s="11"/>
      <c r="K446" s="11"/>
      <c r="L446" s="11"/>
      <c r="M446" s="11"/>
      <c r="N446" s="14"/>
    </row>
    <row r="447" spans="1:14" x14ac:dyDescent="0.35">
      <c r="A447" s="12"/>
      <c r="B447" s="17"/>
      <c r="C447" s="17"/>
      <c r="D447" s="11"/>
      <c r="E447" s="11"/>
      <c r="F447" s="11"/>
      <c r="G447" s="11"/>
      <c r="H447" s="11"/>
      <c r="I447" s="11"/>
      <c r="J447" s="11"/>
      <c r="K447" s="11"/>
      <c r="L447" s="11"/>
      <c r="M447" s="11"/>
      <c r="N447" s="14"/>
    </row>
    <row r="448" spans="1:14" x14ac:dyDescent="0.35">
      <c r="A448" s="12"/>
      <c r="B448" s="17"/>
      <c r="C448" s="17"/>
      <c r="D448" s="11"/>
      <c r="E448" s="11"/>
      <c r="F448" s="11"/>
      <c r="G448" s="11"/>
      <c r="H448" s="11"/>
      <c r="I448" s="11"/>
      <c r="J448" s="11"/>
      <c r="K448" s="11"/>
      <c r="L448" s="11"/>
      <c r="M448" s="11"/>
      <c r="N448" s="14"/>
    </row>
    <row r="449" spans="1:14" x14ac:dyDescent="0.35">
      <c r="A449" s="12"/>
      <c r="B449" s="17"/>
      <c r="C449" s="17"/>
      <c r="D449" s="11"/>
      <c r="E449" s="11"/>
      <c r="F449" s="11"/>
      <c r="G449" s="11"/>
      <c r="H449" s="11"/>
      <c r="I449" s="11"/>
      <c r="J449" s="11"/>
      <c r="K449" s="11"/>
      <c r="L449" s="11"/>
      <c r="M449" s="11"/>
      <c r="N449" s="14"/>
    </row>
    <row r="450" spans="1:14" x14ac:dyDescent="0.35">
      <c r="A450" s="12"/>
      <c r="B450" s="17"/>
      <c r="C450" s="17"/>
      <c r="D450" s="11"/>
      <c r="E450" s="11"/>
      <c r="F450" s="11"/>
      <c r="G450" s="11"/>
      <c r="H450" s="11"/>
      <c r="I450" s="11"/>
      <c r="J450" s="11"/>
      <c r="K450" s="11"/>
      <c r="L450" s="11"/>
      <c r="M450" s="11"/>
      <c r="N450" s="14"/>
    </row>
    <row r="451" spans="1:14" x14ac:dyDescent="0.35">
      <c r="A451" s="12"/>
      <c r="B451" s="17"/>
      <c r="C451" s="17"/>
      <c r="D451" s="11"/>
      <c r="E451" s="11"/>
      <c r="F451" s="11"/>
      <c r="G451" s="11"/>
      <c r="H451" s="11"/>
      <c r="I451" s="11"/>
      <c r="J451" s="11"/>
      <c r="K451" s="11"/>
      <c r="L451" s="11"/>
      <c r="M451" s="11"/>
      <c r="N451" s="14"/>
    </row>
    <row r="452" spans="1:14" x14ac:dyDescent="0.35">
      <c r="A452" s="12"/>
      <c r="B452" s="17"/>
      <c r="C452" s="17"/>
      <c r="D452" s="11"/>
      <c r="E452" s="11"/>
      <c r="F452" s="11"/>
      <c r="G452" s="11"/>
      <c r="H452" s="11"/>
      <c r="I452" s="11"/>
      <c r="J452" s="11"/>
      <c r="K452" s="11"/>
      <c r="L452" s="11"/>
      <c r="M452" s="11"/>
      <c r="N452" s="14"/>
    </row>
    <row r="453" spans="1:14" x14ac:dyDescent="0.35">
      <c r="A453" s="12"/>
      <c r="B453" s="17"/>
      <c r="C453" s="17"/>
      <c r="D453" s="11"/>
      <c r="E453" s="11"/>
      <c r="F453" s="11"/>
      <c r="G453" s="11"/>
      <c r="H453" s="11"/>
      <c r="I453" s="11"/>
      <c r="J453" s="11"/>
      <c r="K453" s="11"/>
      <c r="L453" s="11"/>
      <c r="M453" s="11"/>
      <c r="N453" s="14"/>
    </row>
    <row r="454" spans="1:14" x14ac:dyDescent="0.35">
      <c r="A454" s="12"/>
      <c r="B454" s="17"/>
      <c r="C454" s="17"/>
      <c r="D454" s="11"/>
      <c r="E454" s="11"/>
      <c r="F454" s="11"/>
      <c r="G454" s="11"/>
      <c r="H454" s="11"/>
      <c r="I454" s="11"/>
      <c r="J454" s="11"/>
      <c r="K454" s="11"/>
      <c r="L454" s="11"/>
      <c r="M454" s="11"/>
      <c r="N454" s="14"/>
    </row>
    <row r="455" spans="1:14" x14ac:dyDescent="0.35">
      <c r="A455" s="12"/>
      <c r="B455" s="12"/>
      <c r="C455" s="12"/>
      <c r="D455" s="11"/>
      <c r="E455" s="11"/>
      <c r="F455" s="11"/>
      <c r="G455" s="11"/>
      <c r="H455" s="11"/>
      <c r="I455" s="11"/>
      <c r="J455" s="11"/>
      <c r="K455" s="11"/>
      <c r="L455" s="11"/>
      <c r="M455" s="11"/>
      <c r="N455" s="14"/>
    </row>
    <row r="456" spans="1:14" x14ac:dyDescent="0.35">
      <c r="A456" s="12"/>
      <c r="B456" s="17"/>
      <c r="C456" s="17"/>
      <c r="D456" s="11"/>
      <c r="E456" s="11"/>
      <c r="F456" s="11"/>
      <c r="G456" s="11"/>
      <c r="H456" s="11"/>
      <c r="I456" s="11"/>
      <c r="J456" s="11"/>
      <c r="K456" s="11"/>
      <c r="L456" s="11"/>
      <c r="M456" s="11"/>
      <c r="N456" s="14"/>
    </row>
    <row r="457" spans="1:14" x14ac:dyDescent="0.35">
      <c r="A457" s="12"/>
      <c r="B457" s="17"/>
      <c r="C457" s="17"/>
      <c r="D457" s="11"/>
      <c r="E457" s="11"/>
      <c r="F457" s="11"/>
      <c r="G457" s="11"/>
      <c r="H457" s="11"/>
      <c r="I457" s="11"/>
      <c r="J457" s="11"/>
      <c r="K457" s="11"/>
      <c r="L457" s="11"/>
      <c r="M457" s="11"/>
      <c r="N457" s="14"/>
    </row>
    <row r="458" spans="1:14" x14ac:dyDescent="0.35">
      <c r="A458" s="12"/>
      <c r="B458" s="12"/>
      <c r="C458" s="12"/>
      <c r="D458" s="11"/>
      <c r="E458" s="11"/>
      <c r="F458" s="11"/>
      <c r="G458" s="11"/>
      <c r="H458" s="11"/>
      <c r="I458" s="11"/>
      <c r="J458" s="11"/>
      <c r="K458" s="11"/>
      <c r="L458" s="11"/>
      <c r="M458" s="11"/>
      <c r="N458" s="14"/>
    </row>
    <row r="459" spans="1:14" x14ac:dyDescent="0.35">
      <c r="A459" s="12"/>
      <c r="B459" s="12"/>
      <c r="C459" s="12"/>
      <c r="D459" s="11"/>
      <c r="E459" s="11"/>
      <c r="F459" s="11"/>
      <c r="G459" s="11"/>
      <c r="H459" s="11"/>
      <c r="I459" s="11"/>
      <c r="J459" s="11"/>
      <c r="K459" s="11"/>
      <c r="L459" s="11"/>
      <c r="M459" s="11"/>
      <c r="N459" s="14"/>
    </row>
    <row r="460" spans="1:14" x14ac:dyDescent="0.35">
      <c r="A460" s="12"/>
      <c r="B460" s="12"/>
      <c r="C460" s="12"/>
      <c r="D460" s="11"/>
      <c r="E460" s="11"/>
      <c r="F460" s="11"/>
      <c r="G460" s="11"/>
      <c r="H460" s="11"/>
      <c r="I460" s="11"/>
      <c r="J460" s="11"/>
      <c r="K460" s="11"/>
      <c r="L460" s="11"/>
      <c r="M460" s="11"/>
      <c r="N460" s="14"/>
    </row>
    <row r="461" spans="1:14" x14ac:dyDescent="0.35">
      <c r="A461" s="12"/>
      <c r="B461" s="12"/>
      <c r="C461" s="12"/>
      <c r="D461" s="11"/>
      <c r="E461" s="11"/>
      <c r="F461" s="11"/>
      <c r="G461" s="11"/>
      <c r="H461" s="11"/>
      <c r="I461" s="11"/>
      <c r="J461" s="11"/>
      <c r="K461" s="11"/>
      <c r="L461" s="11"/>
      <c r="M461" s="11"/>
      <c r="N461" s="14"/>
    </row>
    <row r="462" spans="1:14" x14ac:dyDescent="0.35">
      <c r="A462" s="12"/>
      <c r="B462" s="12"/>
      <c r="C462" s="12"/>
      <c r="D462" s="11"/>
      <c r="E462" s="11"/>
      <c r="F462" s="11"/>
      <c r="G462" s="11"/>
      <c r="H462" s="11"/>
      <c r="I462" s="11"/>
      <c r="J462" s="11"/>
      <c r="K462" s="11"/>
      <c r="L462" s="11"/>
      <c r="M462" s="11"/>
      <c r="N462" s="14"/>
    </row>
    <row r="463" spans="1:14" x14ac:dyDescent="0.35">
      <c r="A463" s="12"/>
      <c r="B463" s="12"/>
      <c r="C463" s="12"/>
      <c r="D463" s="11"/>
      <c r="E463" s="11"/>
      <c r="F463" s="11"/>
      <c r="G463" s="11"/>
      <c r="H463" s="11"/>
      <c r="I463" s="11"/>
      <c r="J463" s="11"/>
      <c r="K463" s="11"/>
      <c r="L463" s="11"/>
      <c r="M463" s="11"/>
      <c r="N463" s="14"/>
    </row>
    <row r="464" spans="1:14" x14ac:dyDescent="0.35">
      <c r="A464" s="12"/>
      <c r="B464" s="12"/>
      <c r="C464" s="12"/>
      <c r="D464" s="11"/>
      <c r="E464" s="11"/>
      <c r="F464" s="11"/>
      <c r="G464" s="11"/>
      <c r="H464" s="11"/>
      <c r="I464" s="11"/>
      <c r="J464" s="11"/>
      <c r="K464" s="11"/>
      <c r="L464" s="11"/>
      <c r="M464" s="11"/>
      <c r="N464" s="14"/>
    </row>
    <row r="465" spans="1:14" x14ac:dyDescent="0.35">
      <c r="A465" s="12"/>
      <c r="B465" s="12"/>
      <c r="C465" s="12"/>
      <c r="D465" s="11"/>
      <c r="E465" s="11"/>
      <c r="F465" s="11"/>
      <c r="G465" s="11"/>
      <c r="H465" s="11"/>
      <c r="I465" s="11"/>
      <c r="J465" s="11"/>
      <c r="K465" s="11"/>
      <c r="L465" s="11"/>
      <c r="M465" s="11"/>
      <c r="N465" s="14"/>
    </row>
    <row r="466" spans="1:14" x14ac:dyDescent="0.35">
      <c r="A466" s="12"/>
      <c r="B466" s="12"/>
      <c r="C466" s="12"/>
      <c r="D466" s="11"/>
      <c r="E466" s="11"/>
      <c r="F466" s="11"/>
      <c r="G466" s="11"/>
      <c r="H466" s="11"/>
      <c r="I466" s="11"/>
      <c r="J466" s="11"/>
      <c r="K466" s="11"/>
      <c r="L466" s="11"/>
      <c r="M466" s="11"/>
      <c r="N466" s="14"/>
    </row>
    <row r="467" spans="1:14" x14ac:dyDescent="0.35">
      <c r="A467" s="12"/>
      <c r="B467" s="12"/>
      <c r="C467" s="12"/>
      <c r="D467" s="11"/>
      <c r="E467" s="11"/>
      <c r="F467" s="11"/>
      <c r="G467" s="11"/>
      <c r="H467" s="11"/>
      <c r="I467" s="11"/>
      <c r="J467" s="11"/>
      <c r="K467" s="11"/>
      <c r="L467" s="11"/>
      <c r="M467" s="11"/>
      <c r="N467" s="14"/>
    </row>
    <row r="468" spans="1:14" x14ac:dyDescent="0.35">
      <c r="A468" s="12"/>
      <c r="B468" s="12"/>
      <c r="C468" s="12"/>
      <c r="D468" s="11"/>
      <c r="E468" s="11"/>
      <c r="F468" s="11"/>
      <c r="G468" s="11"/>
      <c r="H468" s="11"/>
      <c r="I468" s="11"/>
      <c r="J468" s="11"/>
      <c r="K468" s="11"/>
      <c r="L468" s="11"/>
      <c r="M468" s="11"/>
      <c r="N468" s="14"/>
    </row>
    <row r="469" spans="1:14" x14ac:dyDescent="0.35">
      <c r="A469" s="12"/>
      <c r="B469" s="12"/>
      <c r="C469" s="12"/>
      <c r="D469" s="11"/>
      <c r="E469" s="11"/>
      <c r="F469" s="11"/>
      <c r="G469" s="11"/>
      <c r="H469" s="11"/>
      <c r="I469" s="11"/>
      <c r="J469" s="11"/>
      <c r="K469" s="11"/>
      <c r="L469" s="11"/>
      <c r="M469" s="11"/>
      <c r="N469" s="14"/>
    </row>
    <row r="470" spans="1:14" x14ac:dyDescent="0.35">
      <c r="A470" s="12"/>
      <c r="B470" s="12"/>
      <c r="C470" s="12"/>
      <c r="D470" s="11"/>
      <c r="E470" s="11"/>
      <c r="F470" s="11"/>
      <c r="G470" s="11"/>
      <c r="H470" s="11"/>
      <c r="I470" s="11"/>
      <c r="J470" s="11"/>
      <c r="K470" s="11"/>
      <c r="L470" s="11"/>
      <c r="M470" s="11"/>
      <c r="N470" s="14"/>
    </row>
    <row r="471" spans="1:14" x14ac:dyDescent="0.35">
      <c r="A471" s="12"/>
      <c r="B471" s="12"/>
      <c r="C471" s="12"/>
      <c r="D471" s="11"/>
      <c r="E471" s="11"/>
      <c r="F471" s="11"/>
      <c r="G471" s="11"/>
      <c r="H471" s="11"/>
      <c r="I471" s="11"/>
      <c r="J471" s="11"/>
      <c r="K471" s="11"/>
      <c r="L471" s="11"/>
      <c r="M471" s="11"/>
      <c r="N471" s="14"/>
    </row>
    <row r="472" spans="1:14" x14ac:dyDescent="0.35">
      <c r="A472" s="12"/>
      <c r="B472" s="12"/>
      <c r="C472" s="12"/>
      <c r="D472" s="11"/>
      <c r="E472" s="11"/>
      <c r="F472" s="11"/>
      <c r="G472" s="11"/>
      <c r="H472" s="11"/>
      <c r="I472" s="11"/>
      <c r="J472" s="11"/>
      <c r="K472" s="11"/>
      <c r="L472" s="11"/>
      <c r="M472" s="11"/>
      <c r="N472" s="14"/>
    </row>
    <row r="473" spans="1:14" x14ac:dyDescent="0.35">
      <c r="A473" s="12"/>
      <c r="B473" s="12"/>
      <c r="C473" s="12"/>
      <c r="D473" s="11"/>
      <c r="E473" s="11"/>
      <c r="F473" s="11"/>
      <c r="G473" s="11"/>
      <c r="H473" s="11"/>
      <c r="I473" s="11"/>
      <c r="J473" s="11"/>
      <c r="K473" s="11"/>
      <c r="L473" s="11"/>
      <c r="M473" s="11"/>
      <c r="N473" s="14"/>
    </row>
    <row r="474" spans="1:14" x14ac:dyDescent="0.35">
      <c r="A474" s="12"/>
      <c r="B474" s="12"/>
      <c r="C474" s="12"/>
      <c r="D474" s="11"/>
      <c r="E474" s="11"/>
      <c r="F474" s="11"/>
      <c r="G474" s="11"/>
      <c r="H474" s="11"/>
      <c r="I474" s="11"/>
      <c r="J474" s="11"/>
      <c r="K474" s="11"/>
      <c r="L474" s="11"/>
      <c r="M474" s="11"/>
      <c r="N474" s="14"/>
    </row>
    <row r="475" spans="1:14" x14ac:dyDescent="0.35">
      <c r="A475" s="12"/>
      <c r="B475" s="12"/>
      <c r="C475" s="12"/>
      <c r="D475" s="11"/>
      <c r="E475" s="11"/>
      <c r="F475" s="11"/>
      <c r="G475" s="11"/>
      <c r="H475" s="11"/>
      <c r="I475" s="11"/>
      <c r="J475" s="11"/>
      <c r="K475" s="11"/>
      <c r="L475" s="11"/>
      <c r="M475" s="11"/>
      <c r="N475" s="14"/>
    </row>
    <row r="476" spans="1:14" s="21" customFormat="1" x14ac:dyDescent="0.35">
      <c r="A476" s="18"/>
      <c r="B476" s="18"/>
      <c r="C476" s="18"/>
      <c r="D476" s="19"/>
      <c r="E476" s="19"/>
      <c r="F476" s="19"/>
      <c r="G476" s="19"/>
      <c r="H476" s="19"/>
      <c r="I476" s="19"/>
      <c r="J476" s="19"/>
      <c r="K476" s="19"/>
      <c r="L476" s="19"/>
      <c r="M476" s="19"/>
      <c r="N476" s="20"/>
    </row>
    <row r="477" spans="1:14" x14ac:dyDescent="0.35">
      <c r="A477" s="12"/>
      <c r="B477" s="12"/>
      <c r="C477" s="12"/>
      <c r="D477" s="11"/>
      <c r="E477" s="11"/>
      <c r="F477" s="11"/>
      <c r="G477" s="11"/>
      <c r="H477" s="11"/>
      <c r="I477" s="11"/>
      <c r="J477" s="11"/>
      <c r="K477" s="11"/>
      <c r="L477" s="11"/>
      <c r="M477" s="11"/>
      <c r="N477" s="14"/>
    </row>
    <row r="478" spans="1:14" x14ac:dyDescent="0.35">
      <c r="A478" s="12"/>
      <c r="B478" s="17"/>
      <c r="C478" s="17"/>
      <c r="D478" s="11"/>
      <c r="E478" s="11"/>
      <c r="F478" s="11"/>
      <c r="G478" s="11"/>
      <c r="H478" s="11"/>
      <c r="I478" s="11"/>
      <c r="J478" s="11"/>
      <c r="K478" s="11"/>
      <c r="L478" s="11"/>
      <c r="M478" s="11"/>
      <c r="N478" s="14"/>
    </row>
    <row r="479" spans="1:14" x14ac:dyDescent="0.35">
      <c r="A479" s="12"/>
      <c r="B479" s="17"/>
      <c r="C479" s="17"/>
      <c r="D479" s="11"/>
      <c r="E479" s="11"/>
      <c r="F479" s="11"/>
      <c r="G479" s="11"/>
      <c r="H479" s="11"/>
      <c r="I479" s="11"/>
      <c r="J479" s="11"/>
      <c r="K479" s="11"/>
      <c r="L479" s="11"/>
      <c r="M479" s="11"/>
      <c r="N479" s="14"/>
    </row>
    <row r="480" spans="1:14" x14ac:dyDescent="0.35">
      <c r="A480" s="12"/>
      <c r="B480" s="17"/>
      <c r="C480" s="17"/>
      <c r="D480" s="11"/>
      <c r="E480" s="11"/>
      <c r="F480" s="11"/>
      <c r="G480" s="11"/>
      <c r="H480" s="11"/>
      <c r="I480" s="11"/>
      <c r="J480" s="11"/>
      <c r="K480" s="11"/>
      <c r="L480" s="11"/>
      <c r="M480" s="11"/>
      <c r="N480" s="14"/>
    </row>
    <row r="481" spans="1:14" x14ac:dyDescent="0.35">
      <c r="A481" s="12"/>
      <c r="B481" s="17"/>
      <c r="C481" s="17"/>
      <c r="D481" s="11"/>
      <c r="E481" s="11"/>
      <c r="F481" s="11"/>
      <c r="G481" s="11"/>
      <c r="H481" s="11"/>
      <c r="I481" s="11"/>
      <c r="J481" s="11"/>
      <c r="K481" s="11"/>
      <c r="L481" s="11"/>
      <c r="M481" s="11"/>
      <c r="N481" s="14"/>
    </row>
    <row r="482" spans="1:14" x14ac:dyDescent="0.35">
      <c r="A482" s="12"/>
      <c r="B482" s="17"/>
      <c r="C482" s="17"/>
      <c r="D482" s="11"/>
      <c r="E482" s="11"/>
      <c r="F482" s="11"/>
      <c r="G482" s="11"/>
      <c r="H482" s="11"/>
      <c r="I482" s="11"/>
      <c r="J482" s="11"/>
      <c r="K482" s="11"/>
      <c r="L482" s="11"/>
      <c r="M482" s="11"/>
      <c r="N482" s="14"/>
    </row>
    <row r="483" spans="1:14" x14ac:dyDescent="0.35">
      <c r="A483" s="12"/>
      <c r="B483" s="17"/>
      <c r="C483" s="17"/>
      <c r="D483" s="11"/>
      <c r="E483" s="11"/>
      <c r="F483" s="11"/>
      <c r="G483" s="11"/>
      <c r="H483" s="11"/>
      <c r="I483" s="11"/>
      <c r="J483" s="11"/>
      <c r="K483" s="11"/>
      <c r="L483" s="11"/>
      <c r="M483" s="11"/>
      <c r="N483" s="14"/>
    </row>
    <row r="484" spans="1:14" x14ac:dyDescent="0.35">
      <c r="A484" s="12"/>
      <c r="B484" s="17"/>
      <c r="C484" s="17"/>
      <c r="D484" s="11"/>
      <c r="E484" s="11"/>
      <c r="F484" s="11"/>
      <c r="G484" s="11"/>
      <c r="H484" s="11"/>
      <c r="I484" s="11"/>
      <c r="J484" s="11"/>
      <c r="K484" s="11"/>
      <c r="L484" s="11"/>
      <c r="M484" s="11"/>
      <c r="N484" s="14"/>
    </row>
    <row r="485" spans="1:14" x14ac:dyDescent="0.35">
      <c r="A485" s="12"/>
      <c r="B485" s="17"/>
      <c r="C485" s="17"/>
      <c r="D485" s="11"/>
      <c r="E485" s="11"/>
      <c r="F485" s="11"/>
      <c r="G485" s="11"/>
      <c r="H485" s="11"/>
      <c r="I485" s="11"/>
      <c r="J485" s="11"/>
      <c r="K485" s="11"/>
      <c r="L485" s="11"/>
      <c r="M485" s="11"/>
      <c r="N485" s="14"/>
    </row>
    <row r="486" spans="1:14" x14ac:dyDescent="0.35">
      <c r="A486" s="12"/>
      <c r="B486" s="12"/>
      <c r="C486" s="12"/>
      <c r="D486" s="11"/>
      <c r="E486" s="11"/>
      <c r="F486" s="11"/>
      <c r="G486" s="11"/>
      <c r="H486" s="11"/>
      <c r="I486" s="11"/>
      <c r="J486" s="11"/>
      <c r="K486" s="11"/>
      <c r="L486" s="11"/>
      <c r="M486" s="11"/>
      <c r="N486" s="14"/>
    </row>
    <row r="487" spans="1:14" x14ac:dyDescent="0.35">
      <c r="A487" s="12"/>
      <c r="B487" s="17"/>
      <c r="C487" s="17"/>
      <c r="D487" s="11"/>
      <c r="E487" s="11"/>
      <c r="F487" s="11"/>
      <c r="G487" s="11"/>
      <c r="H487" s="11"/>
      <c r="I487" s="11"/>
      <c r="J487" s="11"/>
      <c r="K487" s="11"/>
      <c r="L487" s="11"/>
      <c r="M487" s="11"/>
      <c r="N487" s="14"/>
    </row>
    <row r="488" spans="1:14" x14ac:dyDescent="0.35">
      <c r="A488" s="12"/>
      <c r="B488" s="17"/>
      <c r="C488" s="17"/>
      <c r="D488" s="11"/>
      <c r="E488" s="11"/>
      <c r="F488" s="11"/>
      <c r="G488" s="11"/>
      <c r="H488" s="11"/>
      <c r="I488" s="11"/>
      <c r="J488" s="11"/>
      <c r="K488" s="11"/>
      <c r="L488" s="11"/>
      <c r="M488" s="11"/>
      <c r="N488" s="14"/>
    </row>
    <row r="489" spans="1:14" x14ac:dyDescent="0.35">
      <c r="A489" s="12"/>
      <c r="B489" s="17"/>
      <c r="C489" s="17"/>
      <c r="D489" s="11"/>
      <c r="E489" s="11"/>
      <c r="F489" s="11"/>
      <c r="G489" s="11"/>
      <c r="H489" s="11"/>
      <c r="I489" s="11"/>
      <c r="J489" s="11"/>
      <c r="K489" s="11"/>
      <c r="L489" s="11"/>
      <c r="M489" s="11"/>
      <c r="N489" s="14"/>
    </row>
    <row r="490" spans="1:14" x14ac:dyDescent="0.35">
      <c r="A490" s="12"/>
      <c r="B490" s="17"/>
      <c r="C490" s="17"/>
      <c r="D490" s="11"/>
      <c r="E490" s="11"/>
      <c r="F490" s="11"/>
      <c r="G490" s="11"/>
      <c r="H490" s="11"/>
      <c r="I490" s="11"/>
      <c r="J490" s="11"/>
      <c r="K490" s="11"/>
      <c r="L490" s="11"/>
      <c r="M490" s="11"/>
      <c r="N490" s="14"/>
    </row>
    <row r="491" spans="1:14" x14ac:dyDescent="0.35">
      <c r="A491" s="12"/>
      <c r="B491" s="12"/>
      <c r="C491" s="12"/>
      <c r="D491" s="11"/>
      <c r="E491" s="11"/>
      <c r="F491" s="11"/>
      <c r="G491" s="11"/>
      <c r="H491" s="11"/>
      <c r="I491" s="11"/>
      <c r="J491" s="11"/>
      <c r="K491" s="11"/>
      <c r="L491" s="11"/>
      <c r="M491" s="11"/>
      <c r="N491" s="14"/>
    </row>
    <row r="492" spans="1:14" x14ac:dyDescent="0.35">
      <c r="A492" s="12"/>
      <c r="B492" s="17"/>
      <c r="C492" s="17"/>
      <c r="D492" s="11"/>
      <c r="E492" s="11"/>
      <c r="F492" s="11"/>
      <c r="G492" s="11"/>
      <c r="H492" s="11"/>
      <c r="I492" s="11"/>
      <c r="J492" s="11"/>
      <c r="K492" s="11"/>
      <c r="L492" s="11"/>
      <c r="M492" s="11"/>
      <c r="N492" s="14"/>
    </row>
    <row r="493" spans="1:14" x14ac:dyDescent="0.35">
      <c r="A493" s="12"/>
      <c r="B493" s="17"/>
      <c r="C493" s="17"/>
      <c r="D493" s="11"/>
      <c r="E493" s="11"/>
      <c r="F493" s="11"/>
      <c r="G493" s="11"/>
      <c r="H493" s="11"/>
      <c r="I493" s="11"/>
      <c r="J493" s="11"/>
      <c r="K493" s="11"/>
      <c r="L493" s="11"/>
      <c r="M493" s="11"/>
      <c r="N493" s="14"/>
    </row>
    <row r="494" spans="1:14" x14ac:dyDescent="0.35">
      <c r="A494" s="12"/>
      <c r="B494" s="17"/>
      <c r="C494" s="17"/>
      <c r="D494" s="11"/>
      <c r="E494" s="11"/>
      <c r="F494" s="11"/>
      <c r="G494" s="11"/>
      <c r="H494" s="11"/>
      <c r="I494" s="11"/>
      <c r="J494" s="11"/>
      <c r="K494" s="11"/>
      <c r="L494" s="11"/>
      <c r="M494" s="11"/>
      <c r="N494" s="14"/>
    </row>
    <row r="495" spans="1:14" x14ac:dyDescent="0.35">
      <c r="A495" s="12"/>
      <c r="B495" s="17"/>
      <c r="C495" s="17"/>
      <c r="D495" s="11"/>
      <c r="E495" s="11"/>
      <c r="F495" s="11"/>
      <c r="G495" s="11"/>
      <c r="H495" s="11"/>
      <c r="I495" s="11"/>
      <c r="J495" s="11"/>
      <c r="K495" s="11"/>
      <c r="L495" s="11"/>
      <c r="M495" s="11"/>
      <c r="N495" s="14"/>
    </row>
    <row r="496" spans="1:14" x14ac:dyDescent="0.35">
      <c r="A496" s="17"/>
      <c r="B496" s="17"/>
      <c r="C496" s="17"/>
      <c r="D496" s="11"/>
      <c r="E496" s="11"/>
      <c r="F496" s="11"/>
      <c r="G496" s="11"/>
      <c r="H496" s="11"/>
      <c r="I496" s="11"/>
      <c r="J496" s="11"/>
      <c r="K496" s="11"/>
      <c r="L496" s="11"/>
      <c r="M496" s="11"/>
      <c r="N496" s="14"/>
    </row>
    <row r="497" spans="1:14" x14ac:dyDescent="0.35">
      <c r="A497" s="12"/>
      <c r="B497" s="12"/>
      <c r="C497" s="12"/>
      <c r="D497" s="11"/>
      <c r="E497" s="11"/>
      <c r="F497" s="11"/>
      <c r="G497" s="11"/>
      <c r="H497" s="11"/>
      <c r="I497" s="11"/>
      <c r="J497" s="11"/>
      <c r="K497" s="11"/>
      <c r="L497" s="11"/>
      <c r="M497" s="11"/>
      <c r="N497" s="14"/>
    </row>
    <row r="498" spans="1:14" x14ac:dyDescent="0.35">
      <c r="A498" s="12"/>
      <c r="B498" s="12"/>
      <c r="C498" s="12"/>
      <c r="D498" s="11"/>
      <c r="E498" s="11"/>
      <c r="F498" s="11"/>
      <c r="G498" s="11"/>
      <c r="H498" s="11"/>
      <c r="I498" s="11"/>
      <c r="J498" s="11"/>
      <c r="K498" s="11"/>
      <c r="L498" s="11"/>
      <c r="M498" s="11"/>
      <c r="N498" s="14"/>
    </row>
    <row r="499" spans="1:14" x14ac:dyDescent="0.35">
      <c r="A499" s="12"/>
      <c r="B499" s="17"/>
      <c r="C499" s="17"/>
      <c r="D499" s="11"/>
      <c r="E499" s="11"/>
      <c r="F499" s="11"/>
      <c r="G499" s="11"/>
      <c r="H499" s="11"/>
      <c r="I499" s="11"/>
      <c r="J499" s="11"/>
      <c r="K499" s="11"/>
      <c r="L499" s="11"/>
      <c r="M499" s="11"/>
      <c r="N499" s="14"/>
    </row>
    <row r="500" spans="1:14" x14ac:dyDescent="0.35">
      <c r="A500" s="12"/>
      <c r="B500" s="17"/>
      <c r="C500" s="17"/>
      <c r="D500" s="11"/>
      <c r="E500" s="11"/>
      <c r="F500" s="11"/>
      <c r="G500" s="11"/>
      <c r="H500" s="11"/>
      <c r="I500" s="11"/>
      <c r="J500" s="11"/>
      <c r="K500" s="11"/>
      <c r="L500" s="11"/>
      <c r="M500" s="11"/>
      <c r="N500" s="14"/>
    </row>
    <row r="501" spans="1:14" x14ac:dyDescent="0.35">
      <c r="A501" s="12"/>
      <c r="B501" s="17"/>
      <c r="C501" s="17"/>
      <c r="D501" s="11"/>
      <c r="E501" s="11"/>
      <c r="F501" s="11"/>
      <c r="G501" s="11"/>
      <c r="H501" s="11"/>
      <c r="I501" s="11"/>
      <c r="J501" s="11"/>
      <c r="K501" s="11"/>
      <c r="L501" s="11"/>
      <c r="M501" s="11"/>
      <c r="N501" s="14"/>
    </row>
    <row r="502" spans="1:14" x14ac:dyDescent="0.35">
      <c r="A502" s="12"/>
      <c r="B502" s="17"/>
      <c r="C502" s="17"/>
      <c r="D502" s="11"/>
      <c r="E502" s="11"/>
      <c r="F502" s="11"/>
      <c r="G502" s="11"/>
      <c r="H502" s="11"/>
      <c r="I502" s="11"/>
      <c r="J502" s="11"/>
      <c r="K502" s="11"/>
      <c r="L502" s="11"/>
      <c r="M502" s="11"/>
      <c r="N502" s="14"/>
    </row>
    <row r="503" spans="1:14" x14ac:dyDescent="0.35">
      <c r="A503" s="12"/>
      <c r="B503" s="17"/>
      <c r="C503" s="17"/>
      <c r="D503" s="11"/>
      <c r="E503" s="11"/>
      <c r="F503" s="11"/>
      <c r="G503" s="11"/>
      <c r="H503" s="11"/>
      <c r="I503" s="11"/>
      <c r="J503" s="11"/>
      <c r="K503" s="11"/>
      <c r="L503" s="11"/>
      <c r="M503" s="11"/>
      <c r="N503" s="14"/>
    </row>
    <row r="504" spans="1:14" x14ac:dyDescent="0.35">
      <c r="A504" s="12"/>
      <c r="B504" s="17"/>
      <c r="C504" s="17"/>
      <c r="D504" s="11"/>
      <c r="E504" s="11"/>
      <c r="F504" s="11"/>
      <c r="G504" s="11"/>
      <c r="H504" s="11"/>
      <c r="I504" s="11"/>
      <c r="J504" s="11"/>
      <c r="K504" s="11"/>
      <c r="L504" s="11"/>
      <c r="M504" s="11"/>
      <c r="N504" s="14"/>
    </row>
    <row r="505" spans="1:14" x14ac:dyDescent="0.35">
      <c r="A505" s="12"/>
      <c r="B505" s="17"/>
      <c r="C505" s="17"/>
      <c r="D505" s="11"/>
      <c r="E505" s="11"/>
      <c r="F505" s="11"/>
      <c r="G505" s="11"/>
      <c r="H505" s="11"/>
      <c r="I505" s="11"/>
      <c r="J505" s="11"/>
      <c r="K505" s="11"/>
      <c r="L505" s="11"/>
      <c r="M505" s="11"/>
      <c r="N505" s="14"/>
    </row>
    <row r="506" spans="1:14" ht="31.5" customHeight="1" x14ac:dyDescent="0.35">
      <c r="A506" s="12"/>
      <c r="B506" s="17"/>
      <c r="C506" s="17"/>
      <c r="D506" s="11"/>
      <c r="E506" s="11"/>
      <c r="F506" s="11"/>
      <c r="G506" s="11"/>
      <c r="H506" s="11"/>
      <c r="I506" s="11"/>
      <c r="J506" s="11"/>
      <c r="K506" s="11"/>
      <c r="L506" s="11"/>
      <c r="M506" s="11"/>
      <c r="N506" s="14"/>
    </row>
    <row r="507" spans="1:14" x14ac:dyDescent="0.35">
      <c r="A507" s="12"/>
      <c r="B507" s="17"/>
      <c r="C507" s="17"/>
      <c r="D507" s="11"/>
      <c r="E507" s="11"/>
      <c r="F507" s="11"/>
      <c r="G507" s="11"/>
      <c r="H507" s="11"/>
      <c r="I507" s="11"/>
      <c r="J507" s="11"/>
      <c r="K507" s="11"/>
      <c r="L507" s="11"/>
      <c r="M507" s="11"/>
      <c r="N507" s="14"/>
    </row>
    <row r="508" spans="1:14" x14ac:dyDescent="0.35">
      <c r="A508" s="12"/>
      <c r="B508" s="12"/>
      <c r="C508" s="12"/>
      <c r="D508" s="11"/>
      <c r="E508" s="11"/>
      <c r="F508" s="11"/>
      <c r="G508" s="11"/>
      <c r="H508" s="11"/>
      <c r="I508" s="11"/>
      <c r="J508" s="11"/>
      <c r="K508" s="11"/>
      <c r="L508" s="11"/>
      <c r="M508" s="11"/>
      <c r="N508" s="14"/>
    </row>
    <row r="509" spans="1:14" x14ac:dyDescent="0.35">
      <c r="A509" s="12"/>
      <c r="B509" s="17"/>
      <c r="C509" s="17"/>
      <c r="D509" s="11"/>
      <c r="E509" s="11"/>
      <c r="F509" s="11"/>
      <c r="G509" s="11"/>
      <c r="H509" s="11"/>
      <c r="I509" s="11"/>
      <c r="J509" s="11"/>
      <c r="K509" s="11"/>
      <c r="L509" s="11"/>
      <c r="M509" s="11"/>
      <c r="N509" s="14"/>
    </row>
    <row r="510" spans="1:14" x14ac:dyDescent="0.35">
      <c r="A510" s="12"/>
      <c r="B510" s="17"/>
      <c r="C510" s="17"/>
      <c r="D510" s="11"/>
      <c r="E510" s="11"/>
      <c r="F510" s="11"/>
      <c r="G510" s="11"/>
      <c r="H510" s="11"/>
      <c r="I510" s="11"/>
      <c r="J510" s="11"/>
      <c r="K510" s="11"/>
      <c r="L510" s="11"/>
      <c r="M510" s="11"/>
      <c r="N510" s="14"/>
    </row>
    <row r="511" spans="1:14" x14ac:dyDescent="0.35">
      <c r="A511" s="12"/>
      <c r="B511" s="17"/>
      <c r="C511" s="17"/>
      <c r="D511" s="11"/>
      <c r="E511" s="11"/>
      <c r="F511" s="11"/>
      <c r="G511" s="11"/>
      <c r="H511" s="11"/>
      <c r="I511" s="11"/>
      <c r="J511" s="11"/>
      <c r="K511" s="11"/>
      <c r="L511" s="11"/>
      <c r="M511" s="11"/>
      <c r="N511" s="14"/>
    </row>
    <row r="512" spans="1:14" x14ac:dyDescent="0.35">
      <c r="A512" s="12"/>
      <c r="B512" s="17"/>
      <c r="C512" s="17"/>
      <c r="D512" s="11"/>
      <c r="E512" s="11"/>
      <c r="F512" s="11"/>
      <c r="G512" s="11"/>
      <c r="H512" s="11"/>
      <c r="I512" s="11"/>
      <c r="J512" s="11"/>
      <c r="K512" s="11"/>
      <c r="L512" s="11"/>
      <c r="M512" s="11"/>
      <c r="N512" s="14"/>
    </row>
    <row r="513" spans="1:14" x14ac:dyDescent="0.35">
      <c r="A513" s="12"/>
      <c r="B513" s="17"/>
      <c r="C513" s="17"/>
      <c r="D513" s="11"/>
      <c r="E513" s="11"/>
      <c r="F513" s="11"/>
      <c r="G513" s="11"/>
      <c r="H513" s="11"/>
      <c r="I513" s="11"/>
      <c r="J513" s="11"/>
      <c r="K513" s="11"/>
      <c r="L513" s="11"/>
      <c r="M513" s="11"/>
      <c r="N513" s="14"/>
    </row>
    <row r="514" spans="1:14" x14ac:dyDescent="0.35">
      <c r="A514" s="12"/>
      <c r="B514" s="17"/>
      <c r="C514" s="17"/>
      <c r="D514" s="11"/>
      <c r="E514" s="11"/>
      <c r="F514" s="11"/>
      <c r="G514" s="11"/>
      <c r="H514" s="11"/>
      <c r="I514" s="11"/>
      <c r="J514" s="11"/>
      <c r="K514" s="11"/>
      <c r="L514" s="11"/>
      <c r="M514" s="11"/>
      <c r="N514" s="14"/>
    </row>
    <row r="515" spans="1:14" x14ac:dyDescent="0.35">
      <c r="A515" s="12"/>
      <c r="B515" s="17"/>
      <c r="C515" s="17"/>
      <c r="D515" s="11"/>
      <c r="E515" s="11"/>
      <c r="F515" s="11"/>
      <c r="G515" s="11"/>
      <c r="H515" s="11"/>
      <c r="I515" s="11"/>
      <c r="J515" s="11"/>
      <c r="K515" s="11"/>
      <c r="L515" s="11"/>
      <c r="M515" s="11"/>
      <c r="N515" s="14"/>
    </row>
    <row r="516" spans="1:14" x14ac:dyDescent="0.35">
      <c r="A516" s="12"/>
      <c r="B516" s="17"/>
      <c r="C516" s="17"/>
      <c r="D516" s="11"/>
      <c r="E516" s="11"/>
      <c r="F516" s="11"/>
      <c r="G516" s="11"/>
      <c r="H516" s="11"/>
      <c r="I516" s="11"/>
      <c r="J516" s="11"/>
      <c r="K516" s="11"/>
      <c r="L516" s="11"/>
      <c r="M516" s="11"/>
      <c r="N516" s="14"/>
    </row>
    <row r="517" spans="1:14" x14ac:dyDescent="0.35">
      <c r="A517" s="12"/>
      <c r="B517" s="17"/>
      <c r="C517" s="17"/>
      <c r="D517" s="11"/>
      <c r="E517" s="11"/>
      <c r="F517" s="11"/>
      <c r="G517" s="11"/>
      <c r="H517" s="11"/>
      <c r="I517" s="11"/>
      <c r="J517" s="11"/>
      <c r="K517" s="11"/>
      <c r="L517" s="11"/>
      <c r="M517" s="11"/>
      <c r="N517" s="14"/>
    </row>
    <row r="518" spans="1:14" x14ac:dyDescent="0.35">
      <c r="A518" s="12"/>
      <c r="B518" s="17"/>
      <c r="C518" s="17"/>
      <c r="D518" s="11"/>
      <c r="E518" s="11"/>
      <c r="F518" s="11"/>
      <c r="G518" s="11"/>
      <c r="H518" s="11"/>
      <c r="I518" s="11"/>
      <c r="J518" s="11"/>
      <c r="K518" s="11"/>
      <c r="L518" s="11"/>
      <c r="M518" s="11"/>
      <c r="N518" s="14"/>
    </row>
    <row r="519" spans="1:14" x14ac:dyDescent="0.35">
      <c r="A519" s="12"/>
      <c r="B519" s="12"/>
      <c r="C519" s="12"/>
      <c r="D519" s="11"/>
      <c r="E519" s="11"/>
      <c r="F519" s="11"/>
      <c r="G519" s="11"/>
      <c r="H519" s="11"/>
      <c r="I519" s="11"/>
      <c r="J519" s="11"/>
      <c r="K519" s="11"/>
      <c r="L519" s="11"/>
      <c r="M519" s="11"/>
      <c r="N519" s="14"/>
    </row>
    <row r="520" spans="1:14" x14ac:dyDescent="0.35">
      <c r="A520" s="12"/>
      <c r="B520" s="17"/>
      <c r="C520" s="17"/>
      <c r="D520" s="11"/>
      <c r="E520" s="11"/>
      <c r="F520" s="11"/>
      <c r="G520" s="11"/>
      <c r="H520" s="11"/>
      <c r="I520" s="11"/>
      <c r="J520" s="11"/>
      <c r="K520" s="11"/>
      <c r="L520" s="11"/>
      <c r="M520" s="11"/>
      <c r="N520" s="14"/>
    </row>
    <row r="521" spans="1:14" x14ac:dyDescent="0.35">
      <c r="A521" s="12"/>
      <c r="B521" s="17"/>
      <c r="C521" s="17"/>
      <c r="D521" s="11"/>
      <c r="E521" s="11"/>
      <c r="F521" s="11"/>
      <c r="G521" s="11"/>
      <c r="H521" s="11"/>
      <c r="I521" s="11"/>
      <c r="J521" s="11"/>
      <c r="K521" s="11"/>
      <c r="L521" s="11"/>
      <c r="M521" s="11"/>
      <c r="N521" s="14"/>
    </row>
    <row r="522" spans="1:14" x14ac:dyDescent="0.35">
      <c r="A522" s="12"/>
      <c r="B522" s="17"/>
      <c r="C522" s="17"/>
      <c r="D522" s="11"/>
      <c r="E522" s="11"/>
      <c r="F522" s="11"/>
      <c r="G522" s="11"/>
      <c r="H522" s="11"/>
      <c r="I522" s="11"/>
      <c r="J522" s="11"/>
      <c r="K522" s="11"/>
      <c r="L522" s="11"/>
      <c r="M522" s="11"/>
      <c r="N522" s="14"/>
    </row>
    <row r="523" spans="1:14" x14ac:dyDescent="0.35">
      <c r="A523" s="12"/>
      <c r="B523" s="17"/>
      <c r="C523" s="17"/>
      <c r="D523" s="11"/>
      <c r="E523" s="11"/>
      <c r="F523" s="11"/>
      <c r="G523" s="11"/>
      <c r="H523" s="11"/>
      <c r="I523" s="11"/>
      <c r="J523" s="11"/>
      <c r="K523" s="11"/>
      <c r="L523" s="11"/>
      <c r="M523" s="11"/>
      <c r="N523" s="14"/>
    </row>
    <row r="524" spans="1:14" x14ac:dyDescent="0.35">
      <c r="A524" s="12"/>
      <c r="B524" s="12"/>
      <c r="C524" s="12"/>
      <c r="D524" s="11"/>
      <c r="E524" s="11"/>
      <c r="F524" s="11"/>
      <c r="G524" s="11"/>
      <c r="H524" s="11"/>
      <c r="I524" s="11"/>
      <c r="J524" s="11"/>
      <c r="K524" s="11"/>
      <c r="L524" s="11"/>
      <c r="M524" s="11"/>
      <c r="N524" s="14"/>
    </row>
    <row r="525" spans="1:14" x14ac:dyDescent="0.35">
      <c r="A525" s="12"/>
      <c r="B525" s="12"/>
      <c r="C525" s="12"/>
      <c r="D525" s="11"/>
      <c r="E525" s="11"/>
      <c r="F525" s="11"/>
      <c r="G525" s="11"/>
      <c r="H525" s="11"/>
      <c r="I525" s="11"/>
      <c r="J525" s="11"/>
      <c r="K525" s="11"/>
      <c r="L525" s="11"/>
      <c r="M525" s="11"/>
      <c r="N525" s="14"/>
    </row>
    <row r="526" spans="1:14" x14ac:dyDescent="0.35">
      <c r="A526" s="12"/>
      <c r="B526" s="17"/>
      <c r="C526" s="17"/>
      <c r="D526" s="11"/>
      <c r="E526" s="11"/>
      <c r="F526" s="11"/>
      <c r="G526" s="11"/>
      <c r="H526" s="11"/>
      <c r="I526" s="11"/>
      <c r="J526" s="11"/>
      <c r="K526" s="11"/>
      <c r="L526" s="11"/>
      <c r="M526" s="11"/>
      <c r="N526" s="14"/>
    </row>
    <row r="527" spans="1:14" x14ac:dyDescent="0.35">
      <c r="A527" s="12"/>
      <c r="B527" s="17"/>
      <c r="C527" s="17"/>
      <c r="D527" s="11"/>
      <c r="E527" s="11"/>
      <c r="F527" s="11"/>
      <c r="G527" s="11"/>
      <c r="H527" s="11"/>
      <c r="I527" s="11"/>
      <c r="J527" s="11"/>
      <c r="K527" s="11"/>
      <c r="L527" s="11"/>
      <c r="M527" s="11"/>
      <c r="N527" s="14"/>
    </row>
    <row r="528" spans="1:14" x14ac:dyDescent="0.35">
      <c r="A528" s="12"/>
      <c r="B528" s="17"/>
      <c r="C528" s="17"/>
      <c r="D528" s="11"/>
      <c r="E528" s="11"/>
      <c r="F528" s="11"/>
      <c r="G528" s="11"/>
      <c r="H528" s="11"/>
      <c r="I528" s="11"/>
      <c r="J528" s="11"/>
      <c r="K528" s="11"/>
      <c r="L528" s="11"/>
      <c r="M528" s="11"/>
      <c r="N528" s="14"/>
    </row>
    <row r="529" spans="1:14" x14ac:dyDescent="0.35">
      <c r="A529" s="12"/>
      <c r="B529" s="17"/>
      <c r="C529" s="17"/>
      <c r="D529" s="11"/>
      <c r="E529" s="11"/>
      <c r="F529" s="11"/>
      <c r="G529" s="11"/>
      <c r="H529" s="11"/>
      <c r="I529" s="11"/>
      <c r="J529" s="11"/>
      <c r="K529" s="11"/>
      <c r="L529" s="11"/>
      <c r="M529" s="11"/>
      <c r="N529" s="14"/>
    </row>
    <row r="530" spans="1:14" x14ac:dyDescent="0.35">
      <c r="A530" s="12"/>
      <c r="B530" s="17"/>
      <c r="C530" s="17"/>
      <c r="D530" s="11"/>
      <c r="E530" s="11"/>
      <c r="F530" s="11"/>
      <c r="G530" s="11"/>
      <c r="H530" s="11"/>
      <c r="I530" s="11"/>
      <c r="J530" s="11"/>
      <c r="K530" s="11"/>
      <c r="L530" s="11"/>
      <c r="M530" s="11"/>
      <c r="N530" s="14"/>
    </row>
    <row r="531" spans="1:14" x14ac:dyDescent="0.35">
      <c r="A531" s="12"/>
      <c r="B531" s="17"/>
      <c r="C531" s="17"/>
      <c r="D531" s="11"/>
      <c r="E531" s="11"/>
      <c r="F531" s="11"/>
      <c r="G531" s="11"/>
      <c r="H531" s="11"/>
      <c r="I531" s="11"/>
      <c r="J531" s="11"/>
      <c r="K531" s="11"/>
      <c r="L531" s="11"/>
      <c r="M531" s="11"/>
      <c r="N531" s="14"/>
    </row>
    <row r="532" spans="1:14" x14ac:dyDescent="0.35">
      <c r="A532" s="12"/>
      <c r="B532" s="17"/>
      <c r="C532" s="17"/>
      <c r="D532" s="11"/>
      <c r="E532" s="11"/>
      <c r="F532" s="11"/>
      <c r="G532" s="11"/>
      <c r="H532" s="11"/>
      <c r="I532" s="11"/>
      <c r="J532" s="11"/>
      <c r="K532" s="11"/>
      <c r="L532" s="11"/>
      <c r="M532" s="11"/>
      <c r="N532" s="14"/>
    </row>
    <row r="533" spans="1:14" x14ac:dyDescent="0.35">
      <c r="A533" s="12"/>
      <c r="B533" s="17"/>
      <c r="C533" s="17"/>
      <c r="D533" s="11"/>
      <c r="E533" s="11"/>
      <c r="F533" s="11"/>
      <c r="G533" s="11"/>
      <c r="H533" s="11"/>
      <c r="I533" s="11"/>
      <c r="J533" s="11"/>
      <c r="K533" s="11"/>
      <c r="L533" s="11"/>
      <c r="M533" s="11"/>
      <c r="N533" s="14"/>
    </row>
    <row r="534" spans="1:14" x14ac:dyDescent="0.35">
      <c r="A534" s="12"/>
      <c r="B534" s="17"/>
      <c r="C534" s="17"/>
      <c r="D534" s="11"/>
      <c r="E534" s="11"/>
      <c r="F534" s="11"/>
      <c r="G534" s="11"/>
      <c r="H534" s="11"/>
      <c r="I534" s="11"/>
      <c r="J534" s="11"/>
      <c r="K534" s="11"/>
      <c r="L534" s="11"/>
      <c r="M534" s="11"/>
      <c r="N534" s="14"/>
    </row>
    <row r="535" spans="1:14" x14ac:dyDescent="0.35">
      <c r="A535" s="12"/>
      <c r="B535" s="12"/>
      <c r="C535" s="12"/>
      <c r="D535" s="11"/>
      <c r="E535" s="11"/>
      <c r="F535" s="11"/>
      <c r="G535" s="11"/>
      <c r="H535" s="11"/>
      <c r="I535" s="11"/>
      <c r="J535" s="11"/>
      <c r="K535" s="11"/>
      <c r="L535" s="11"/>
      <c r="M535" s="11"/>
      <c r="N535" s="14"/>
    </row>
    <row r="536" spans="1:14" x14ac:dyDescent="0.35">
      <c r="A536" s="12"/>
      <c r="B536" s="17"/>
      <c r="C536" s="17"/>
      <c r="D536" s="11"/>
      <c r="E536" s="11"/>
      <c r="F536" s="11"/>
      <c r="G536" s="11"/>
      <c r="H536" s="11"/>
      <c r="I536" s="11"/>
      <c r="J536" s="11"/>
      <c r="K536" s="11"/>
      <c r="L536" s="11"/>
      <c r="M536" s="11"/>
      <c r="N536" s="14"/>
    </row>
    <row r="537" spans="1:14" x14ac:dyDescent="0.35">
      <c r="A537" s="12"/>
      <c r="B537" s="17"/>
      <c r="C537" s="17"/>
      <c r="D537" s="11"/>
      <c r="E537" s="11"/>
      <c r="F537" s="11"/>
      <c r="G537" s="11"/>
      <c r="H537" s="11"/>
      <c r="I537" s="11"/>
      <c r="J537" s="11"/>
      <c r="K537" s="11"/>
      <c r="L537" s="11"/>
      <c r="M537" s="11"/>
      <c r="N537" s="14"/>
    </row>
    <row r="538" spans="1:14" x14ac:dyDescent="0.35">
      <c r="A538" s="12"/>
      <c r="B538" s="17"/>
      <c r="C538" s="17"/>
      <c r="D538" s="11"/>
      <c r="E538" s="11"/>
      <c r="F538" s="11"/>
      <c r="G538" s="11"/>
      <c r="H538" s="11"/>
      <c r="I538" s="11"/>
      <c r="J538" s="11"/>
      <c r="K538" s="11"/>
      <c r="L538" s="11"/>
      <c r="M538" s="11"/>
      <c r="N538" s="14"/>
    </row>
    <row r="539" spans="1:14" x14ac:dyDescent="0.35">
      <c r="A539" s="12"/>
      <c r="B539" s="12"/>
      <c r="C539" s="12"/>
      <c r="D539" s="11"/>
      <c r="E539" s="11"/>
      <c r="F539" s="11"/>
      <c r="G539" s="11"/>
      <c r="H539" s="11"/>
      <c r="I539" s="11"/>
      <c r="J539" s="11"/>
      <c r="K539" s="11"/>
      <c r="L539" s="11"/>
      <c r="M539" s="11"/>
      <c r="N539" s="14"/>
    </row>
    <row r="540" spans="1:14" x14ac:dyDescent="0.35">
      <c r="A540" s="12"/>
      <c r="B540" s="17"/>
      <c r="C540" s="17"/>
      <c r="D540" s="11"/>
      <c r="E540" s="11"/>
      <c r="F540" s="11"/>
      <c r="G540" s="11"/>
      <c r="H540" s="11"/>
      <c r="I540" s="11"/>
      <c r="J540" s="11"/>
      <c r="K540" s="11"/>
      <c r="L540" s="11"/>
      <c r="M540" s="11"/>
      <c r="N540" s="14"/>
    </row>
    <row r="541" spans="1:14" x14ac:dyDescent="0.35">
      <c r="A541" s="12"/>
      <c r="B541" s="17"/>
      <c r="C541" s="17"/>
      <c r="D541" s="11"/>
      <c r="E541" s="11"/>
      <c r="F541" s="11"/>
      <c r="G541" s="11"/>
      <c r="H541" s="11"/>
      <c r="I541" s="11"/>
      <c r="J541" s="11"/>
      <c r="K541" s="11"/>
      <c r="L541" s="11"/>
      <c r="M541" s="11"/>
      <c r="N541" s="14"/>
    </row>
    <row r="542" spans="1:14" x14ac:dyDescent="0.35">
      <c r="A542" s="12"/>
      <c r="B542" s="12"/>
      <c r="C542" s="12"/>
      <c r="D542" s="11"/>
      <c r="E542" s="11"/>
      <c r="F542" s="11"/>
      <c r="G542" s="11"/>
      <c r="H542" s="11"/>
      <c r="I542" s="11"/>
      <c r="J542" s="11"/>
      <c r="K542" s="11"/>
      <c r="L542" s="11"/>
      <c r="M542" s="11"/>
      <c r="N542" s="14"/>
    </row>
    <row r="543" spans="1:14" x14ac:dyDescent="0.35">
      <c r="A543" s="12"/>
      <c r="B543" s="12"/>
      <c r="C543" s="12"/>
      <c r="D543" s="11"/>
      <c r="E543" s="11"/>
      <c r="F543" s="11"/>
      <c r="G543" s="11"/>
      <c r="H543" s="11"/>
      <c r="I543" s="11"/>
      <c r="J543" s="11"/>
      <c r="K543" s="11"/>
      <c r="L543" s="11"/>
      <c r="M543" s="11"/>
      <c r="N543" s="14"/>
    </row>
    <row r="544" spans="1:14" x14ac:dyDescent="0.35">
      <c r="A544" s="12"/>
      <c r="B544" s="17"/>
      <c r="C544" s="17"/>
      <c r="D544" s="11"/>
      <c r="E544" s="11"/>
      <c r="F544" s="11"/>
      <c r="G544" s="11"/>
      <c r="H544" s="11"/>
      <c r="I544" s="11"/>
      <c r="J544" s="11"/>
      <c r="K544" s="11"/>
      <c r="L544" s="11"/>
      <c r="M544" s="11"/>
      <c r="N544" s="14"/>
    </row>
    <row r="545" spans="1:14" x14ac:dyDescent="0.35">
      <c r="A545" s="12"/>
      <c r="B545" s="17"/>
      <c r="C545" s="17"/>
      <c r="D545" s="11"/>
      <c r="E545" s="11"/>
      <c r="F545" s="11"/>
      <c r="G545" s="11"/>
      <c r="H545" s="11"/>
      <c r="I545" s="11"/>
      <c r="J545" s="11"/>
      <c r="K545" s="11"/>
      <c r="L545" s="11"/>
      <c r="M545" s="11"/>
      <c r="N545" s="14"/>
    </row>
    <row r="546" spans="1:14" x14ac:dyDescent="0.35">
      <c r="A546" s="12"/>
      <c r="B546" s="17"/>
      <c r="C546" s="17"/>
      <c r="D546" s="11"/>
      <c r="E546" s="11"/>
      <c r="F546" s="11"/>
      <c r="G546" s="11"/>
      <c r="H546" s="11"/>
      <c r="I546" s="11"/>
      <c r="J546" s="11"/>
      <c r="K546" s="11"/>
      <c r="L546" s="11"/>
      <c r="M546" s="11"/>
      <c r="N546" s="14"/>
    </row>
    <row r="547" spans="1:14" x14ac:dyDescent="0.35">
      <c r="A547" s="12"/>
      <c r="B547" s="17"/>
      <c r="C547" s="17"/>
      <c r="D547" s="11"/>
      <c r="E547" s="11"/>
      <c r="F547" s="11"/>
      <c r="G547" s="11"/>
      <c r="H547" s="11"/>
      <c r="I547" s="11"/>
      <c r="J547" s="11"/>
      <c r="K547" s="11"/>
      <c r="L547" s="11"/>
      <c r="M547" s="11"/>
      <c r="N547" s="14"/>
    </row>
    <row r="548" spans="1:14" x14ac:dyDescent="0.35">
      <c r="A548" s="12"/>
      <c r="B548" s="17"/>
      <c r="C548" s="17"/>
      <c r="D548" s="11"/>
      <c r="E548" s="11"/>
      <c r="F548" s="11"/>
      <c r="G548" s="11"/>
      <c r="H548" s="11"/>
      <c r="I548" s="11"/>
      <c r="J548" s="11"/>
      <c r="K548" s="11"/>
      <c r="L548" s="11"/>
      <c r="M548" s="11"/>
      <c r="N548" s="14"/>
    </row>
    <row r="549" spans="1:14" x14ac:dyDescent="0.35">
      <c r="A549" s="12"/>
      <c r="B549" s="17"/>
      <c r="C549" s="17"/>
      <c r="D549" s="11"/>
      <c r="E549" s="11"/>
      <c r="F549" s="11"/>
      <c r="G549" s="11"/>
      <c r="H549" s="11"/>
      <c r="I549" s="11"/>
      <c r="J549" s="11"/>
      <c r="K549" s="11"/>
      <c r="L549" s="11"/>
      <c r="M549" s="11"/>
      <c r="N549" s="14"/>
    </row>
    <row r="550" spans="1:14" x14ac:dyDescent="0.35">
      <c r="A550" s="12"/>
      <c r="B550" s="17"/>
      <c r="C550" s="17"/>
      <c r="D550" s="11"/>
      <c r="E550" s="11"/>
      <c r="F550" s="11"/>
      <c r="G550" s="11"/>
      <c r="H550" s="11"/>
      <c r="I550" s="11"/>
      <c r="J550" s="11"/>
      <c r="K550" s="11"/>
      <c r="L550" s="11"/>
      <c r="M550" s="11"/>
      <c r="N550" s="14"/>
    </row>
    <row r="551" spans="1:14" x14ac:dyDescent="0.35">
      <c r="A551" s="12"/>
      <c r="B551" s="17"/>
      <c r="C551" s="17"/>
      <c r="D551" s="11"/>
      <c r="E551" s="11"/>
      <c r="F551" s="11"/>
      <c r="G551" s="11"/>
      <c r="H551" s="11"/>
      <c r="I551" s="11"/>
      <c r="J551" s="11"/>
      <c r="K551" s="11"/>
      <c r="L551" s="11"/>
      <c r="M551" s="11"/>
      <c r="N551" s="14"/>
    </row>
    <row r="552" spans="1:14" x14ac:dyDescent="0.35">
      <c r="A552" s="12"/>
      <c r="B552" s="12"/>
      <c r="C552" s="12"/>
      <c r="D552" s="11"/>
      <c r="E552" s="11"/>
      <c r="F552" s="11"/>
      <c r="G552" s="11"/>
      <c r="H552" s="11"/>
      <c r="I552" s="11"/>
      <c r="J552" s="11"/>
      <c r="K552" s="11"/>
      <c r="L552" s="11"/>
      <c r="M552" s="11"/>
      <c r="N552" s="14"/>
    </row>
    <row r="553" spans="1:14" x14ac:dyDescent="0.35">
      <c r="A553" s="12"/>
      <c r="B553" s="17"/>
      <c r="C553" s="17"/>
      <c r="D553" s="11"/>
      <c r="E553" s="11"/>
      <c r="F553" s="11"/>
      <c r="G553" s="11"/>
      <c r="H553" s="11"/>
      <c r="I553" s="11"/>
      <c r="J553" s="11"/>
      <c r="K553" s="11"/>
      <c r="L553" s="11"/>
      <c r="M553" s="11"/>
      <c r="N553" s="14"/>
    </row>
    <row r="554" spans="1:14" x14ac:dyDescent="0.35">
      <c r="A554" s="12"/>
      <c r="B554" s="17"/>
      <c r="C554" s="17"/>
      <c r="D554" s="11"/>
      <c r="E554" s="11"/>
      <c r="F554" s="11"/>
      <c r="G554" s="11"/>
      <c r="H554" s="11"/>
      <c r="I554" s="11"/>
      <c r="J554" s="11"/>
      <c r="K554" s="11"/>
      <c r="L554" s="11"/>
      <c r="M554" s="11"/>
      <c r="N554" s="14"/>
    </row>
    <row r="555" spans="1:14" x14ac:dyDescent="0.35">
      <c r="A555" s="12"/>
      <c r="B555" s="12"/>
      <c r="C555" s="12"/>
      <c r="D555" s="11"/>
      <c r="E555" s="11"/>
      <c r="F555" s="11"/>
      <c r="G555" s="11"/>
      <c r="H555" s="11"/>
      <c r="I555" s="11"/>
      <c r="J555" s="11"/>
      <c r="K555" s="11"/>
      <c r="L555" s="11"/>
      <c r="M555" s="11"/>
      <c r="N555" s="14"/>
    </row>
    <row r="556" spans="1:14" x14ac:dyDescent="0.35">
      <c r="A556" s="12"/>
      <c r="B556" s="12"/>
      <c r="C556" s="12"/>
      <c r="D556" s="11"/>
      <c r="E556" s="11"/>
      <c r="F556" s="11"/>
      <c r="G556" s="11"/>
      <c r="H556" s="11"/>
      <c r="I556" s="11"/>
      <c r="J556" s="11"/>
      <c r="K556" s="11"/>
      <c r="L556" s="11"/>
      <c r="M556" s="11"/>
      <c r="N556" s="14"/>
    </row>
    <row r="557" spans="1:14" x14ac:dyDescent="0.35">
      <c r="A557" s="12"/>
      <c r="B557" s="12"/>
      <c r="C557" s="12"/>
      <c r="D557" s="11"/>
      <c r="E557" s="11"/>
      <c r="F557" s="11"/>
      <c r="G557" s="11"/>
      <c r="H557" s="11"/>
      <c r="I557" s="11"/>
      <c r="J557" s="11"/>
      <c r="K557" s="11"/>
      <c r="L557" s="11"/>
      <c r="M557" s="11"/>
      <c r="N557" s="14"/>
    </row>
    <row r="558" spans="1:14" x14ac:dyDescent="0.35">
      <c r="A558" s="12"/>
      <c r="B558" s="12"/>
      <c r="C558" s="12"/>
      <c r="D558" s="11"/>
      <c r="E558" s="11"/>
      <c r="F558" s="11"/>
      <c r="G558" s="11"/>
      <c r="H558" s="11"/>
      <c r="I558" s="11"/>
      <c r="J558" s="11"/>
      <c r="K558" s="11"/>
      <c r="L558" s="11"/>
      <c r="M558" s="11"/>
      <c r="N558" s="14"/>
    </row>
    <row r="559" spans="1:14" x14ac:dyDescent="0.35">
      <c r="A559" s="12"/>
      <c r="B559" s="12"/>
      <c r="C559" s="12"/>
      <c r="D559" s="11"/>
      <c r="E559" s="11"/>
      <c r="F559" s="11"/>
      <c r="G559" s="11"/>
      <c r="H559" s="11"/>
      <c r="I559" s="11"/>
      <c r="J559" s="11"/>
      <c r="K559" s="11"/>
      <c r="L559" s="11"/>
      <c r="M559" s="11"/>
      <c r="N559" s="14"/>
    </row>
    <row r="560" spans="1:14" x14ac:dyDescent="0.35">
      <c r="A560" s="12"/>
      <c r="B560" s="12"/>
      <c r="C560" s="12"/>
      <c r="D560" s="11"/>
      <c r="E560" s="11"/>
      <c r="F560" s="11"/>
      <c r="G560" s="11"/>
      <c r="H560" s="11"/>
      <c r="I560" s="11"/>
      <c r="J560" s="11"/>
      <c r="K560" s="11"/>
      <c r="L560" s="11"/>
      <c r="M560" s="11"/>
      <c r="N560" s="14"/>
    </row>
    <row r="561" spans="1:14" x14ac:dyDescent="0.35">
      <c r="A561" s="12"/>
      <c r="B561" s="12"/>
      <c r="C561" s="12"/>
      <c r="D561" s="11"/>
      <c r="E561" s="11"/>
      <c r="F561" s="11"/>
      <c r="G561" s="11"/>
      <c r="H561" s="11"/>
      <c r="I561" s="11"/>
      <c r="J561" s="11"/>
      <c r="K561" s="11"/>
      <c r="L561" s="11"/>
      <c r="M561" s="11"/>
      <c r="N561" s="14"/>
    </row>
    <row r="562" spans="1:14" x14ac:dyDescent="0.35">
      <c r="A562" s="12"/>
      <c r="B562" s="12"/>
      <c r="C562" s="12"/>
      <c r="D562" s="11"/>
      <c r="E562" s="11"/>
      <c r="F562" s="11"/>
      <c r="G562" s="11"/>
      <c r="H562" s="11"/>
      <c r="I562" s="11"/>
      <c r="J562" s="11"/>
      <c r="K562" s="11"/>
      <c r="L562" s="11"/>
      <c r="M562" s="11"/>
      <c r="N562" s="14"/>
    </row>
    <row r="563" spans="1:14" x14ac:dyDescent="0.35">
      <c r="A563" s="12"/>
      <c r="B563" s="12"/>
      <c r="C563" s="12"/>
      <c r="D563" s="11"/>
      <c r="E563" s="11"/>
      <c r="F563" s="11"/>
      <c r="G563" s="11"/>
      <c r="H563" s="11"/>
      <c r="I563" s="11"/>
      <c r="J563" s="11"/>
      <c r="K563" s="11"/>
      <c r="L563" s="11"/>
      <c r="M563" s="11"/>
      <c r="N563" s="14"/>
    </row>
    <row r="564" spans="1:14" x14ac:dyDescent="0.35">
      <c r="A564" s="12"/>
      <c r="B564" s="12"/>
      <c r="C564" s="12"/>
      <c r="D564" s="11"/>
      <c r="E564" s="11"/>
      <c r="F564" s="11"/>
      <c r="G564" s="11"/>
      <c r="H564" s="11"/>
      <c r="I564" s="11"/>
      <c r="J564" s="11"/>
      <c r="K564" s="11"/>
      <c r="L564" s="11"/>
      <c r="M564" s="11"/>
      <c r="N564" s="14"/>
    </row>
    <row r="565" spans="1:14" x14ac:dyDescent="0.35">
      <c r="A565" s="12"/>
      <c r="B565" s="12"/>
      <c r="C565" s="12"/>
      <c r="D565" s="11"/>
      <c r="E565" s="11"/>
      <c r="F565" s="11"/>
      <c r="G565" s="11"/>
      <c r="H565" s="11"/>
      <c r="I565" s="11"/>
      <c r="J565" s="11"/>
      <c r="K565" s="11"/>
      <c r="L565" s="11"/>
      <c r="M565" s="11"/>
      <c r="N565" s="14"/>
    </row>
    <row r="566" spans="1:14" x14ac:dyDescent="0.35">
      <c r="A566" s="12"/>
      <c r="B566" s="12"/>
      <c r="C566" s="12"/>
      <c r="D566" s="11"/>
      <c r="E566" s="11"/>
      <c r="F566" s="11"/>
      <c r="G566" s="11"/>
      <c r="H566" s="11"/>
      <c r="I566" s="11"/>
      <c r="J566" s="11"/>
      <c r="K566" s="11"/>
      <c r="L566" s="11"/>
      <c r="M566" s="11"/>
      <c r="N566" s="14"/>
    </row>
    <row r="567" spans="1:14" x14ac:dyDescent="0.35">
      <c r="A567" s="12"/>
      <c r="B567" s="12"/>
      <c r="C567" s="12"/>
      <c r="D567" s="11"/>
      <c r="E567" s="11"/>
      <c r="F567" s="11"/>
      <c r="G567" s="11"/>
      <c r="H567" s="11"/>
      <c r="I567" s="11"/>
      <c r="J567" s="11"/>
      <c r="K567" s="11"/>
      <c r="L567" s="11"/>
      <c r="M567" s="11"/>
      <c r="N567" s="14"/>
    </row>
    <row r="568" spans="1:14" x14ac:dyDescent="0.35">
      <c r="A568" s="12"/>
      <c r="B568" s="12"/>
      <c r="C568" s="12"/>
      <c r="D568" s="11"/>
      <c r="E568" s="11"/>
      <c r="F568" s="11"/>
      <c r="G568" s="11"/>
      <c r="H568" s="11"/>
      <c r="I568" s="11"/>
      <c r="J568" s="11"/>
      <c r="K568" s="11"/>
      <c r="L568" s="11"/>
      <c r="M568" s="11"/>
      <c r="N568" s="14"/>
    </row>
    <row r="569" spans="1:14" x14ac:dyDescent="0.35">
      <c r="A569" s="12"/>
      <c r="B569" s="12"/>
      <c r="C569" s="12"/>
      <c r="D569" s="11"/>
      <c r="E569" s="11"/>
      <c r="F569" s="11"/>
      <c r="G569" s="11"/>
      <c r="H569" s="11"/>
      <c r="I569" s="11"/>
      <c r="J569" s="11"/>
      <c r="K569" s="11"/>
      <c r="L569" s="11"/>
      <c r="M569" s="11"/>
      <c r="N569" s="14"/>
    </row>
    <row r="570" spans="1:14" x14ac:dyDescent="0.35">
      <c r="A570" s="12"/>
      <c r="B570" s="12"/>
      <c r="C570" s="12"/>
      <c r="D570" s="11"/>
      <c r="E570" s="11"/>
      <c r="F570" s="11"/>
      <c r="G570" s="11"/>
      <c r="H570" s="11"/>
      <c r="I570" s="11"/>
      <c r="J570" s="11"/>
      <c r="K570" s="11"/>
      <c r="L570" s="11"/>
      <c r="M570" s="11"/>
      <c r="N570" s="14"/>
    </row>
    <row r="571" spans="1:14" x14ac:dyDescent="0.35">
      <c r="A571" s="12"/>
      <c r="B571" s="12"/>
      <c r="C571" s="12"/>
      <c r="D571" s="11"/>
      <c r="E571" s="11"/>
      <c r="F571" s="11"/>
      <c r="G571" s="11"/>
      <c r="H571" s="11"/>
      <c r="I571" s="11"/>
      <c r="J571" s="11"/>
      <c r="K571" s="11"/>
      <c r="L571" s="11"/>
      <c r="M571" s="11"/>
      <c r="N571" s="14"/>
    </row>
    <row r="572" spans="1:14" x14ac:dyDescent="0.35">
      <c r="A572" s="12"/>
      <c r="B572" s="12"/>
      <c r="C572" s="12"/>
      <c r="D572" s="11"/>
      <c r="E572" s="11"/>
      <c r="F572" s="11"/>
      <c r="G572" s="11"/>
      <c r="H572" s="11"/>
      <c r="I572" s="11"/>
      <c r="J572" s="11"/>
      <c r="K572" s="11"/>
      <c r="L572" s="11"/>
      <c r="M572" s="11"/>
      <c r="N572" s="14"/>
    </row>
    <row r="573" spans="1:14" x14ac:dyDescent="0.35">
      <c r="A573" s="12"/>
      <c r="B573" s="12"/>
      <c r="C573" s="12"/>
      <c r="D573" s="11"/>
      <c r="E573" s="11"/>
      <c r="F573" s="11"/>
      <c r="G573" s="11"/>
      <c r="H573" s="11"/>
      <c r="I573" s="11"/>
      <c r="J573" s="11"/>
      <c r="K573" s="11"/>
      <c r="L573" s="11"/>
      <c r="M573" s="11"/>
      <c r="N573" s="14"/>
    </row>
  </sheetData>
  <autoFilter ref="A1:P379" xr:uid="{167A22EC-35A7-4DD4-BF33-41E233E51B31}">
    <sortState xmlns:xlrd2="http://schemas.microsoft.com/office/spreadsheetml/2017/richdata2" ref="A2:P379">
      <sortCondition ref="C1:C37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Intro+Sources</vt:lpstr>
      <vt:lpstr>Totals</vt:lpstr>
      <vt:lpstr>Agency</vt:lpstr>
      <vt:lpstr>Type</vt:lpstr>
      <vt:lpstr>Function</vt:lpstr>
      <vt:lpstr>Field</vt:lpstr>
      <vt:lpstr>Funder</vt:lpstr>
      <vt:lpstr>Discipline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 C. Zimmermann</dc:creator>
  <cp:lastModifiedBy>Alessandra C. Zimmermann</cp:lastModifiedBy>
  <dcterms:created xsi:type="dcterms:W3CDTF">2025-09-19T14:17:20Z</dcterms:created>
  <dcterms:modified xsi:type="dcterms:W3CDTF">2026-03-24T12:17:43Z</dcterms:modified>
</cp:coreProperties>
</file>