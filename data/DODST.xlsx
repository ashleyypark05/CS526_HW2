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I:\RDBudget\Historical Tables\Hist Wesbite Files\"/>
    </mc:Choice>
  </mc:AlternateContent>
  <xr:revisionPtr revIDLastSave="0" documentId="13_ncr:1_{FA115330-D3CD-4401-ABB7-DF4C72DCE5B0}" xr6:coauthVersionLast="47" xr6:coauthVersionMax="47" xr10:uidLastSave="{00000000-0000-0000-0000-000000000000}"/>
  <bookViews>
    <workbookView xWindow="22944" yWindow="0" windowWidth="15552" windowHeight="16656" xr2:uid="{9A00BCDE-2494-4B74-926E-B4DC8308952D}"/>
  </bookViews>
  <sheets>
    <sheet name="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K8" i="1"/>
</calcChain>
</file>

<file path=xl/sharedStrings.xml><?xml version="1.0" encoding="utf-8"?>
<sst xmlns="http://schemas.openxmlformats.org/spreadsheetml/2006/main" count="13" uniqueCount="13">
  <si>
    <t>Fiscal Years</t>
  </si>
  <si>
    <t>Basic Research (6.1)</t>
  </si>
  <si>
    <t>Applied Research (6.2)</t>
  </si>
  <si>
    <t>Advanced Technology Development (6.3)</t>
  </si>
  <si>
    <t>Defense Health Medical RDT&amp;E*</t>
  </si>
  <si>
    <t>Total DOD S&amp;T plus Medical</t>
  </si>
  <si>
    <t>Recovery Act</t>
  </si>
  <si>
    <t>COVID-19 Spending (Defense Health RDT&amp;E)</t>
  </si>
  <si>
    <t>*Medical research is appropriated outside millitary RDT&amp;E; appropriated in "6.2" accounts before 1999.</t>
  </si>
  <si>
    <t>2025 Request</t>
  </si>
  <si>
    <t>Trends in Department of Defense Science and Technology, FY 1990-2025</t>
  </si>
  <si>
    <t>(budget authority in billions of constant 2024 dollars)</t>
  </si>
  <si>
    <t>Source: Historical agency budget data. Constant dollar conversions based on OMB's chained GDP index from the FY 2025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</si>
</sst>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/>
    <xf numFmtId="0" fontId="3" fillId="0" borderId="5" xfId="0" applyFont="1" applyBorder="1"/>
    <xf numFmtId="2" fontId="3" fillId="0" borderId="0" xfId="0" applyNumberFormat="1" applyFont="1" applyAlignment="1">
      <alignment horizontal="left" wrapText="1"/>
    </xf>
    <xf numFmtId="0" fontId="4" fillId="0" borderId="0" xfId="0" applyFont="1"/>
    <xf numFmtId="0" fontId="2" fillId="0" borderId="2" xfId="0" applyFont="1" applyBorder="1"/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44" fontId="3" fillId="0" borderId="0" xfId="1" applyFont="1"/>
    <xf numFmtId="44" fontId="2" fillId="0" borderId="2" xfId="1" applyFont="1" applyBorder="1"/>
    <xf numFmtId="44" fontId="3" fillId="0" borderId="0" xfId="1" applyFont="1" applyAlignment="1">
      <alignment horizontal="right"/>
    </xf>
    <xf numFmtId="44" fontId="3" fillId="0" borderId="0" xfId="1" applyFont="1" applyAlignment="1">
      <alignment horizontal="left" wrapText="1"/>
    </xf>
    <xf numFmtId="44" fontId="3" fillId="0" borderId="5" xfId="1" applyFont="1" applyBorder="1" applyAlignment="1">
      <alignment horizontal="right"/>
    </xf>
    <xf numFmtId="44" fontId="3" fillId="0" borderId="5" xfId="1" applyFont="1" applyBorder="1"/>
    <xf numFmtId="44" fontId="3" fillId="0" borderId="5" xfId="1" applyFont="1" applyBorder="1" applyAlignment="1">
      <alignment horizontal="left" wrapText="1"/>
    </xf>
    <xf numFmtId="44" fontId="3" fillId="0" borderId="4" xfId="1" applyFont="1" applyBorder="1"/>
    <xf numFmtId="44" fontId="3" fillId="0" borderId="4" xfId="1" applyFont="1" applyBorder="1" applyAlignment="1">
      <alignment horizontal="right"/>
    </xf>
    <xf numFmtId="44" fontId="3" fillId="0" borderId="6" xfId="1" applyFont="1" applyBorder="1"/>
    <xf numFmtId="164" fontId="6" fillId="0" borderId="0" xfId="0" applyNumberFormat="1" applyFont="1" applyFill="1" applyAlignment="1">
      <alignment horizontal="right" wrapText="1"/>
    </xf>
    <xf numFmtId="0" fontId="0" fillId="0" borderId="0" xfId="0" applyFill="1"/>
    <xf numFmtId="44" fontId="0" fillId="0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RDBudget\Historical%20Tables\Hist%20Source%20Files\Commerce.xlsx" TargetMode="External"/><Relationship Id="rId1" Type="http://schemas.openxmlformats.org/officeDocument/2006/relationships/externalLinkPath" Target="/RDBudget/Historical%20Tables/Hist%20Source%20Files/Comme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Graph"/>
    </sheetNames>
    <sheetDataSet>
      <sheetData sheetId="0">
        <row r="3">
          <cell r="B3">
            <v>1990</v>
          </cell>
          <cell r="C3">
            <v>1991</v>
          </cell>
          <cell r="D3">
            <v>1992</v>
          </cell>
          <cell r="E3">
            <v>1993</v>
          </cell>
          <cell r="F3">
            <v>1994</v>
          </cell>
          <cell r="G3">
            <v>1995</v>
          </cell>
          <cell r="H3">
            <v>1996</v>
          </cell>
          <cell r="I3">
            <v>1997</v>
          </cell>
          <cell r="J3">
            <v>1998</v>
          </cell>
          <cell r="K3">
            <v>1999</v>
          </cell>
          <cell r="L3">
            <v>2000</v>
          </cell>
          <cell r="M3">
            <v>2001</v>
          </cell>
          <cell r="N3">
            <v>2002</v>
          </cell>
          <cell r="O3">
            <v>2003</v>
          </cell>
          <cell r="P3">
            <v>2004</v>
          </cell>
          <cell r="Q3">
            <v>2005</v>
          </cell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  <cell r="AB3">
            <v>2016</v>
          </cell>
          <cell r="AC3">
            <v>2017</v>
          </cell>
          <cell r="AD3">
            <v>2018</v>
          </cell>
          <cell r="AE3">
            <v>2019</v>
          </cell>
          <cell r="AF3">
            <v>2020</v>
          </cell>
          <cell r="AG3">
            <v>2021</v>
          </cell>
          <cell r="AH3">
            <v>2022</v>
          </cell>
          <cell r="AI3">
            <v>2023</v>
          </cell>
          <cell r="AJ3">
            <v>2024</v>
          </cell>
          <cell r="AK3" t="str">
            <v>2025 Request</v>
          </cell>
        </row>
        <row r="20">
          <cell r="B20">
            <v>359.49</v>
          </cell>
          <cell r="C20">
            <v>403.7</v>
          </cell>
          <cell r="D20">
            <v>646.47</v>
          </cell>
          <cell r="E20">
            <v>848.97</v>
          </cell>
          <cell r="F20">
            <v>1050.04</v>
          </cell>
          <cell r="G20">
            <v>809.55</v>
          </cell>
          <cell r="H20">
            <v>739.06</v>
          </cell>
          <cell r="I20">
            <v>913.25</v>
          </cell>
          <cell r="J20">
            <v>833.56</v>
          </cell>
          <cell r="K20">
            <v>827.36</v>
          </cell>
          <cell r="L20">
            <v>708.71</v>
          </cell>
          <cell r="M20">
            <v>849.58</v>
          </cell>
          <cell r="N20">
            <v>816.12</v>
          </cell>
          <cell r="O20">
            <v>739.77</v>
          </cell>
          <cell r="P20">
            <v>698.68</v>
          </cell>
          <cell r="Q20">
            <v>664.75</v>
          </cell>
          <cell r="R20">
            <v>721.74</v>
          </cell>
          <cell r="S20">
            <v>752.56</v>
          </cell>
          <cell r="T20">
            <v>794.02</v>
          </cell>
          <cell r="U20">
            <v>836.91</v>
          </cell>
          <cell r="V20">
            <v>743.12</v>
          </cell>
          <cell r="W20">
            <v>763.2</v>
          </cell>
          <cell r="X20">
            <v>801.9</v>
          </cell>
          <cell r="Y20">
            <v>864.5</v>
          </cell>
          <cell r="Z20">
            <v>872.87</v>
          </cell>
          <cell r="AA20">
            <v>985.17</v>
          </cell>
          <cell r="AB20">
            <v>952.91</v>
          </cell>
          <cell r="AC20">
            <v>1207.99</v>
          </cell>
          <cell r="AD20">
            <v>961.76</v>
          </cell>
          <cell r="AE20">
            <v>907.77</v>
          </cell>
          <cell r="AF20">
            <v>1056.28</v>
          </cell>
          <cell r="AG20">
            <v>1159.3</v>
          </cell>
          <cell r="AH20">
            <v>3141.69</v>
          </cell>
          <cell r="AI20">
            <v>2284</v>
          </cell>
          <cell r="AJ20">
            <v>2265.02</v>
          </cell>
          <cell r="AK20">
            <v>2352</v>
          </cell>
        </row>
        <row r="22">
          <cell r="B22">
            <v>726.4</v>
          </cell>
          <cell r="C22">
            <v>771.8</v>
          </cell>
          <cell r="D22">
            <v>912.65</v>
          </cell>
          <cell r="E22">
            <v>1121.1400000000001</v>
          </cell>
          <cell r="F22">
            <v>1063.19</v>
          </cell>
          <cell r="G22">
            <v>1025.08</v>
          </cell>
          <cell r="H22">
            <v>1011.1</v>
          </cell>
          <cell r="I22">
            <v>1054.95</v>
          </cell>
          <cell r="J22">
            <v>1063.08</v>
          </cell>
          <cell r="K22">
            <v>1129.5</v>
          </cell>
          <cell r="L22">
            <v>962.72</v>
          </cell>
          <cell r="M22">
            <v>1143.48</v>
          </cell>
          <cell r="N22">
            <v>1099.75</v>
          </cell>
          <cell r="O22">
            <v>1006.68</v>
          </cell>
          <cell r="P22">
            <v>1015.52</v>
          </cell>
          <cell r="Q22">
            <v>915.29</v>
          </cell>
          <cell r="R22">
            <v>825.92</v>
          </cell>
          <cell r="S22">
            <v>907.99</v>
          </cell>
          <cell r="T22">
            <v>1127.3399999999999</v>
          </cell>
          <cell r="U22">
            <v>975.5</v>
          </cell>
          <cell r="V22">
            <v>878.13</v>
          </cell>
          <cell r="W22">
            <v>786.26</v>
          </cell>
          <cell r="X22">
            <v>730.46</v>
          </cell>
          <cell r="Y22">
            <v>830.21</v>
          </cell>
          <cell r="Z22">
            <v>902.86</v>
          </cell>
          <cell r="AA22">
            <v>873.11</v>
          </cell>
          <cell r="AB22">
            <v>1024.5999999999999</v>
          </cell>
          <cell r="AC22">
            <v>1192.7</v>
          </cell>
          <cell r="AD22">
            <v>1161.28</v>
          </cell>
          <cell r="AE22">
            <v>1099.05</v>
          </cell>
          <cell r="AF22">
            <v>1144.3900000000001</v>
          </cell>
          <cell r="AG22">
            <v>1326.69</v>
          </cell>
          <cell r="AH22">
            <v>1901.77</v>
          </cell>
          <cell r="AI22">
            <v>1297</v>
          </cell>
          <cell r="AJ22">
            <v>1121.8599999999999</v>
          </cell>
          <cell r="AK22">
            <v>1164.94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K24">
            <v>105.01</v>
          </cell>
          <cell r="L24">
            <v>96.06</v>
          </cell>
          <cell r="M24">
            <v>78.97</v>
          </cell>
          <cell r="N24">
            <v>70.37</v>
          </cell>
          <cell r="O24">
            <v>67.98</v>
          </cell>
          <cell r="P24">
            <v>48.63</v>
          </cell>
          <cell r="Q24">
            <v>38.11</v>
          </cell>
          <cell r="R24">
            <v>43.01</v>
          </cell>
          <cell r="S24">
            <v>65</v>
          </cell>
          <cell r="T24">
            <v>72.88</v>
          </cell>
          <cell r="U24">
            <v>91.28</v>
          </cell>
          <cell r="V24">
            <v>78.260000000000005</v>
          </cell>
          <cell r="W24">
            <v>168.58</v>
          </cell>
          <cell r="X24">
            <v>212.66</v>
          </cell>
          <cell r="Y24">
            <v>353.76</v>
          </cell>
          <cell r="Z24">
            <v>216.6</v>
          </cell>
          <cell r="AA24">
            <v>307.88</v>
          </cell>
          <cell r="AB24">
            <v>304.89</v>
          </cell>
          <cell r="AC24">
            <v>162.72</v>
          </cell>
          <cell r="AD24">
            <v>261.77</v>
          </cell>
          <cell r="AE24">
            <v>192.35</v>
          </cell>
          <cell r="AF24">
            <v>166.07</v>
          </cell>
          <cell r="AG24">
            <v>133.94999999999999</v>
          </cell>
          <cell r="AH24">
            <v>0</v>
          </cell>
          <cell r="AI24">
            <v>0</v>
          </cell>
          <cell r="AJ24">
            <v>309.13</v>
          </cell>
          <cell r="AK24">
            <v>321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T25">
            <v>832.96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AAAS">
      <a:dk1>
        <a:sysClr val="windowText" lastClr="000000"/>
      </a:dk1>
      <a:lt1>
        <a:sysClr val="window" lastClr="FFFFFF"/>
      </a:lt1>
      <a:dk2>
        <a:srgbClr val="DA8451"/>
      </a:dk2>
      <a:lt2>
        <a:srgbClr val="E7E6E6"/>
      </a:lt2>
      <a:accent1>
        <a:srgbClr val="005699"/>
      </a:accent1>
      <a:accent2>
        <a:srgbClr val="66C3C8"/>
      </a:accent2>
      <a:accent3>
        <a:srgbClr val="CCCCCC"/>
      </a:accent3>
      <a:accent4>
        <a:srgbClr val="C00000"/>
      </a:accent4>
      <a:accent5>
        <a:srgbClr val="895C93"/>
      </a:accent5>
      <a:accent6>
        <a:srgbClr val="E7BC47"/>
      </a:accent6>
      <a:hlink>
        <a:srgbClr val="005699"/>
      </a:hlink>
      <a:folHlink>
        <a:srgbClr val="895C93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D130-3843-4E5B-B062-0080AD207765}">
  <dimension ref="A1:AK220"/>
  <sheetViews>
    <sheetView showGridLines="0" tabSelected="1" workbookViewId="0">
      <pane xSplit="1" topLeftCell="B1" activePane="topRight" state="frozen"/>
      <selection pane="topRight" activeCell="B14" sqref="B14"/>
    </sheetView>
  </sheetViews>
  <sheetFormatPr defaultRowHeight="14.5" x14ac:dyDescent="0.35"/>
  <cols>
    <col min="1" max="1" width="35.1796875" customWidth="1"/>
    <col min="35" max="35" width="10.90625" bestFit="1" customWidth="1"/>
    <col min="37" max="37" width="13.08984375" customWidth="1"/>
  </cols>
  <sheetData>
    <row r="1" spans="1:37" x14ac:dyDescent="0.35">
      <c r="A1" s="6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>
        <v>1.07</v>
      </c>
      <c r="AG1" s="2"/>
      <c r="AH1" s="2"/>
      <c r="AI1" s="2"/>
      <c r="AJ1" s="2"/>
      <c r="AK1" s="2"/>
    </row>
    <row r="2" spans="1:37" ht="12" customHeight="1" x14ac:dyDescent="0.35">
      <c r="A2" s="3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s="12" customFormat="1" x14ac:dyDescent="0.35">
      <c r="A3" s="9" t="s">
        <v>0</v>
      </c>
      <c r="B3" s="8">
        <v>1990</v>
      </c>
      <c r="C3" s="8">
        <v>1991</v>
      </c>
      <c r="D3" s="8">
        <v>1992</v>
      </c>
      <c r="E3" s="8">
        <v>1993</v>
      </c>
      <c r="F3" s="8">
        <v>1994</v>
      </c>
      <c r="G3" s="8">
        <v>1995</v>
      </c>
      <c r="H3" s="8">
        <v>1996</v>
      </c>
      <c r="I3" s="10">
        <v>1997</v>
      </c>
      <c r="J3" s="10">
        <v>1998</v>
      </c>
      <c r="K3" s="10">
        <v>1999</v>
      </c>
      <c r="L3" s="10">
        <v>2000</v>
      </c>
      <c r="M3" s="10">
        <v>2001</v>
      </c>
      <c r="N3" s="10">
        <v>2002</v>
      </c>
      <c r="O3" s="10">
        <v>2003</v>
      </c>
      <c r="P3" s="10">
        <v>2004</v>
      </c>
      <c r="Q3" s="10">
        <v>2005</v>
      </c>
      <c r="R3" s="10">
        <v>2006</v>
      </c>
      <c r="S3" s="10">
        <v>2007</v>
      </c>
      <c r="T3" s="10">
        <v>2008</v>
      </c>
      <c r="U3" s="10">
        <v>2009</v>
      </c>
      <c r="V3" s="10">
        <v>2010</v>
      </c>
      <c r="W3" s="10">
        <v>2011</v>
      </c>
      <c r="X3" s="8">
        <v>2012</v>
      </c>
      <c r="Y3" s="8">
        <v>2013</v>
      </c>
      <c r="Z3" s="8">
        <v>2014</v>
      </c>
      <c r="AA3" s="8">
        <v>2015</v>
      </c>
      <c r="AB3" s="8">
        <v>2016</v>
      </c>
      <c r="AC3" s="8">
        <v>2017</v>
      </c>
      <c r="AD3" s="8">
        <v>2018</v>
      </c>
      <c r="AE3" s="8">
        <v>2019</v>
      </c>
      <c r="AF3" s="8">
        <v>2020</v>
      </c>
      <c r="AG3" s="8">
        <v>2021</v>
      </c>
      <c r="AH3" s="8">
        <v>2022</v>
      </c>
      <c r="AI3" s="8">
        <v>2023</v>
      </c>
      <c r="AJ3" s="8">
        <v>2024</v>
      </c>
      <c r="AK3" s="11" t="s">
        <v>9</v>
      </c>
    </row>
    <row r="4" spans="1:37" ht="13.5" customHeight="1" x14ac:dyDescent="0.35">
      <c r="A4" s="3" t="s">
        <v>1</v>
      </c>
      <c r="B4" s="13">
        <v>2.0229742949407061</v>
      </c>
      <c r="C4" s="13">
        <v>2.4140836780540247</v>
      </c>
      <c r="D4" s="13">
        <v>2.3326583269568841</v>
      </c>
      <c r="E4" s="13">
        <v>2.6676288224687585</v>
      </c>
      <c r="F4" s="13">
        <v>2.272235775902169</v>
      </c>
      <c r="G4" s="13">
        <v>2.2415923218763445</v>
      </c>
      <c r="H4" s="13">
        <v>2.0562032220032491</v>
      </c>
      <c r="I4" s="13">
        <v>1.8971687095316454</v>
      </c>
      <c r="J4" s="13">
        <v>1.8374735180871302</v>
      </c>
      <c r="K4" s="13">
        <v>1.907370868976257</v>
      </c>
      <c r="L4" s="13">
        <v>2.0000867339528865</v>
      </c>
      <c r="M4" s="13">
        <v>2.2085914963021178</v>
      </c>
      <c r="N4" s="13">
        <v>2.2801488737839968</v>
      </c>
      <c r="O4" s="13">
        <v>2.2701580110402544</v>
      </c>
      <c r="P4" s="13">
        <v>2.1998123126108453</v>
      </c>
      <c r="Q4" s="13">
        <v>2.333664906141514</v>
      </c>
      <c r="R4" s="13">
        <v>2.2197328234558382</v>
      </c>
      <c r="S4" s="13">
        <v>2.260851746837353</v>
      </c>
      <c r="T4" s="13">
        <v>2.3249117107309436</v>
      </c>
      <c r="U4" s="13">
        <v>2.5254457196000391</v>
      </c>
      <c r="V4" s="13">
        <v>2.5840116688168742</v>
      </c>
      <c r="W4" s="13">
        <v>2.6202081754669915</v>
      </c>
      <c r="X4" s="13">
        <v>2.754138925189817</v>
      </c>
      <c r="Y4" s="13">
        <v>2.5580326330840806</v>
      </c>
      <c r="Z4" s="13">
        <v>2.7661139776995824</v>
      </c>
      <c r="AA4" s="13">
        <v>2.8883326653565584</v>
      </c>
      <c r="AB4" s="13">
        <v>2.8756839985383094</v>
      </c>
      <c r="AC4" s="13">
        <v>2.793522024185354</v>
      </c>
      <c r="AD4" s="13">
        <v>2.812942043888889</v>
      </c>
      <c r="AE4" s="13">
        <v>3.0161219285114091</v>
      </c>
      <c r="AF4" s="13">
        <v>2.8148727110317107</v>
      </c>
      <c r="AG4" s="13">
        <v>2.8226887003126397</v>
      </c>
      <c r="AH4" s="13">
        <v>3.1007146047342569</v>
      </c>
      <c r="AI4" s="13">
        <v>2.8700586448842813</v>
      </c>
      <c r="AJ4" s="13">
        <v>2.5936620000000001</v>
      </c>
      <c r="AK4" s="20">
        <v>2.4529009999999998</v>
      </c>
    </row>
    <row r="5" spans="1:37" ht="13.5" customHeight="1" x14ac:dyDescent="0.35">
      <c r="A5" s="3" t="s">
        <v>2</v>
      </c>
      <c r="B5" s="13">
        <v>5.2047124152710129</v>
      </c>
      <c r="C5" s="13">
        <v>5.6958101889672976</v>
      </c>
      <c r="D5" s="13">
        <v>6.0230141912218027</v>
      </c>
      <c r="E5" s="13">
        <v>7.0594397814791021</v>
      </c>
      <c r="F5" s="13">
        <v>5.2377059244900499</v>
      </c>
      <c r="G5" s="13">
        <v>5.5906379932511205</v>
      </c>
      <c r="H5" s="13">
        <v>5.3060894791639805</v>
      </c>
      <c r="I5" s="13">
        <v>5.1878004828471926</v>
      </c>
      <c r="J5" s="13">
        <v>5.2836442071477752</v>
      </c>
      <c r="K5" s="13">
        <v>5.4801059647184367</v>
      </c>
      <c r="L5" s="13">
        <v>5.9887916272832422</v>
      </c>
      <c r="M5" s="13">
        <v>6.3048680321786952</v>
      </c>
      <c r="N5" s="13">
        <v>6.9147625846456897</v>
      </c>
      <c r="O5" s="13">
        <v>7.0807286090675223</v>
      </c>
      <c r="P5" s="13">
        <v>7.0424681494489612</v>
      </c>
      <c r="Q5" s="13">
        <v>7.5270400832195605</v>
      </c>
      <c r="R5" s="13">
        <v>7.5372883008400535</v>
      </c>
      <c r="S5" s="13">
        <v>7.5674938778472542</v>
      </c>
      <c r="T5" s="13">
        <v>7.0525939312537718</v>
      </c>
      <c r="U5" s="13">
        <v>7.165104128920988</v>
      </c>
      <c r="V5" s="13">
        <v>7.0970107104280995</v>
      </c>
      <c r="W5" s="13">
        <v>6.0430078710828017</v>
      </c>
      <c r="X5" s="13">
        <v>6.4802944029879415</v>
      </c>
      <c r="Y5" s="13">
        <v>5.7346570896311793</v>
      </c>
      <c r="Z5" s="13">
        <v>5.9699668572064155</v>
      </c>
      <c r="AA5" s="13">
        <v>5.973688029239244</v>
      </c>
      <c r="AB5" s="13">
        <v>6.3668363695011765</v>
      </c>
      <c r="AC5" s="13">
        <v>6.5131261367584692</v>
      </c>
      <c r="AD5" s="13">
        <v>6.8889294612108971</v>
      </c>
      <c r="AE5" s="13">
        <v>7.2027830617279882</v>
      </c>
      <c r="AF5" s="13">
        <v>6.7641804376953996</v>
      </c>
      <c r="AG5" s="13">
        <v>7.0600714604734263</v>
      </c>
      <c r="AH5" s="13">
        <v>7.7132648503796348</v>
      </c>
      <c r="AI5" s="13">
        <v>7.6933260027227988</v>
      </c>
      <c r="AJ5" s="13">
        <v>7.2502289999999991</v>
      </c>
      <c r="AK5" s="20">
        <v>5.7958739999999995</v>
      </c>
    </row>
    <row r="6" spans="1:37" ht="13.5" customHeight="1" x14ac:dyDescent="0.35">
      <c r="A6" s="3" t="s">
        <v>3</v>
      </c>
      <c r="B6" s="13">
        <v>12.606148867297961</v>
      </c>
      <c r="C6" s="13">
        <v>11.055664398881348</v>
      </c>
      <c r="D6" s="13">
        <v>12.853847220056187</v>
      </c>
      <c r="E6" s="13">
        <v>12.496342220114444</v>
      </c>
      <c r="F6" s="13">
        <v>8.6143277145023127</v>
      </c>
      <c r="G6" s="13">
        <v>7.2565833072986772</v>
      </c>
      <c r="H6" s="13">
        <v>6.6513216143963154</v>
      </c>
      <c r="I6" s="13">
        <v>6.6897257112264112</v>
      </c>
      <c r="J6" s="13">
        <v>6.8814472663539767</v>
      </c>
      <c r="K6" s="13">
        <v>6.1899921152020818</v>
      </c>
      <c r="L6" s="13">
        <v>6.6554795935112976</v>
      </c>
      <c r="M6" s="13">
        <v>6.8162590701725021</v>
      </c>
      <c r="N6" s="13">
        <v>7.4822663043430389</v>
      </c>
      <c r="O6" s="13">
        <v>8.4448882105466936</v>
      </c>
      <c r="P6" s="13">
        <v>10.018722256092184</v>
      </c>
      <c r="Q6" s="13">
        <v>10.639712523486914</v>
      </c>
      <c r="R6" s="13">
        <v>10.458155012017247</v>
      </c>
      <c r="S6" s="13">
        <v>9.2090575853958487</v>
      </c>
      <c r="T6" s="13">
        <v>8.4087575624778346</v>
      </c>
      <c r="U6" s="13">
        <v>9.0763558013039329</v>
      </c>
      <c r="V6" s="13">
        <v>9.2654750729286555</v>
      </c>
      <c r="W6" s="13">
        <v>7.4545974401173121</v>
      </c>
      <c r="X6" s="13">
        <v>7.286310426333185</v>
      </c>
      <c r="Y6" s="13">
        <v>6.494063862302986</v>
      </c>
      <c r="Z6" s="13">
        <v>6.7347833646489255</v>
      </c>
      <c r="AA6" s="13">
        <v>6.8277818840553834</v>
      </c>
      <c r="AB6" s="13">
        <v>7.2861839001899318</v>
      </c>
      <c r="AC6" s="13">
        <v>7.7167644456471267</v>
      </c>
      <c r="AD6" s="13">
        <v>8.412794918882291</v>
      </c>
      <c r="AE6" s="13">
        <v>8.4418573121368681</v>
      </c>
      <c r="AF6" s="13">
        <v>8.1855739169272006</v>
      </c>
      <c r="AG6" s="13">
        <v>8.3910227780259046</v>
      </c>
      <c r="AH6" s="13">
        <v>10.294774452880752</v>
      </c>
      <c r="AI6" s="13">
        <v>11.69197298146403</v>
      </c>
      <c r="AJ6" s="13">
        <v>10.576786</v>
      </c>
      <c r="AK6" s="20">
        <v>8.959028</v>
      </c>
    </row>
    <row r="7" spans="1:37" ht="13.5" customHeight="1" x14ac:dyDescent="0.35">
      <c r="A7" s="3" t="s">
        <v>4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6.8306822924313976E-2</v>
      </c>
      <c r="L7" s="13">
        <v>0.51818494405698512</v>
      </c>
      <c r="M7" s="13">
        <v>0.74207301413904037</v>
      </c>
      <c r="N7" s="13">
        <v>0.78261803144763142</v>
      </c>
      <c r="O7" s="13">
        <v>0.75895641927118307</v>
      </c>
      <c r="P7" s="13">
        <v>0.78783458984102739</v>
      </c>
      <c r="Q7" s="13">
        <v>0.82231175505725507</v>
      </c>
      <c r="R7" s="13">
        <v>0.86256540186958408</v>
      </c>
      <c r="S7" s="13">
        <v>1.0078657240109909</v>
      </c>
      <c r="T7" s="13">
        <v>1.3880811916399538</v>
      </c>
      <c r="U7" s="13">
        <v>1.2962361299640548</v>
      </c>
      <c r="V7" s="13">
        <v>2.0556440854658948</v>
      </c>
      <c r="W7" s="13">
        <v>1.6833274053718961</v>
      </c>
      <c r="X7" s="13">
        <v>1.7433864495444393</v>
      </c>
      <c r="Y7" s="13">
        <v>1.3692160764444277</v>
      </c>
      <c r="Z7" s="13">
        <v>2.2575025855197883</v>
      </c>
      <c r="AA7" s="13">
        <v>2.2164759987877245</v>
      </c>
      <c r="AB7" s="13">
        <v>2.7439210704634562</v>
      </c>
      <c r="AC7" s="13">
        <v>2.6708775046824274</v>
      </c>
      <c r="AD7" s="13">
        <v>2.5317776229797704</v>
      </c>
      <c r="AE7" s="13">
        <v>2.6554631644285891</v>
      </c>
      <c r="AF7" s="13">
        <v>4.0832961143367577</v>
      </c>
      <c r="AG7" s="13">
        <v>2.6797677534613666</v>
      </c>
      <c r="AH7" s="13">
        <v>2.9399285395265746</v>
      </c>
      <c r="AI7" s="13">
        <v>3.1814849722484029</v>
      </c>
      <c r="AJ7" s="13">
        <v>0.51700000000000002</v>
      </c>
      <c r="AK7" s="20">
        <v>0.55500000000000005</v>
      </c>
    </row>
    <row r="8" spans="1:37" ht="13.5" customHeight="1" x14ac:dyDescent="0.35">
      <c r="A8" s="7" t="s">
        <v>5</v>
      </c>
      <c r="B8" s="14">
        <v>19.833835577509678</v>
      </c>
      <c r="C8" s="14">
        <v>19.165558265902671</v>
      </c>
      <c r="D8" s="14">
        <v>21.209519738234874</v>
      </c>
      <c r="E8" s="14">
        <v>22.223410824062306</v>
      </c>
      <c r="F8" s="14">
        <v>16.124269414894528</v>
      </c>
      <c r="G8" s="14">
        <v>15.088813622426144</v>
      </c>
      <c r="H8" s="14">
        <v>14.013614315563542</v>
      </c>
      <c r="I8" s="14">
        <v>13.77469490360525</v>
      </c>
      <c r="J8" s="14">
        <v>14.002564991588882</v>
      </c>
      <c r="K8" s="14">
        <v>13.645775771821091</v>
      </c>
      <c r="L8" s="14">
        <v>15.162542898804412</v>
      </c>
      <c r="M8" s="14">
        <v>16.071791612792353</v>
      </c>
      <c r="N8" s="14">
        <v>17.459795794220359</v>
      </c>
      <c r="O8" s="14">
        <v>18.554731249925652</v>
      </c>
      <c r="P8" s="14">
        <v>20.048837307993015</v>
      </c>
      <c r="Q8" s="14">
        <v>21.322729267905242</v>
      </c>
      <c r="R8" s="14">
        <v>21.077741538182725</v>
      </c>
      <c r="S8" s="14">
        <v>20.045268934091443</v>
      </c>
      <c r="T8" s="14">
        <v>19.174344396102502</v>
      </c>
      <c r="U8" s="14">
        <v>20.063141779789014</v>
      </c>
      <c r="V8" s="14">
        <v>21.002141537639524</v>
      </c>
      <c r="W8" s="14">
        <v>17.801140892039001</v>
      </c>
      <c r="X8" s="14">
        <v>18.264130204055384</v>
      </c>
      <c r="Y8" s="14">
        <v>16.155969661462674</v>
      </c>
      <c r="Z8" s="14">
        <v>17.728366785074712</v>
      </c>
      <c r="AA8" s="14">
        <v>17.906278577438911</v>
      </c>
      <c r="AB8" s="14">
        <v>19.272625338692876</v>
      </c>
      <c r="AC8" s="14">
        <v>19.694290111273379</v>
      </c>
      <c r="AD8" s="14">
        <v>20.64644404696185</v>
      </c>
      <c r="AE8" s="14">
        <v>21.316225466804852</v>
      </c>
      <c r="AF8" s="14">
        <v>21.847923179991067</v>
      </c>
      <c r="AG8" s="14">
        <v>20.953550692273335</v>
      </c>
      <c r="AH8" s="14">
        <v>24.048682447521216</v>
      </c>
      <c r="AI8" s="14">
        <v>25.436842601319512</v>
      </c>
      <c r="AJ8" s="14">
        <f t="shared" ref="AJ8:AK8" si="0">AJ4+AJ5+AJ6+AJ7</f>
        <v>20.937676999999997</v>
      </c>
      <c r="AK8" s="14">
        <f t="shared" si="0"/>
        <v>17.762802999999998</v>
      </c>
    </row>
    <row r="9" spans="1:37" ht="13.5" customHeight="1" x14ac:dyDescent="0.35">
      <c r="A9" s="3" t="s">
        <v>6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3">
        <v>0.2738709895290557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/>
      <c r="AK9" s="21"/>
    </row>
    <row r="10" spans="1:37" ht="13.5" customHeight="1" x14ac:dyDescent="0.35">
      <c r="A10" s="4" t="s">
        <v>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8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9">
        <v>0</v>
      </c>
      <c r="AE10" s="19">
        <v>0</v>
      </c>
      <c r="AF10" s="19">
        <v>0.50245645377400627</v>
      </c>
      <c r="AG10" s="19">
        <v>0</v>
      </c>
      <c r="AH10" s="19">
        <v>0</v>
      </c>
      <c r="AI10" s="19">
        <v>0</v>
      </c>
      <c r="AJ10" s="19"/>
      <c r="AK10" s="22"/>
    </row>
    <row r="11" spans="1:37" ht="12.75" customHeight="1" x14ac:dyDescent="0.35">
      <c r="A11" s="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5"/>
      <c r="S11" s="5"/>
      <c r="T11" s="5"/>
      <c r="U11" s="5"/>
      <c r="V11" s="5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2.75" customHeight="1" x14ac:dyDescent="0.35">
      <c r="A12" s="1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35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4"/>
    </row>
    <row r="14" spans="1:37" x14ac:dyDescent="0.3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5"/>
      <c r="AJ14" s="25"/>
      <c r="AK14" s="25"/>
    </row>
    <row r="15" spans="1:37" x14ac:dyDescent="0.3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x14ac:dyDescent="0.3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2:37" x14ac:dyDescent="0.3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2:37" x14ac:dyDescent="0.3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4"/>
      <c r="AK18" s="24"/>
    </row>
    <row r="19" spans="2:37" x14ac:dyDescent="0.3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4"/>
      <c r="AK19" s="24"/>
    </row>
    <row r="20" spans="2:37" x14ac:dyDescent="0.3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4"/>
      <c r="AK20" s="24"/>
    </row>
    <row r="21" spans="2:37" x14ac:dyDescent="0.3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4"/>
      <c r="AK21" s="24"/>
    </row>
    <row r="22" spans="2:37" x14ac:dyDescent="0.3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2:37" x14ac:dyDescent="0.3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2:37" x14ac:dyDescent="0.3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2:37" x14ac:dyDescent="0.3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2:37" x14ac:dyDescent="0.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2:37" x14ac:dyDescent="0.3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2:37" x14ac:dyDescent="0.3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2:37" x14ac:dyDescent="0.3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2:37" x14ac:dyDescent="0.3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2:37" x14ac:dyDescent="0.3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2:37" x14ac:dyDescent="0.3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3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3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3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3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3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3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3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3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3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35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35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</row>
    <row r="44" spans="2:37" x14ac:dyDescent="0.3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</row>
    <row r="45" spans="2:37" x14ac:dyDescent="0.3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</row>
    <row r="46" spans="2:37" x14ac:dyDescent="0.35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</row>
    <row r="47" spans="2:37" x14ac:dyDescent="0.3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</row>
    <row r="48" spans="2:37" x14ac:dyDescent="0.35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</row>
    <row r="49" spans="2:37" x14ac:dyDescent="0.35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</row>
    <row r="50" spans="2:37" x14ac:dyDescent="0.3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</row>
    <row r="51" spans="2:37" x14ac:dyDescent="0.3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</row>
    <row r="52" spans="2:37" x14ac:dyDescent="0.3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</row>
    <row r="53" spans="2:37" x14ac:dyDescent="0.3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</row>
    <row r="54" spans="2:37" x14ac:dyDescent="0.3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</row>
    <row r="55" spans="2:37" x14ac:dyDescent="0.3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</row>
    <row r="56" spans="2:37" x14ac:dyDescent="0.3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</row>
    <row r="57" spans="2:37" x14ac:dyDescent="0.35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</row>
    <row r="58" spans="2:37" x14ac:dyDescent="0.35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</row>
    <row r="59" spans="2:37" x14ac:dyDescent="0.35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</row>
    <row r="60" spans="2:37" x14ac:dyDescent="0.3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</row>
    <row r="61" spans="2:37" x14ac:dyDescent="0.35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</row>
    <row r="62" spans="2:37" x14ac:dyDescent="0.3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</row>
    <row r="63" spans="2:37" x14ac:dyDescent="0.35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</row>
    <row r="64" spans="2:37" x14ac:dyDescent="0.35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</row>
    <row r="65" spans="2:37" x14ac:dyDescent="0.3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</row>
    <row r="66" spans="2:37" x14ac:dyDescent="0.3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</row>
    <row r="67" spans="2:37" x14ac:dyDescent="0.35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</row>
    <row r="68" spans="2:37" x14ac:dyDescent="0.35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</row>
    <row r="69" spans="2:37" x14ac:dyDescent="0.35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</row>
    <row r="70" spans="2:37" x14ac:dyDescent="0.35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</row>
    <row r="71" spans="2:37" x14ac:dyDescent="0.35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</row>
    <row r="72" spans="2:37" x14ac:dyDescent="0.35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</row>
    <row r="73" spans="2:37" x14ac:dyDescent="0.35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</row>
    <row r="74" spans="2:37" x14ac:dyDescent="0.35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</row>
    <row r="75" spans="2:37" x14ac:dyDescent="0.3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</row>
    <row r="76" spans="2:37" x14ac:dyDescent="0.35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</row>
    <row r="77" spans="2:37" x14ac:dyDescent="0.35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</row>
    <row r="78" spans="2:37" x14ac:dyDescent="0.35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</row>
    <row r="79" spans="2:37" x14ac:dyDescent="0.35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</row>
    <row r="80" spans="2:37" x14ac:dyDescent="0.35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</row>
    <row r="81" spans="2:37" x14ac:dyDescent="0.35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</row>
    <row r="82" spans="2:37" x14ac:dyDescent="0.3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</row>
    <row r="83" spans="2:37" x14ac:dyDescent="0.3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</row>
    <row r="84" spans="2:37" x14ac:dyDescent="0.3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</row>
    <row r="85" spans="2:37" x14ac:dyDescent="0.3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</row>
    <row r="86" spans="2:37" x14ac:dyDescent="0.3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</row>
    <row r="87" spans="2:37" x14ac:dyDescent="0.35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</row>
    <row r="88" spans="2:37" x14ac:dyDescent="0.35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</row>
    <row r="89" spans="2:37" x14ac:dyDescent="0.35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</row>
    <row r="90" spans="2:37" x14ac:dyDescent="0.35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</row>
    <row r="91" spans="2:37" x14ac:dyDescent="0.35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</row>
    <row r="92" spans="2:37" x14ac:dyDescent="0.35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</row>
    <row r="93" spans="2:37" x14ac:dyDescent="0.35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</row>
    <row r="94" spans="2:37" x14ac:dyDescent="0.35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</row>
    <row r="95" spans="2:37" x14ac:dyDescent="0.3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</row>
    <row r="96" spans="2:37" x14ac:dyDescent="0.35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</row>
    <row r="97" spans="2:37" x14ac:dyDescent="0.35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</row>
    <row r="98" spans="2:37" x14ac:dyDescent="0.35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</row>
    <row r="99" spans="2:37" x14ac:dyDescent="0.35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</row>
    <row r="100" spans="2:37" x14ac:dyDescent="0.35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</row>
    <row r="101" spans="2:37" x14ac:dyDescent="0.35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</row>
    <row r="102" spans="2:37" x14ac:dyDescent="0.35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</row>
    <row r="103" spans="2:37" x14ac:dyDescent="0.3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</row>
    <row r="104" spans="2:37" x14ac:dyDescent="0.3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</row>
    <row r="105" spans="2:37" x14ac:dyDescent="0.3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</row>
    <row r="106" spans="2:37" x14ac:dyDescent="0.35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</row>
    <row r="107" spans="2:37" x14ac:dyDescent="0.35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</row>
    <row r="108" spans="2:37" x14ac:dyDescent="0.35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</row>
    <row r="109" spans="2:37" x14ac:dyDescent="0.35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</row>
    <row r="110" spans="2:37" x14ac:dyDescent="0.35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</row>
    <row r="111" spans="2:37" x14ac:dyDescent="0.35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</row>
    <row r="112" spans="2:37" x14ac:dyDescent="0.35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</row>
    <row r="113" spans="2:37" x14ac:dyDescent="0.35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</row>
    <row r="114" spans="2:37" x14ac:dyDescent="0.35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</row>
    <row r="115" spans="2:37" x14ac:dyDescent="0.3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</row>
    <row r="116" spans="2:37" x14ac:dyDescent="0.35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</row>
    <row r="117" spans="2:37" x14ac:dyDescent="0.35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</row>
    <row r="118" spans="2:37" x14ac:dyDescent="0.35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</row>
    <row r="119" spans="2:37" x14ac:dyDescent="0.35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</row>
    <row r="120" spans="2:37" x14ac:dyDescent="0.35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</row>
    <row r="121" spans="2:37" x14ac:dyDescent="0.35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</row>
    <row r="122" spans="2:37" x14ac:dyDescent="0.35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</row>
    <row r="123" spans="2:37" x14ac:dyDescent="0.35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</row>
    <row r="124" spans="2:37" x14ac:dyDescent="0.35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</row>
    <row r="125" spans="2:37" x14ac:dyDescent="0.3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spans="2:37" x14ac:dyDescent="0.35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  <row r="127" spans="2:37" x14ac:dyDescent="0.35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</row>
    <row r="128" spans="2:37" x14ac:dyDescent="0.35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</row>
    <row r="129" spans="2:37" x14ac:dyDescent="0.35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</row>
    <row r="130" spans="2:37" x14ac:dyDescent="0.35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</row>
    <row r="131" spans="2:37" x14ac:dyDescent="0.35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</row>
    <row r="132" spans="2:37" x14ac:dyDescent="0.35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</row>
    <row r="133" spans="2:37" x14ac:dyDescent="0.35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</row>
    <row r="134" spans="2:37" x14ac:dyDescent="0.35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</row>
    <row r="135" spans="2:37" x14ac:dyDescent="0.3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</row>
    <row r="136" spans="2:37" x14ac:dyDescent="0.35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</row>
    <row r="137" spans="2:37" x14ac:dyDescent="0.35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</row>
    <row r="138" spans="2:37" x14ac:dyDescent="0.35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</row>
    <row r="139" spans="2:37" x14ac:dyDescent="0.35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</row>
    <row r="140" spans="2:37" x14ac:dyDescent="0.35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</row>
    <row r="141" spans="2:37" x14ac:dyDescent="0.35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</row>
    <row r="142" spans="2:37" x14ac:dyDescent="0.35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</row>
    <row r="143" spans="2:37" x14ac:dyDescent="0.35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</row>
    <row r="144" spans="2:37" x14ac:dyDescent="0.35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</row>
    <row r="145" spans="2:37" x14ac:dyDescent="0.3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</row>
    <row r="146" spans="2:37" x14ac:dyDescent="0.35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</row>
    <row r="147" spans="2:37" x14ac:dyDescent="0.35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</row>
    <row r="148" spans="2:37" x14ac:dyDescent="0.35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</row>
    <row r="149" spans="2:37" x14ac:dyDescent="0.35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</row>
    <row r="150" spans="2:37" x14ac:dyDescent="0.35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</row>
    <row r="151" spans="2:37" x14ac:dyDescent="0.3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</row>
    <row r="152" spans="2:37" x14ac:dyDescent="0.3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</row>
    <row r="153" spans="2:37" x14ac:dyDescent="0.3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</row>
    <row r="154" spans="2:37" x14ac:dyDescent="0.3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</row>
    <row r="155" spans="2:37" x14ac:dyDescent="0.3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</row>
    <row r="156" spans="2:37" x14ac:dyDescent="0.3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</row>
    <row r="157" spans="2:37" x14ac:dyDescent="0.3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</row>
    <row r="158" spans="2:37" x14ac:dyDescent="0.3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</row>
    <row r="159" spans="2:37" x14ac:dyDescent="0.3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</row>
    <row r="160" spans="2:37" x14ac:dyDescent="0.3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</row>
    <row r="161" spans="2:37" x14ac:dyDescent="0.3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</row>
    <row r="162" spans="2:37" x14ac:dyDescent="0.3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</row>
    <row r="163" spans="2:37" x14ac:dyDescent="0.3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</row>
    <row r="164" spans="2:37" x14ac:dyDescent="0.3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</row>
    <row r="165" spans="2:37" x14ac:dyDescent="0.3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</row>
    <row r="166" spans="2:37" x14ac:dyDescent="0.3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</row>
    <row r="167" spans="2:37" x14ac:dyDescent="0.3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</row>
    <row r="168" spans="2:37" x14ac:dyDescent="0.3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</row>
    <row r="169" spans="2:37" x14ac:dyDescent="0.3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</row>
    <row r="170" spans="2:37" x14ac:dyDescent="0.3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</row>
    <row r="171" spans="2:37" x14ac:dyDescent="0.35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</row>
    <row r="172" spans="2:37" x14ac:dyDescent="0.35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</row>
    <row r="173" spans="2:37" x14ac:dyDescent="0.35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</row>
    <row r="174" spans="2:37" x14ac:dyDescent="0.35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</row>
    <row r="175" spans="2:37" x14ac:dyDescent="0.3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</row>
    <row r="176" spans="2:37" x14ac:dyDescent="0.35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</row>
    <row r="177" spans="2:37" x14ac:dyDescent="0.35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</row>
    <row r="178" spans="2:37" x14ac:dyDescent="0.35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</row>
    <row r="179" spans="2:37" x14ac:dyDescent="0.35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</row>
    <row r="180" spans="2:37" x14ac:dyDescent="0.35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</row>
    <row r="181" spans="2:37" x14ac:dyDescent="0.35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</row>
    <row r="182" spans="2:37" x14ac:dyDescent="0.35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</row>
    <row r="183" spans="2:37" x14ac:dyDescent="0.3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</row>
    <row r="184" spans="2:37" x14ac:dyDescent="0.3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</row>
    <row r="185" spans="2:37" x14ac:dyDescent="0.3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</row>
    <row r="186" spans="2:37" x14ac:dyDescent="0.3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</row>
    <row r="187" spans="2:37" x14ac:dyDescent="0.3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</row>
    <row r="188" spans="2:37" x14ac:dyDescent="0.3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</row>
    <row r="189" spans="2:37" x14ac:dyDescent="0.3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</row>
    <row r="190" spans="2:37" x14ac:dyDescent="0.3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</row>
    <row r="191" spans="2:37" x14ac:dyDescent="0.3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</row>
    <row r="192" spans="2:37" x14ac:dyDescent="0.3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</row>
    <row r="193" spans="2:37" x14ac:dyDescent="0.3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</row>
    <row r="194" spans="2:37" x14ac:dyDescent="0.35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</row>
    <row r="195" spans="2:37" x14ac:dyDescent="0.3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</row>
    <row r="196" spans="2:37" x14ac:dyDescent="0.35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</row>
    <row r="197" spans="2:37" x14ac:dyDescent="0.35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</row>
    <row r="198" spans="2:37" x14ac:dyDescent="0.35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</row>
    <row r="199" spans="2:37" x14ac:dyDescent="0.35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</row>
    <row r="200" spans="2:37" x14ac:dyDescent="0.3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</row>
    <row r="201" spans="2:37" x14ac:dyDescent="0.3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</row>
    <row r="202" spans="2:37" x14ac:dyDescent="0.35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</row>
    <row r="203" spans="2:37" x14ac:dyDescent="0.35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</row>
    <row r="204" spans="2:37" x14ac:dyDescent="0.35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</row>
    <row r="205" spans="2:37" x14ac:dyDescent="0.3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</row>
    <row r="206" spans="2:37" x14ac:dyDescent="0.3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</row>
    <row r="207" spans="2:37" x14ac:dyDescent="0.3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</row>
    <row r="208" spans="2:37" x14ac:dyDescent="0.3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</row>
    <row r="209" spans="2:37" x14ac:dyDescent="0.3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</row>
    <row r="210" spans="2:37" x14ac:dyDescent="0.3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</row>
    <row r="211" spans="2:37" x14ac:dyDescent="0.35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</row>
    <row r="212" spans="2:37" x14ac:dyDescent="0.3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</row>
    <row r="213" spans="2:37" x14ac:dyDescent="0.35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</row>
    <row r="214" spans="2:37" x14ac:dyDescent="0.35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</row>
    <row r="215" spans="2:37" x14ac:dyDescent="0.3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</row>
    <row r="216" spans="2:37" x14ac:dyDescent="0.35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</row>
    <row r="217" spans="2:37" x14ac:dyDescent="0.35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</row>
    <row r="218" spans="2:37" x14ac:dyDescent="0.35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</row>
    <row r="219" spans="2:37" x14ac:dyDescent="0.35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</row>
    <row r="220" spans="2:37" x14ac:dyDescent="0.35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Alessandra C. Zimmermann</cp:lastModifiedBy>
  <dcterms:created xsi:type="dcterms:W3CDTF">2020-05-18T22:49:43Z</dcterms:created>
  <dcterms:modified xsi:type="dcterms:W3CDTF">2025-02-06T17:02:47Z</dcterms:modified>
</cp:coreProperties>
</file>