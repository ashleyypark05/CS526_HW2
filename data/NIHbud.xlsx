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I:\RDBudget\Historical Tables\Hist Wesbite Files\"/>
    </mc:Choice>
  </mc:AlternateContent>
  <xr:revisionPtr revIDLastSave="0" documentId="13_ncr:1_{8F0080EE-FBF5-41C6-A4CC-10B1F4D75CED}" xr6:coauthVersionLast="47" xr6:coauthVersionMax="47" xr10:uidLastSave="{00000000-0000-0000-0000-000000000000}"/>
  <bookViews>
    <workbookView xWindow="22944" yWindow="0" windowWidth="15552" windowHeight="16656" xr2:uid="{C9F6A391-28A5-4F58-80F6-4449AF54256C}"/>
  </bookViews>
  <sheets>
    <sheet name="Data" sheetId="1" r:id="rId1"/>
  </sheets>
  <externalReferences>
    <externalReference r:id="rId2"/>
  </externalReferences>
  <definedNames>
    <definedName name="HTML1_1" hidden="1">"'[TOTAL97C.XLS]Tbl 1'!$A$10:$H$46"</definedName>
    <definedName name="HTML1_10" hidden="1">""</definedName>
    <definedName name="HTML1_11" hidden="1">1</definedName>
    <definedName name="HTML1_12" hidden="1">"h:\spp\www\dspp\rd\congact1.htm"</definedName>
    <definedName name="HTML1_2" hidden="1">1</definedName>
    <definedName name="HTML1_3" hidden="1">"Table 1. Total R&amp;D by Agency"</definedName>
    <definedName name="HTML1_4" hidden="1">"Congressional Action on R&amp;D in the FY 1997 Budget "</definedName>
    <definedName name="HTML1_5" hidden="1">"(budget authority in millions of dollars)*"</definedName>
    <definedName name="HTML1_6" hidden="1">1</definedName>
    <definedName name="HTML1_7" hidden="1">1</definedName>
    <definedName name="HTML1_8" hidden="1">""</definedName>
    <definedName name="HTML1_9" hidden="1">" "</definedName>
    <definedName name="HTML2_1" hidden="1">"'[TOTAL97C.XLS]FY 94-97'!$A$9:$O$28"</definedName>
    <definedName name="HTML2_10" hidden="1">""</definedName>
    <definedName name="HTML2_11" hidden="1">1</definedName>
    <definedName name="HTML2_12" hidden="1">"H:\SPP\WWW\DSPP\RD\CONGACTB.HTM"</definedName>
    <definedName name="HTML2_2" hidden="1">1</definedName>
    <definedName name="HTML2_3" hidden="1">"Special Table. R&amp;D by Agency, FYs 1994-97"</definedName>
    <definedName name="HTML2_4" hidden="1">"Final - Nov. 1, 1996"</definedName>
    <definedName name="HTML2_5" hidden="1">"(budget authority in millions of dollars)"</definedName>
    <definedName name="HTML2_6" hidden="1">1</definedName>
    <definedName name="HTML2_7" hidden="1">1</definedName>
    <definedName name="HTML2_8" hidden="1">""</definedName>
    <definedName name="HTML2_9" hidden="1">" "</definedName>
    <definedName name="HTML3_1" hidden="1">"[TOTAL97C.XLS]bdgres!$A$10:$I$22"</definedName>
    <definedName name="HTML3_10" hidden="1">""</definedName>
    <definedName name="HTML3_11" hidden="1">1</definedName>
    <definedName name="HTML3_12" hidden="1">"H:\SPP\WWW\DSPP\RD\CONGACTA.HTM"</definedName>
    <definedName name="HTML3_2" hidden="1">1</definedName>
    <definedName name="HTML3_3" hidden="1">"Table A. Nondefense R&amp;D: Comparisons between Budget Resolution Projections"</definedName>
    <definedName name="HTML3_4" hidden="1">"and Appropriations, FY 1996 and 1997"</definedName>
    <definedName name="HTML3_5" hidden="1">"(budget authority in millions of dollars)"</definedName>
    <definedName name="HTML3_6" hidden="1">1</definedName>
    <definedName name="HTML3_7" hidden="1">1</definedName>
    <definedName name="HTML3_8" hidden="1">""</definedName>
    <definedName name="HTML3_9" hidden="1">" "</definedName>
    <definedName name="HTML4_1" hidden="1">"[HIST297.XLS]Sheet1!$A$1:$E$21"</definedName>
    <definedName name="HTML4_10" hidden="1">""</definedName>
    <definedName name="HTML4_11" hidden="1">1</definedName>
    <definedName name="HTML4_12" hidden="1">"H:\SPP\KKOIZUMI\98P\anlytbl2.htm"</definedName>
    <definedName name="HTML4_2" hidden="1">1</definedName>
    <definedName name="HTML4_3" hidden="1">"Table 2. Trends in R&amp;D, FY 1994-1998"</definedName>
    <definedName name="HTML4_4" hidden="1">"Table 2. Trends in R&amp;D, FY 1994-1998"</definedName>
    <definedName name="HTML4_5" hidden="1">"(budget authority in millions of dollars)"</definedName>
    <definedName name="HTML4_6" hidden="1">1</definedName>
    <definedName name="HTML4_7" hidden="1">1</definedName>
    <definedName name="HTML4_8" hidden="1">""</definedName>
    <definedName name="HTML4_9" hidden="1">""</definedName>
    <definedName name="HTML5_1" hidden="1">"[HIST297.XLS]Sheet1!$A$4:$F$23"</definedName>
    <definedName name="HTML5_10" hidden="1">""</definedName>
    <definedName name="HTML5_11" hidden="1">1</definedName>
    <definedName name="HTML5_12" hidden="1">"h:\spp\WWW\DSPP\RD\anlytbl2.htm"</definedName>
    <definedName name="HTML5_2" hidden="1">1</definedName>
    <definedName name="HTML5_3" hidden="1">"Table 2. Trends in R&amp;D, FY 1994-1998"</definedName>
    <definedName name="HTML5_4" hidden="1">"Table 2. Trends in R&amp;D, FY 1994-1998"</definedName>
    <definedName name="HTML5_5" hidden="1">"Change in constant dollars"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Count" hidden="1">5</definedName>
    <definedName name="_xlnm.Print_Area" localSheetId="0">Data!$A$1:$AK$39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I39" i="1" l="1"/>
  <c r="AJ39" i="1"/>
  <c r="AK39" i="1"/>
  <c r="C39" i="1" l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B39" i="1"/>
</calcChain>
</file>

<file path=xl/sharedStrings.xml><?xml version="1.0" encoding="utf-8"?>
<sst xmlns="http://schemas.openxmlformats.org/spreadsheetml/2006/main" count="40" uniqueCount="40">
  <si>
    <t>Fiscal Years</t>
  </si>
  <si>
    <t>Cancer</t>
  </si>
  <si>
    <t>Heart, Lung, and Blood</t>
  </si>
  <si>
    <t>Dental Research</t>
  </si>
  <si>
    <t>Diabetes, Digestive, and Kidney</t>
  </si>
  <si>
    <t>Neurological Disorders</t>
  </si>
  <si>
    <t>Allergy and Infectious Diseases</t>
  </si>
  <si>
    <t>General Medical Sciences</t>
  </si>
  <si>
    <t>Child Health &amp; Human Dev</t>
  </si>
  <si>
    <t>Eye</t>
  </si>
  <si>
    <t>Environmental Health Sciences</t>
  </si>
  <si>
    <t>Aging</t>
  </si>
  <si>
    <t>Arthritis / Musculoskeletal</t>
  </si>
  <si>
    <t xml:space="preserve">Deafness and Communication </t>
  </si>
  <si>
    <t>Mental Health</t>
  </si>
  <si>
    <t>Drug Abuse</t>
  </si>
  <si>
    <t>Alcohol Abuse and Alcoholism</t>
  </si>
  <si>
    <t>Nursing Research</t>
  </si>
  <si>
    <t>Human Genome</t>
  </si>
  <si>
    <t>Biomed / Bioengineering</t>
  </si>
  <si>
    <t>Research Resources</t>
  </si>
  <si>
    <t>Complementary and Alt</t>
  </si>
  <si>
    <t>Minority Health / Disparities</t>
  </si>
  <si>
    <t>Fogarty International Center</t>
  </si>
  <si>
    <t>National Center for Adv Translational Sci</t>
  </si>
  <si>
    <t>National Library of Medicine</t>
  </si>
  <si>
    <t>Office of the Director</t>
  </si>
  <si>
    <t>Buildings and Facilities</t>
  </si>
  <si>
    <t>Total NIH Budget</t>
  </si>
  <si>
    <t xml:space="preserve">Total NIH R&amp;D </t>
  </si>
  <si>
    <t>Recovery Act</t>
  </si>
  <si>
    <t>Ebola Funding (NIAID)</t>
  </si>
  <si>
    <t>Zika Funding (NIAID)</t>
  </si>
  <si>
    <t>COVID-19 Funding</t>
  </si>
  <si>
    <t>Source: OMB data and agency budget documents.</t>
  </si>
  <si>
    <t>ARPA-H</t>
  </si>
  <si>
    <t>All Other</t>
  </si>
  <si>
    <t xml:space="preserve">2025 Request </t>
  </si>
  <si>
    <t>NIH Budgets by Institute, FY 1990-2025</t>
  </si>
  <si>
    <t>(budget authority in millions of constant 2024 dollars)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</si>
</sst>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0.0%"/>
    <numFmt numFmtId="165" formatCode="#,##0.0"/>
    <numFmt numFmtId="166" formatCode="0.000"/>
    <numFmt numFmtId="167" formatCode="0.0000"/>
  </numFmts>
  <fonts count="10" x14ac:knownFonts="1">
    <font>
      <sz val="8"/>
      <name val="Arial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Arial"/>
      <family val="2"/>
    </font>
    <font>
      <sz val="8"/>
      <name val="Arial"/>
      <family val="2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9" fontId="5" fillId="0" borderId="0" applyFont="0" applyFill="0" applyBorder="0" applyAlignment="0" applyProtection="0"/>
    <xf numFmtId="0" fontId="1" fillId="0" borderId="0">
      <alignment horizontal="left" wrapText="1"/>
    </xf>
    <xf numFmtId="44" fontId="6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2" applyFont="1" applyAlignment="1">
      <alignment horizontal="left"/>
    </xf>
    <xf numFmtId="0" fontId="3" fillId="0" borderId="0" xfId="2" applyFont="1" applyAlignment="1">
      <alignment horizontal="left"/>
    </xf>
    <xf numFmtId="0" fontId="3" fillId="0" borderId="0" xfId="0" applyFont="1"/>
    <xf numFmtId="0" fontId="4" fillId="0" borderId="0" xfId="0" applyFont="1"/>
    <xf numFmtId="0" fontId="4" fillId="0" borderId="0" xfId="2" applyFont="1" applyAlignment="1">
      <alignment horizontal="left"/>
    </xf>
    <xf numFmtId="0" fontId="4" fillId="0" borderId="1" xfId="0" applyFont="1" applyBorder="1"/>
    <xf numFmtId="0" fontId="3" fillId="0" borderId="1" xfId="0" applyFont="1" applyBorder="1"/>
    <xf numFmtId="0" fontId="4" fillId="0" borderId="2" xfId="2" applyFont="1" applyBorder="1">
      <alignment horizontal="left" wrapText="1"/>
    </xf>
    <xf numFmtId="0" fontId="4" fillId="0" borderId="2" xfId="2" applyFont="1" applyBorder="1" applyAlignment="1">
      <alignment horizontal="center"/>
    </xf>
    <xf numFmtId="0" fontId="4" fillId="0" borderId="3" xfId="2" applyFont="1" applyBorder="1" applyAlignment="1">
      <alignment horizontal="center"/>
    </xf>
    <xf numFmtId="165" fontId="4" fillId="0" borderId="0" xfId="0" applyNumberFormat="1" applyFont="1"/>
    <xf numFmtId="164" fontId="7" fillId="0" borderId="0" xfId="0" applyNumberFormat="1" applyFont="1"/>
    <xf numFmtId="44" fontId="7" fillId="0" borderId="0" xfId="3" applyFont="1"/>
    <xf numFmtId="44" fontId="7" fillId="0" borderId="4" xfId="3" applyFont="1" applyBorder="1" applyAlignment="1">
      <alignment horizontal="center"/>
    </xf>
    <xf numFmtId="0" fontId="7" fillId="0" borderId="0" xfId="0" applyFont="1"/>
    <xf numFmtId="164" fontId="7" fillId="0" borderId="0" xfId="1" applyNumberFormat="1" applyFont="1"/>
    <xf numFmtId="166" fontId="7" fillId="0" borderId="0" xfId="0" applyNumberFormat="1" applyFont="1"/>
    <xf numFmtId="0" fontId="7" fillId="0" borderId="0" xfId="0" quotePrefix="1" applyFont="1"/>
    <xf numFmtId="164" fontId="7" fillId="0" borderId="0" xfId="1" quotePrefix="1" applyNumberFormat="1" applyFont="1" applyBorder="1" applyAlignment="1">
      <alignment horizontal="right"/>
    </xf>
    <xf numFmtId="0" fontId="8" fillId="0" borderId="2" xfId="0" applyFont="1" applyBorder="1"/>
    <xf numFmtId="44" fontId="8" fillId="0" borderId="2" xfId="3" applyFont="1" applyBorder="1"/>
    <xf numFmtId="44" fontId="8" fillId="0" borderId="3" xfId="3" applyFont="1" applyBorder="1" applyAlignment="1">
      <alignment horizontal="center"/>
    </xf>
    <xf numFmtId="0" fontId="8" fillId="0" borderId="0" xfId="0" applyFont="1"/>
    <xf numFmtId="4" fontId="7" fillId="0" borderId="0" xfId="0" applyNumberFormat="1" applyFont="1"/>
    <xf numFmtId="165" fontId="7" fillId="0" borderId="0" xfId="0" applyNumberFormat="1" applyFont="1"/>
    <xf numFmtId="0" fontId="9" fillId="0" borderId="0" xfId="0" applyFont="1"/>
    <xf numFmtId="44" fontId="7" fillId="0" borderId="1" xfId="3" applyFont="1" applyBorder="1"/>
    <xf numFmtId="44" fontId="7" fillId="0" borderId="5" xfId="3" applyFont="1" applyBorder="1" applyAlignment="1">
      <alignment horizontal="center"/>
    </xf>
    <xf numFmtId="0" fontId="7" fillId="0" borderId="6" xfId="0" applyFont="1" applyBorder="1"/>
    <xf numFmtId="0" fontId="8" fillId="0" borderId="6" xfId="0" applyFont="1" applyBorder="1"/>
    <xf numFmtId="0" fontId="4" fillId="0" borderId="0" xfId="0" applyFont="1" applyFill="1"/>
    <xf numFmtId="165" fontId="4" fillId="0" borderId="0" xfId="0" applyNumberFormat="1" applyFont="1" applyFill="1"/>
    <xf numFmtId="167" fontId="1" fillId="0" borderId="0" xfId="0" applyNumberFormat="1" applyFont="1" applyFill="1" applyAlignment="1">
      <alignment horizontal="right" wrapText="1"/>
    </xf>
    <xf numFmtId="0" fontId="3" fillId="0" borderId="0" xfId="0" applyFont="1" applyFill="1"/>
  </cellXfs>
  <cellStyles count="4">
    <cellStyle name="Currency" xfId="3" builtinId="4"/>
    <cellStyle name="Normal" xfId="0" builtinId="0"/>
    <cellStyle name="Percent" xfId="1" builtinId="5"/>
    <cellStyle name="Style 1" xfId="2" xr:uid="{9F9091AC-BB43-44B7-BCF1-B4D68186AA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RDBudget\Historical%20Tables\Hist%20Source%20Files\Commerce.xlsx" TargetMode="External"/><Relationship Id="rId1" Type="http://schemas.openxmlformats.org/officeDocument/2006/relationships/externalLinkPath" Target="/RDBudget/Historical%20Tables/Hist%20Source%20Files/Commer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Graph"/>
    </sheetNames>
    <sheetDataSet>
      <sheetData sheetId="0">
        <row r="3">
          <cell r="B3">
            <v>1990</v>
          </cell>
          <cell r="C3">
            <v>1991</v>
          </cell>
          <cell r="D3">
            <v>1992</v>
          </cell>
          <cell r="E3">
            <v>1993</v>
          </cell>
          <cell r="F3">
            <v>1994</v>
          </cell>
          <cell r="G3">
            <v>1995</v>
          </cell>
          <cell r="H3">
            <v>1996</v>
          </cell>
          <cell r="I3">
            <v>1997</v>
          </cell>
          <cell r="J3">
            <v>1998</v>
          </cell>
          <cell r="K3">
            <v>1999</v>
          </cell>
          <cell r="L3">
            <v>2000</v>
          </cell>
          <cell r="M3">
            <v>2001</v>
          </cell>
          <cell r="N3">
            <v>2002</v>
          </cell>
          <cell r="O3">
            <v>2003</v>
          </cell>
          <cell r="P3">
            <v>2004</v>
          </cell>
          <cell r="Q3">
            <v>2005</v>
          </cell>
          <cell r="R3">
            <v>2006</v>
          </cell>
          <cell r="S3">
            <v>2007</v>
          </cell>
          <cell r="T3">
            <v>2008</v>
          </cell>
          <cell r="U3">
            <v>2009</v>
          </cell>
          <cell r="V3">
            <v>2010</v>
          </cell>
          <cell r="W3">
            <v>2011</v>
          </cell>
          <cell r="X3">
            <v>2012</v>
          </cell>
          <cell r="Y3">
            <v>2013</v>
          </cell>
          <cell r="Z3">
            <v>2014</v>
          </cell>
          <cell r="AA3">
            <v>2015</v>
          </cell>
          <cell r="AB3">
            <v>2016</v>
          </cell>
          <cell r="AC3">
            <v>2017</v>
          </cell>
          <cell r="AD3">
            <v>2018</v>
          </cell>
          <cell r="AE3">
            <v>2019</v>
          </cell>
          <cell r="AF3">
            <v>2020</v>
          </cell>
          <cell r="AG3">
            <v>2021</v>
          </cell>
          <cell r="AH3">
            <v>2022</v>
          </cell>
          <cell r="AI3">
            <v>2023</v>
          </cell>
          <cell r="AJ3">
            <v>2024</v>
          </cell>
          <cell r="AK3" t="str">
            <v>2025 Request</v>
          </cell>
        </row>
        <row r="20">
          <cell r="B20">
            <v>359.49</v>
          </cell>
          <cell r="C20">
            <v>403.7</v>
          </cell>
          <cell r="D20">
            <v>646.47</v>
          </cell>
          <cell r="E20">
            <v>848.97</v>
          </cell>
          <cell r="F20">
            <v>1050.04</v>
          </cell>
          <cell r="G20">
            <v>809.55</v>
          </cell>
          <cell r="H20">
            <v>739.06</v>
          </cell>
          <cell r="I20">
            <v>913.25</v>
          </cell>
          <cell r="J20">
            <v>833.56</v>
          </cell>
          <cell r="K20">
            <v>827.36</v>
          </cell>
          <cell r="L20">
            <v>708.71</v>
          </cell>
          <cell r="M20">
            <v>849.58</v>
          </cell>
          <cell r="N20">
            <v>816.12</v>
          </cell>
          <cell r="O20">
            <v>739.77</v>
          </cell>
          <cell r="P20">
            <v>698.68</v>
          </cell>
          <cell r="Q20">
            <v>664.75</v>
          </cell>
          <cell r="R20">
            <v>721.74</v>
          </cell>
          <cell r="S20">
            <v>752.56</v>
          </cell>
          <cell r="T20">
            <v>794.02</v>
          </cell>
          <cell r="U20">
            <v>836.91</v>
          </cell>
          <cell r="V20">
            <v>743.12</v>
          </cell>
          <cell r="W20">
            <v>763.2</v>
          </cell>
          <cell r="X20">
            <v>801.9</v>
          </cell>
          <cell r="Y20">
            <v>864.5</v>
          </cell>
          <cell r="Z20">
            <v>872.87</v>
          </cell>
          <cell r="AA20">
            <v>985.17</v>
          </cell>
          <cell r="AB20">
            <v>952.91</v>
          </cell>
          <cell r="AC20">
            <v>1207.99</v>
          </cell>
          <cell r="AD20">
            <v>961.76</v>
          </cell>
          <cell r="AE20">
            <v>907.77</v>
          </cell>
          <cell r="AF20">
            <v>1056.28</v>
          </cell>
          <cell r="AG20">
            <v>1159.3</v>
          </cell>
          <cell r="AH20">
            <v>3141.69</v>
          </cell>
          <cell r="AI20">
            <v>2284</v>
          </cell>
          <cell r="AJ20">
            <v>2265.02</v>
          </cell>
          <cell r="AK20">
            <v>2352</v>
          </cell>
        </row>
        <row r="22">
          <cell r="B22">
            <v>726.4</v>
          </cell>
          <cell r="C22">
            <v>771.8</v>
          </cell>
          <cell r="D22">
            <v>912.65</v>
          </cell>
          <cell r="E22">
            <v>1121.1400000000001</v>
          </cell>
          <cell r="F22">
            <v>1063.19</v>
          </cell>
          <cell r="G22">
            <v>1025.08</v>
          </cell>
          <cell r="H22">
            <v>1011.1</v>
          </cell>
          <cell r="I22">
            <v>1054.95</v>
          </cell>
          <cell r="J22">
            <v>1063.08</v>
          </cell>
          <cell r="K22">
            <v>1129.5</v>
          </cell>
          <cell r="L22">
            <v>962.72</v>
          </cell>
          <cell r="M22">
            <v>1143.48</v>
          </cell>
          <cell r="N22">
            <v>1099.75</v>
          </cell>
          <cell r="O22">
            <v>1006.68</v>
          </cell>
          <cell r="P22">
            <v>1015.52</v>
          </cell>
          <cell r="Q22">
            <v>915.29</v>
          </cell>
          <cell r="R22">
            <v>825.92</v>
          </cell>
          <cell r="S22">
            <v>907.99</v>
          </cell>
          <cell r="T22">
            <v>1127.3399999999999</v>
          </cell>
          <cell r="U22">
            <v>975.5</v>
          </cell>
          <cell r="V22">
            <v>878.13</v>
          </cell>
          <cell r="W22">
            <v>786.26</v>
          </cell>
          <cell r="X22">
            <v>730.46</v>
          </cell>
          <cell r="Y22">
            <v>830.21</v>
          </cell>
          <cell r="Z22">
            <v>902.86</v>
          </cell>
          <cell r="AA22">
            <v>873.11</v>
          </cell>
          <cell r="AB22">
            <v>1024.5999999999999</v>
          </cell>
          <cell r="AC22">
            <v>1192.7</v>
          </cell>
          <cell r="AD22">
            <v>1161.28</v>
          </cell>
          <cell r="AE22">
            <v>1099.05</v>
          </cell>
          <cell r="AF22">
            <v>1144.3900000000001</v>
          </cell>
          <cell r="AG22">
            <v>1326.69</v>
          </cell>
          <cell r="AH22">
            <v>1901.77</v>
          </cell>
          <cell r="AI22">
            <v>1297</v>
          </cell>
          <cell r="AJ22">
            <v>1121.8599999999999</v>
          </cell>
          <cell r="AK22">
            <v>1164.94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K24">
            <v>105.01</v>
          </cell>
          <cell r="L24">
            <v>96.06</v>
          </cell>
          <cell r="M24">
            <v>78.97</v>
          </cell>
          <cell r="N24">
            <v>70.37</v>
          </cell>
          <cell r="O24">
            <v>67.98</v>
          </cell>
          <cell r="P24">
            <v>48.63</v>
          </cell>
          <cell r="Q24">
            <v>38.11</v>
          </cell>
          <cell r="R24">
            <v>43.01</v>
          </cell>
          <cell r="S24">
            <v>65</v>
          </cell>
          <cell r="T24">
            <v>72.88</v>
          </cell>
          <cell r="U24">
            <v>91.28</v>
          </cell>
          <cell r="V24">
            <v>78.260000000000005</v>
          </cell>
          <cell r="W24">
            <v>168.58</v>
          </cell>
          <cell r="X24">
            <v>212.66</v>
          </cell>
          <cell r="Y24">
            <v>353.76</v>
          </cell>
          <cell r="Z24">
            <v>216.6</v>
          </cell>
          <cell r="AA24">
            <v>307.88</v>
          </cell>
          <cell r="AB24">
            <v>304.89</v>
          </cell>
          <cell r="AC24">
            <v>162.72</v>
          </cell>
          <cell r="AD24">
            <v>261.77</v>
          </cell>
          <cell r="AE24">
            <v>192.35</v>
          </cell>
          <cell r="AF24">
            <v>166.07</v>
          </cell>
          <cell r="AG24">
            <v>133.94999999999999</v>
          </cell>
          <cell r="AH24">
            <v>0</v>
          </cell>
          <cell r="AI24">
            <v>0</v>
          </cell>
          <cell r="AJ24">
            <v>309.13</v>
          </cell>
          <cell r="AK24">
            <v>321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T25">
            <v>832.96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AAAS Official">
      <a:dk1>
        <a:sysClr val="windowText" lastClr="000000"/>
      </a:dk1>
      <a:lt1>
        <a:srgbClr val="FFFFFF"/>
      </a:lt1>
      <a:dk2>
        <a:srgbClr val="A8D08D"/>
      </a:dk2>
      <a:lt2>
        <a:srgbClr val="F16F6F"/>
      </a:lt2>
      <a:accent1>
        <a:srgbClr val="005699"/>
      </a:accent1>
      <a:accent2>
        <a:srgbClr val="66C3C8"/>
      </a:accent2>
      <a:accent3>
        <a:srgbClr val="C00000"/>
      </a:accent3>
      <a:accent4>
        <a:srgbClr val="895C93"/>
      </a:accent4>
      <a:accent5>
        <a:srgbClr val="E7BC47"/>
      </a:accent5>
      <a:accent6>
        <a:srgbClr val="DA8451"/>
      </a:accent6>
      <a:hlink>
        <a:srgbClr val="005699"/>
      </a:hlink>
      <a:folHlink>
        <a:srgbClr val="66C3C8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0097F-FDB9-4514-B3F0-E1CC8ADA79F2}">
  <dimension ref="A1:JK81"/>
  <sheetViews>
    <sheetView showGridLines="0" tabSelected="1" zoomScaleNormal="100" zoomScaleSheetLayoutView="85" workbookViewId="0">
      <pane xSplit="1" topLeftCell="B1" activePane="topRight" state="frozen"/>
      <selection pane="topRight" activeCell="F42" sqref="F42"/>
    </sheetView>
  </sheetViews>
  <sheetFormatPr defaultColWidth="9.33203125" defaultRowHeight="13" x14ac:dyDescent="0.3"/>
  <cols>
    <col min="1" max="1" width="34" style="4" customWidth="1"/>
    <col min="2" max="9" width="10.44140625" style="4" customWidth="1"/>
    <col min="10" max="15" width="13.44140625" style="4" bestFit="1" customWidth="1"/>
    <col min="16" max="21" width="13.44140625" style="3" bestFit="1" customWidth="1"/>
    <col min="22" max="24" width="13.44140625" style="4" bestFit="1" customWidth="1"/>
    <col min="25" max="25" width="10.6640625" style="4" customWidth="1"/>
    <col min="26" max="26" width="13.44140625" style="4" bestFit="1" customWidth="1"/>
    <col min="27" max="27" width="11.6640625" style="4" customWidth="1"/>
    <col min="28" max="36" width="11.33203125" style="4" customWidth="1"/>
    <col min="37" max="37" width="17.109375" style="4" customWidth="1"/>
    <col min="38" max="16384" width="9.33203125" style="4"/>
  </cols>
  <sheetData>
    <row r="1" spans="1:271" ht="14.5" x14ac:dyDescent="0.35">
      <c r="A1" s="1" t="s">
        <v>38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</row>
    <row r="2" spans="1:271" x14ac:dyDescent="0.3">
      <c r="A2" s="5" t="s">
        <v>39</v>
      </c>
      <c r="B2" s="5"/>
      <c r="C2" s="5"/>
      <c r="D2" s="5"/>
      <c r="E2" s="5"/>
      <c r="F2" s="5"/>
      <c r="G2" s="5"/>
      <c r="H2" s="5"/>
      <c r="I2" s="5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7"/>
      <c r="V2" s="6"/>
      <c r="W2" s="6"/>
      <c r="X2" s="6"/>
      <c r="Y2" s="6"/>
    </row>
    <row r="3" spans="1:271" x14ac:dyDescent="0.3">
      <c r="A3" s="8" t="s">
        <v>0</v>
      </c>
      <c r="B3" s="9">
        <v>1990</v>
      </c>
      <c r="C3" s="9">
        <v>1991</v>
      </c>
      <c r="D3" s="9">
        <v>1992</v>
      </c>
      <c r="E3" s="9">
        <v>1993</v>
      </c>
      <c r="F3" s="9">
        <v>1994</v>
      </c>
      <c r="G3" s="9">
        <v>1995</v>
      </c>
      <c r="H3" s="9">
        <v>1996</v>
      </c>
      <c r="I3" s="9">
        <v>1997</v>
      </c>
      <c r="J3" s="9">
        <v>1998</v>
      </c>
      <c r="K3" s="9">
        <v>1999</v>
      </c>
      <c r="L3" s="9">
        <v>2000</v>
      </c>
      <c r="M3" s="9">
        <v>2001</v>
      </c>
      <c r="N3" s="9">
        <v>2002</v>
      </c>
      <c r="O3" s="9">
        <v>2003</v>
      </c>
      <c r="P3" s="9">
        <v>2004</v>
      </c>
      <c r="Q3" s="9">
        <v>2005</v>
      </c>
      <c r="R3" s="9">
        <v>2006</v>
      </c>
      <c r="S3" s="9">
        <v>2007</v>
      </c>
      <c r="T3" s="9">
        <v>2008</v>
      </c>
      <c r="U3" s="9">
        <v>2009</v>
      </c>
      <c r="V3" s="9">
        <v>2010</v>
      </c>
      <c r="W3" s="9">
        <v>2011</v>
      </c>
      <c r="X3" s="9">
        <v>2012</v>
      </c>
      <c r="Y3" s="9">
        <v>2013</v>
      </c>
      <c r="Z3" s="9">
        <v>2014</v>
      </c>
      <c r="AA3" s="9">
        <v>2015</v>
      </c>
      <c r="AB3" s="9">
        <v>2016</v>
      </c>
      <c r="AC3" s="9">
        <v>2017</v>
      </c>
      <c r="AD3" s="9">
        <v>2018</v>
      </c>
      <c r="AE3" s="9">
        <v>2019</v>
      </c>
      <c r="AF3" s="9">
        <v>2020</v>
      </c>
      <c r="AG3" s="9">
        <v>2021</v>
      </c>
      <c r="AH3" s="9">
        <v>2022</v>
      </c>
      <c r="AI3" s="9">
        <v>2023</v>
      </c>
      <c r="AJ3" s="9">
        <v>2024</v>
      </c>
      <c r="AK3" s="10" t="s">
        <v>37</v>
      </c>
    </row>
    <row r="4" spans="1:271" s="15" customFormat="1" ht="12" x14ac:dyDescent="0.3">
      <c r="A4" s="12" t="s">
        <v>1</v>
      </c>
      <c r="B4" s="13">
        <v>4947.2476160956867</v>
      </c>
      <c r="C4" s="13">
        <v>4951.8232236901658</v>
      </c>
      <c r="D4" s="13">
        <v>5427.9856651313385</v>
      </c>
      <c r="E4" s="13">
        <v>5298.8265266997223</v>
      </c>
      <c r="F4" s="13">
        <v>5361.1799787619948</v>
      </c>
      <c r="G4" s="13">
        <v>4762.5104040649994</v>
      </c>
      <c r="H4" s="13">
        <v>5454.5399109296968</v>
      </c>
      <c r="I4" s="13">
        <v>5621.2441230736995</v>
      </c>
      <c r="J4" s="13">
        <v>5816.3087724471006</v>
      </c>
      <c r="K4" s="13">
        <v>6474.2646589648157</v>
      </c>
      <c r="L4" s="13">
        <v>7072.3409938089862</v>
      </c>
      <c r="M4" s="13">
        <v>7753.1990425017812</v>
      </c>
      <c r="N4" s="13">
        <v>8357.6967737218783</v>
      </c>
      <c r="O4" s="13">
        <v>8867.7488911883847</v>
      </c>
      <c r="P4" s="13">
        <v>8822.7225460931732</v>
      </c>
      <c r="Q4" s="13">
        <v>8646.4426949613971</v>
      </c>
      <c r="R4" s="13">
        <v>8209.2347641395809</v>
      </c>
      <c r="S4" s="13">
        <v>7916.2220485118878</v>
      </c>
      <c r="T4" s="13">
        <v>7614.2685192541257</v>
      </c>
      <c r="U4" s="13">
        <v>7609.5311281844806</v>
      </c>
      <c r="V4" s="13">
        <v>7584.7240420506196</v>
      </c>
      <c r="W4" s="13">
        <v>7309.0144270169712</v>
      </c>
      <c r="X4" s="13">
        <v>7235.9804941631546</v>
      </c>
      <c r="Y4" s="13">
        <v>6732.2177375517767</v>
      </c>
      <c r="Z4" s="13">
        <v>6749.3210852984057</v>
      </c>
      <c r="AA4" s="13">
        <v>6654.8018540084895</v>
      </c>
      <c r="AB4" s="13">
        <v>6846.2455595106585</v>
      </c>
      <c r="AC4" s="13">
        <v>7254.2007095728432</v>
      </c>
      <c r="AD4" s="13">
        <v>7432.4570579751335</v>
      </c>
      <c r="AE4" s="13">
        <v>7494.6578952881946</v>
      </c>
      <c r="AF4" s="13">
        <v>7191.1991960696741</v>
      </c>
      <c r="AG4" s="13">
        <v>7302.3671281822244</v>
      </c>
      <c r="AH4" s="13">
        <v>7718.3139794551143</v>
      </c>
      <c r="AI4" s="13">
        <v>7568.3317624882193</v>
      </c>
      <c r="AJ4" s="13">
        <v>7224.1589999999997</v>
      </c>
      <c r="AK4" s="14">
        <v>7839</v>
      </c>
      <c r="AM4" s="16"/>
    </row>
    <row r="5" spans="1:271" s="15" customFormat="1" ht="12" x14ac:dyDescent="0.3">
      <c r="A5" s="15" t="s">
        <v>2</v>
      </c>
      <c r="B5" s="13">
        <v>3246.0973474855009</v>
      </c>
      <c r="C5" s="13">
        <v>3254.2976651005861</v>
      </c>
      <c r="D5" s="13">
        <v>3287.3272704218739</v>
      </c>
      <c r="E5" s="13">
        <v>3248.781953752331</v>
      </c>
      <c r="F5" s="13">
        <v>3290.137466165665</v>
      </c>
      <c r="G5" s="13">
        <v>3128.9566865000425</v>
      </c>
      <c r="H5" s="13">
        <v>3287.6365810296033</v>
      </c>
      <c r="I5" s="13">
        <v>3381.8107234711656</v>
      </c>
      <c r="J5" s="13">
        <v>3495.8876390785085</v>
      </c>
      <c r="K5" s="13">
        <v>3967.2470972797723</v>
      </c>
      <c r="L5" s="13">
        <v>4330.2292100294062</v>
      </c>
      <c r="M5" s="13">
        <v>4746.5787420544693</v>
      </c>
      <c r="N5" s="13">
        <v>5142.3995471576782</v>
      </c>
      <c r="O5" s="13">
        <v>5394.6527382128706</v>
      </c>
      <c r="P5" s="13">
        <v>5359.0473584847196</v>
      </c>
      <c r="Q5" s="13">
        <v>5270.3764028499945</v>
      </c>
      <c r="R5" s="13">
        <v>5003.8822772120784</v>
      </c>
      <c r="S5" s="13">
        <v>4822.9045570195685</v>
      </c>
      <c r="T5" s="13">
        <v>4631.7397267431606</v>
      </c>
      <c r="U5" s="13">
        <v>4618.2539769130426</v>
      </c>
      <c r="V5" s="13">
        <v>4602.6783073149127</v>
      </c>
      <c r="W5" s="13">
        <v>4435.3678305076346</v>
      </c>
      <c r="X5" s="13">
        <v>4392.5339241740157</v>
      </c>
      <c r="Y5" s="13">
        <v>4086.7290291524378</v>
      </c>
      <c r="Z5" s="13">
        <v>4097.1114421298016</v>
      </c>
      <c r="AA5" s="13">
        <v>4025.1918536214903</v>
      </c>
      <c r="AB5" s="13">
        <v>4088.6086421559312</v>
      </c>
      <c r="AC5" s="13">
        <v>4114.0732089704679</v>
      </c>
      <c r="AD5" s="13">
        <v>4219.4572710957618</v>
      </c>
      <c r="AE5" s="13">
        <v>4263.681806413947</v>
      </c>
      <c r="AF5" s="13">
        <v>4047.8539526574364</v>
      </c>
      <c r="AG5" s="13">
        <v>4079.9464046449311</v>
      </c>
      <c r="AH5" s="13">
        <v>4252.4497543546231</v>
      </c>
      <c r="AI5" s="13">
        <v>4187.873075714735</v>
      </c>
      <c r="AJ5" s="13">
        <v>3982.3449999999998</v>
      </c>
      <c r="AK5" s="14">
        <v>3997</v>
      </c>
      <c r="AM5" s="16"/>
    </row>
    <row r="6" spans="1:271" s="15" customFormat="1" ht="12" x14ac:dyDescent="0.3">
      <c r="A6" s="15" t="s">
        <v>3</v>
      </c>
      <c r="B6" s="13">
        <v>410.92257670863279</v>
      </c>
      <c r="C6" s="13">
        <v>430.03410973364117</v>
      </c>
      <c r="D6" s="13">
        <v>438.13864308339527</v>
      </c>
      <c r="E6" s="13">
        <v>431.37536841437566</v>
      </c>
      <c r="F6" s="13">
        <v>436.46046832598006</v>
      </c>
      <c r="G6" s="13">
        <v>404.20466351952712</v>
      </c>
      <c r="H6" s="13">
        <v>443.84377407784388</v>
      </c>
      <c r="I6" s="13">
        <v>462.28947890321314</v>
      </c>
      <c r="J6" s="13">
        <v>478.15946584598908</v>
      </c>
      <c r="K6" s="13">
        <v>518.3024615119192</v>
      </c>
      <c r="L6" s="13">
        <v>573.56828547273244</v>
      </c>
      <c r="M6" s="13">
        <v>632.34589298782919</v>
      </c>
      <c r="N6" s="13">
        <v>684.93714826957353</v>
      </c>
      <c r="O6" s="13">
        <v>717.62303878662669</v>
      </c>
      <c r="P6" s="13">
        <v>713.52791586687852</v>
      </c>
      <c r="Q6" s="13">
        <v>702.12349157786593</v>
      </c>
      <c r="R6" s="13">
        <v>666.78765902867406</v>
      </c>
      <c r="S6" s="13">
        <v>643.01951042402891</v>
      </c>
      <c r="T6" s="13">
        <v>617.53692454371912</v>
      </c>
      <c r="U6" s="13">
        <v>616.62499027983006</v>
      </c>
      <c r="V6" s="13">
        <v>614.15691384641536</v>
      </c>
      <c r="W6" s="13">
        <v>591.83260063483613</v>
      </c>
      <c r="X6" s="13">
        <v>585.91922822140862</v>
      </c>
      <c r="Y6" s="13">
        <v>545.12835860336145</v>
      </c>
      <c r="Z6" s="13">
        <v>546.513666545109</v>
      </c>
      <c r="AA6" s="13">
        <v>534.34276917860666</v>
      </c>
      <c r="AB6" s="13">
        <v>542.85736146239003</v>
      </c>
      <c r="AC6" s="13">
        <v>544.45003517243777</v>
      </c>
      <c r="AD6" s="13">
        <v>558.56602194447476</v>
      </c>
      <c r="AE6" s="13">
        <v>563.99391623415454</v>
      </c>
      <c r="AF6" s="13">
        <v>533.36199196069674</v>
      </c>
      <c r="AG6" s="13">
        <v>539.3032603841001</v>
      </c>
      <c r="AH6" s="13">
        <v>559.65944618133096</v>
      </c>
      <c r="AI6" s="13">
        <v>544.55963975285374</v>
      </c>
      <c r="AJ6" s="13">
        <v>520.16300000000001</v>
      </c>
      <c r="AK6" s="14">
        <v>522</v>
      </c>
      <c r="AM6" s="16"/>
    </row>
    <row r="7" spans="1:271" s="15" customFormat="1" ht="12" x14ac:dyDescent="0.3">
      <c r="A7" s="15" t="s">
        <v>4</v>
      </c>
      <c r="B7" s="13">
        <v>1760.1752288179332</v>
      </c>
      <c r="C7" s="13">
        <v>1776.7358329015758</v>
      </c>
      <c r="D7" s="13">
        <v>1822.4086139349072</v>
      </c>
      <c r="E7" s="13">
        <v>1822.1471427095159</v>
      </c>
      <c r="F7" s="13">
        <v>1843.6129317289483</v>
      </c>
      <c r="G7" s="13">
        <v>1809.0018835243284</v>
      </c>
      <c r="H7" s="13">
        <v>1870.3927933362893</v>
      </c>
      <c r="I7" s="13">
        <v>1925.4259416306038</v>
      </c>
      <c r="J7" s="13">
        <v>2056.9430862259997</v>
      </c>
      <c r="K7" s="13">
        <v>2258.738857295973</v>
      </c>
      <c r="L7" s="13">
        <v>2493.2044296402919</v>
      </c>
      <c r="M7" s="13">
        <v>2890.4396931552969</v>
      </c>
      <c r="N7" s="13">
        <v>3122.5061767399689</v>
      </c>
      <c r="O7" s="13">
        <v>3326.5634588922635</v>
      </c>
      <c r="P7" s="13">
        <v>3391.5166840864608</v>
      </c>
      <c r="Q7" s="13">
        <v>3339.3804565987857</v>
      </c>
      <c r="R7" s="13">
        <v>3176.7961309094535</v>
      </c>
      <c r="S7" s="13">
        <v>3062.2277292492536</v>
      </c>
      <c r="T7" s="13">
        <v>2939.6045713214785</v>
      </c>
      <c r="U7" s="13">
        <v>2927.0406596054904</v>
      </c>
      <c r="V7" s="13">
        <v>2910.1546162547938</v>
      </c>
      <c r="W7" s="13">
        <v>2806.272047751494</v>
      </c>
      <c r="X7" s="13">
        <v>2777.6545927616189</v>
      </c>
      <c r="Y7" s="13">
        <v>2584.5277202349057</v>
      </c>
      <c r="Z7" s="13">
        <v>2582.0752077822212</v>
      </c>
      <c r="AA7" s="13">
        <v>2551.6513116868477</v>
      </c>
      <c r="AB7" s="13">
        <v>2582.3770749024666</v>
      </c>
      <c r="AC7" s="13">
        <v>2575.5231874969795</v>
      </c>
      <c r="AD7" s="13">
        <v>2642.8206015823657</v>
      </c>
      <c r="AE7" s="13">
        <v>2663.6078375067987</v>
      </c>
      <c r="AF7" s="13">
        <v>2529.1938365341675</v>
      </c>
      <c r="AG7" s="13">
        <v>2541.3130861991963</v>
      </c>
      <c r="AH7" s="13">
        <v>2618.273782938812</v>
      </c>
      <c r="AI7" s="13">
        <v>2559.4303068384124</v>
      </c>
      <c r="AJ7" s="13">
        <v>2560.721</v>
      </c>
      <c r="AK7" s="14">
        <v>2310</v>
      </c>
      <c r="AM7" s="16"/>
    </row>
    <row r="8" spans="1:271" s="15" customFormat="1" ht="12" x14ac:dyDescent="0.3">
      <c r="A8" s="15" t="s">
        <v>5</v>
      </c>
      <c r="B8" s="13">
        <v>1484.5054469727502</v>
      </c>
      <c r="C8" s="13">
        <v>1564.4043615240064</v>
      </c>
      <c r="D8" s="13">
        <v>1598.4204416592365</v>
      </c>
      <c r="E8" s="13">
        <v>1604.8187446287484</v>
      </c>
      <c r="F8" s="13">
        <v>1623.7246009307414</v>
      </c>
      <c r="G8" s="13">
        <v>1560.3922504254251</v>
      </c>
      <c r="H8" s="13">
        <v>1652.1384049963756</v>
      </c>
      <c r="I8" s="13">
        <v>1714.8490412442047</v>
      </c>
      <c r="J8" s="13">
        <v>1782.6101810234206</v>
      </c>
      <c r="K8" s="13">
        <v>1997.8447024659317</v>
      </c>
      <c r="L8" s="13">
        <v>2196.4035230209311</v>
      </c>
      <c r="M8" s="13">
        <v>2428.2159937210317</v>
      </c>
      <c r="N8" s="13">
        <v>2651.8187692497659</v>
      </c>
      <c r="O8" s="13">
        <v>2812.4313388363639</v>
      </c>
      <c r="P8" s="13">
        <v>2794.6866849859093</v>
      </c>
      <c r="Q8" s="13">
        <v>2758.5569339241415</v>
      </c>
      <c r="R8" s="13">
        <v>2628.4675118865725</v>
      </c>
      <c r="S8" s="13">
        <v>2533.6869208963381</v>
      </c>
      <c r="T8" s="13">
        <v>2446.5056449426093</v>
      </c>
      <c r="U8" s="13">
        <v>2440.0617121296445</v>
      </c>
      <c r="V8" s="13">
        <v>2431.9966393725922</v>
      </c>
      <c r="W8" s="13">
        <v>2343.5925414725934</v>
      </c>
      <c r="X8" s="13">
        <v>2320.1736641579487</v>
      </c>
      <c r="Y8" s="13">
        <v>2158.6452273203699</v>
      </c>
      <c r="Z8" s="13">
        <v>2176.9819772422811</v>
      </c>
      <c r="AA8" s="13">
        <v>2155.9219206019025</v>
      </c>
      <c r="AB8" s="13">
        <v>2226.0648390442848</v>
      </c>
      <c r="AC8" s="13">
        <v>2279.6929925606655</v>
      </c>
      <c r="AD8" s="13">
        <v>2682.3068575512311</v>
      </c>
      <c r="AE8" s="13">
        <v>2750.2888260524637</v>
      </c>
      <c r="AF8" s="13">
        <v>2731.7742295667713</v>
      </c>
      <c r="AG8" s="13">
        <v>2795.8910227780261</v>
      </c>
      <c r="AH8" s="13">
        <v>2915.777132648504</v>
      </c>
      <c r="AI8" s="13">
        <v>2903.9690019897371</v>
      </c>
      <c r="AJ8" s="13">
        <v>2689.9250000000002</v>
      </c>
      <c r="AK8" s="14">
        <v>2789</v>
      </c>
      <c r="AM8" s="16"/>
    </row>
    <row r="9" spans="1:271" s="15" customFormat="1" ht="12" x14ac:dyDescent="0.3">
      <c r="A9" s="15" t="s">
        <v>6</v>
      </c>
      <c r="B9" s="13">
        <v>2521.4849109682336</v>
      </c>
      <c r="C9" s="13">
        <v>2617.0029276529499</v>
      </c>
      <c r="D9" s="13">
        <v>2652.5618215577174</v>
      </c>
      <c r="E9" s="13">
        <v>2619.4485060613201</v>
      </c>
      <c r="F9" s="13">
        <v>2743.5397311243682</v>
      </c>
      <c r="G9" s="13">
        <v>1331.8348316874185</v>
      </c>
      <c r="H9" s="13">
        <v>2835.2033624300998</v>
      </c>
      <c r="I9" s="13">
        <v>2966.6295634828698</v>
      </c>
      <c r="J9" s="13">
        <v>3086.2480376671215</v>
      </c>
      <c r="K9" s="13">
        <v>3472.7081605721874</v>
      </c>
      <c r="L9" s="13">
        <v>3836.5155178724867</v>
      </c>
      <c r="M9" s="13">
        <v>4217.1206271880419</v>
      </c>
      <c r="N9" s="13">
        <v>4731.9257794267533</v>
      </c>
      <c r="O9" s="13">
        <v>7157.6195674725859</v>
      </c>
      <c r="P9" s="13">
        <v>8013.4865518854585</v>
      </c>
      <c r="Q9" s="13">
        <v>7889.5081675480433</v>
      </c>
      <c r="R9" s="13">
        <v>7560.910945474986</v>
      </c>
      <c r="S9" s="13">
        <v>7288.5015655540337</v>
      </c>
      <c r="T9" s="13">
        <v>7224.459152596387</v>
      </c>
      <c r="U9" s="13">
        <v>7201.5621772403983</v>
      </c>
      <c r="V9" s="13">
        <v>7160.9852579720464</v>
      </c>
      <c r="W9" s="13">
        <v>6900.6795814260395</v>
      </c>
      <c r="X9" s="13">
        <v>6406.4520544554325</v>
      </c>
      <c r="Y9" s="13">
        <v>5960.4405924597322</v>
      </c>
      <c r="Z9" s="13">
        <v>5975.5830347351057</v>
      </c>
      <c r="AA9" s="13">
        <v>5935.3537207118625</v>
      </c>
      <c r="AB9" s="13">
        <v>6246.0886259132212</v>
      </c>
      <c r="AC9" s="13">
        <v>6287.5169496160779</v>
      </c>
      <c r="AD9" s="13">
        <v>6587.8873459975639</v>
      </c>
      <c r="AE9" s="13">
        <v>6789.239422845144</v>
      </c>
      <c r="AF9" s="13">
        <v>6561.1824475212152</v>
      </c>
      <c r="AG9" s="13">
        <v>6754.1313086199198</v>
      </c>
      <c r="AH9" s="13">
        <v>7059.7677534613667</v>
      </c>
      <c r="AI9" s="13">
        <v>7084.5114671693373</v>
      </c>
      <c r="AJ9" s="13">
        <v>6562.2790000000005</v>
      </c>
      <c r="AK9" s="14">
        <v>6581</v>
      </c>
      <c r="AM9" s="16"/>
    </row>
    <row r="10" spans="1:271" s="15" customFormat="1" ht="12" x14ac:dyDescent="0.3">
      <c r="A10" s="15" t="s">
        <v>7</v>
      </c>
      <c r="B10" s="13">
        <v>2063.8061141781159</v>
      </c>
      <c r="C10" s="13">
        <v>2194.6992555544971</v>
      </c>
      <c r="D10" s="13">
        <v>2259.1699234981907</v>
      </c>
      <c r="E10" s="13">
        <v>2226.6131989870451</v>
      </c>
      <c r="F10" s="13">
        <v>2254.1643527875599</v>
      </c>
      <c r="G10" s="13">
        <v>2181.8491440702082</v>
      </c>
      <c r="H10" s="13">
        <v>2297.5453841190774</v>
      </c>
      <c r="I10" s="13">
        <v>2356.9197292160975</v>
      </c>
      <c r="J10" s="13">
        <v>2433.8879647596136</v>
      </c>
      <c r="K10" s="13">
        <v>2649.3021367638421</v>
      </c>
      <c r="L10" s="13">
        <v>2889.9574690395052</v>
      </c>
      <c r="M10" s="13">
        <v>3170.6567448062515</v>
      </c>
      <c r="N10" s="13">
        <v>3447.6306480932108</v>
      </c>
      <c r="O10" s="13">
        <v>3566.5267967551563</v>
      </c>
      <c r="P10" s="13">
        <v>3546.0968378479374</v>
      </c>
      <c r="Q10" s="13">
        <v>3483.5989931865865</v>
      </c>
      <c r="R10" s="13">
        <v>3314.9932063661304</v>
      </c>
      <c r="S10" s="13">
        <v>3194.1306903845207</v>
      </c>
      <c r="T10" s="13">
        <v>3067.5307929547598</v>
      </c>
      <c r="U10" s="13">
        <v>3059.450896074115</v>
      </c>
      <c r="V10" s="13">
        <v>3049.4098469548812</v>
      </c>
      <c r="W10" s="13">
        <v>2938.56196701314</v>
      </c>
      <c r="X10" s="13">
        <v>3466.6913824115286</v>
      </c>
      <c r="Y10" s="13">
        <v>3225.3420882172882</v>
      </c>
      <c r="Z10" s="13">
        <v>3241.0351065386176</v>
      </c>
      <c r="AA10" s="13">
        <v>3187.3821615920992</v>
      </c>
      <c r="AB10" s="13">
        <v>3299.2687039047864</v>
      </c>
      <c r="AC10" s="13">
        <v>3391.4965253323739</v>
      </c>
      <c r="AD10" s="13">
        <v>3477.6015935509317</v>
      </c>
      <c r="AE10" s="13">
        <v>3454.9959455519579</v>
      </c>
      <c r="AF10" s="13">
        <v>3279.6092005359537</v>
      </c>
      <c r="AG10" s="13">
        <v>319.33899062081287</v>
      </c>
      <c r="AH10" s="13">
        <v>3452.8506029477448</v>
      </c>
      <c r="AI10" s="13">
        <v>3393.0254476908576</v>
      </c>
      <c r="AJ10" s="13">
        <v>3244.6790000000001</v>
      </c>
      <c r="AK10" s="14">
        <v>3249</v>
      </c>
      <c r="AM10" s="16"/>
    </row>
    <row r="11" spans="1:271" s="15" customFormat="1" ht="12" x14ac:dyDescent="0.3">
      <c r="A11" s="15" t="s">
        <v>8</v>
      </c>
      <c r="B11" s="13">
        <v>1340.7344594827762</v>
      </c>
      <c r="C11" s="13">
        <v>1383.0928233093773</v>
      </c>
      <c r="D11" s="13">
        <v>1433.3423175329201</v>
      </c>
      <c r="E11" s="13">
        <v>1411.4899656213322</v>
      </c>
      <c r="F11" s="13">
        <v>1429.4518033992597</v>
      </c>
      <c r="G11" s="13">
        <v>1274.5150618203447</v>
      </c>
      <c r="H11" s="13">
        <v>1442.6069129997857</v>
      </c>
      <c r="I11" s="13">
        <v>1490.4807703190459</v>
      </c>
      <c r="J11" s="13">
        <v>1540.7002847505414</v>
      </c>
      <c r="K11" s="13">
        <v>1661.0011095074053</v>
      </c>
      <c r="L11" s="13">
        <v>1831.3554776652634</v>
      </c>
      <c r="M11" s="13">
        <v>2015.0210887824478</v>
      </c>
      <c r="N11" s="13">
        <v>2222.0799948796189</v>
      </c>
      <c r="O11" s="13">
        <v>2328.6253169629426</v>
      </c>
      <c r="P11" s="13">
        <v>2312.8121202777356</v>
      </c>
      <c r="Q11" s="13">
        <v>2276.3047552495759</v>
      </c>
      <c r="R11" s="13">
        <v>2166.0785561110119</v>
      </c>
      <c r="S11" s="13">
        <v>2070.2973312127497</v>
      </c>
      <c r="T11" s="13">
        <v>1988.2416659891087</v>
      </c>
      <c r="U11" s="13">
        <v>1983.0126266935474</v>
      </c>
      <c r="V11" s="13">
        <v>1975.9624363617809</v>
      </c>
      <c r="W11" s="13">
        <v>1904.1350756748436</v>
      </c>
      <c r="X11" s="13">
        <v>1885.1074878462</v>
      </c>
      <c r="Y11" s="13">
        <v>1753.8677388307672</v>
      </c>
      <c r="Z11" s="13">
        <v>1758.3235824468181</v>
      </c>
      <c r="AA11" s="13">
        <v>1729.0146970834912</v>
      </c>
      <c r="AB11" s="13">
        <v>1759.9203141275923</v>
      </c>
      <c r="AC11" s="13">
        <v>1764.3586796014547</v>
      </c>
      <c r="AD11" s="13">
        <v>1822.2250004904133</v>
      </c>
      <c r="AE11" s="13">
        <v>1838.0711150920031</v>
      </c>
      <c r="AF11" s="13">
        <v>1738.3977221974096</v>
      </c>
      <c r="AG11" s="13">
        <v>1773.1129968736043</v>
      </c>
      <c r="AH11" s="13">
        <v>1879.1971862438591</v>
      </c>
      <c r="AI11" s="13">
        <v>1830.5581736307468</v>
      </c>
      <c r="AJ11" s="13">
        <v>1759.078</v>
      </c>
      <c r="AK11" s="14">
        <v>1766</v>
      </c>
      <c r="AM11" s="16"/>
    </row>
    <row r="12" spans="1:271" s="15" customFormat="1" ht="12" x14ac:dyDescent="0.3">
      <c r="A12" s="15" t="s">
        <v>9</v>
      </c>
      <c r="B12" s="13">
        <v>716.00343160261241</v>
      </c>
      <c r="C12" s="13">
        <v>731.29015957142212</v>
      </c>
      <c r="D12" s="13">
        <v>743.92051319798679</v>
      </c>
      <c r="E12" s="13">
        <v>738.62344468806532</v>
      </c>
      <c r="F12" s="13">
        <v>747.32784058694529</v>
      </c>
      <c r="G12" s="13">
        <v>724.38562166605152</v>
      </c>
      <c r="H12" s="13">
        <v>761.72601328198073</v>
      </c>
      <c r="I12" s="13">
        <v>785.17091185891468</v>
      </c>
      <c r="J12" s="13">
        <v>812.15299078970315</v>
      </c>
      <c r="K12" s="13">
        <v>875.54545915718779</v>
      </c>
      <c r="L12" s="13">
        <v>960.81558771170614</v>
      </c>
      <c r="M12" s="13">
        <v>1053.9105100016804</v>
      </c>
      <c r="N12" s="13">
        <v>1160.763623208358</v>
      </c>
      <c r="O12" s="13">
        <v>1222.5984343865368</v>
      </c>
      <c r="P12" s="13">
        <v>1215.7388881103125</v>
      </c>
      <c r="Q12" s="13">
        <v>1198.9152525974412</v>
      </c>
      <c r="R12" s="13">
        <v>1141.9048646498718</v>
      </c>
      <c r="S12" s="13">
        <v>1100.7577660834957</v>
      </c>
      <c r="T12" s="13">
        <v>1057.1287411804358</v>
      </c>
      <c r="U12" s="13">
        <v>1054.344628383461</v>
      </c>
      <c r="V12" s="13">
        <v>1050.8064344304805</v>
      </c>
      <c r="W12" s="13">
        <v>1012.6092699305456</v>
      </c>
      <c r="X12" s="13">
        <v>1002.4895247301563</v>
      </c>
      <c r="Y12" s="13">
        <v>932.69807757710112</v>
      </c>
      <c r="Z12" s="13">
        <v>935.06685597915043</v>
      </c>
      <c r="AA12" s="13">
        <v>909.28828222376319</v>
      </c>
      <c r="AB12" s="13">
        <v>929.71034553823563</v>
      </c>
      <c r="AC12" s="13">
        <v>937.1732830469814</v>
      </c>
      <c r="AD12" s="13">
        <v>963.48240238841458</v>
      </c>
      <c r="AE12" s="13">
        <v>971.87585816833803</v>
      </c>
      <c r="AF12" s="13">
        <v>919.29991067440835</v>
      </c>
      <c r="AG12" s="13">
        <v>930.10272443054942</v>
      </c>
      <c r="AH12" s="13">
        <v>964.62483251451545</v>
      </c>
      <c r="AI12" s="13">
        <v>938.31814849722491</v>
      </c>
      <c r="AJ12" s="13">
        <v>896.54899999999998</v>
      </c>
      <c r="AK12" s="14">
        <v>899</v>
      </c>
      <c r="AL12" s="17"/>
      <c r="AM12" s="16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7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7"/>
      <c r="FT12" s="17"/>
      <c r="FU12" s="17"/>
      <c r="FV12" s="17"/>
      <c r="FW12" s="17"/>
      <c r="FX12" s="17"/>
      <c r="FY12" s="17"/>
      <c r="FZ12" s="17"/>
      <c r="GA12" s="17"/>
      <c r="GB12" s="17"/>
      <c r="GC12" s="17"/>
      <c r="GD12" s="17"/>
      <c r="GE12" s="17"/>
      <c r="GF12" s="17"/>
      <c r="GG12" s="17"/>
      <c r="GH12" s="17"/>
      <c r="GI12" s="17"/>
      <c r="GJ12" s="17"/>
      <c r="GK12" s="17"/>
      <c r="GL12" s="17"/>
      <c r="GM12" s="17"/>
      <c r="GN12" s="17"/>
      <c r="GO12" s="17"/>
      <c r="GP12" s="17"/>
      <c r="GQ12" s="17"/>
      <c r="GR12" s="17"/>
      <c r="GS12" s="17"/>
      <c r="GT12" s="17"/>
      <c r="GU12" s="17"/>
      <c r="GV12" s="17"/>
      <c r="GW12" s="17"/>
      <c r="GX12" s="17"/>
      <c r="GY12" s="17"/>
      <c r="GZ12" s="17"/>
      <c r="HA12" s="17"/>
      <c r="HB12" s="17"/>
      <c r="HC12" s="17"/>
      <c r="HD12" s="17"/>
      <c r="HE12" s="17"/>
      <c r="HF12" s="17"/>
      <c r="HG12" s="17"/>
      <c r="HH12" s="17"/>
      <c r="HI12" s="17"/>
      <c r="HJ12" s="17"/>
      <c r="HK12" s="17"/>
      <c r="HL12" s="17"/>
      <c r="HM12" s="17"/>
      <c r="HN12" s="17"/>
      <c r="HO12" s="17"/>
      <c r="HP12" s="17"/>
      <c r="HQ12" s="17"/>
      <c r="HR12" s="17"/>
      <c r="HS12" s="17"/>
      <c r="HT12" s="17"/>
      <c r="HU12" s="17"/>
      <c r="HV12" s="17"/>
      <c r="HW12" s="17"/>
      <c r="HX12" s="17"/>
      <c r="HY12" s="17"/>
      <c r="HZ12" s="17"/>
      <c r="IA12" s="17"/>
      <c r="IB12" s="17"/>
      <c r="IC12" s="17"/>
      <c r="ID12" s="17"/>
      <c r="IE12" s="17"/>
      <c r="IF12" s="17"/>
      <c r="IG12" s="17"/>
      <c r="IH12" s="17"/>
      <c r="II12" s="17"/>
      <c r="IJ12" s="17"/>
      <c r="IK12" s="17"/>
      <c r="IL12" s="17"/>
      <c r="IM12" s="17"/>
      <c r="IN12" s="17"/>
      <c r="IO12" s="17"/>
      <c r="IP12" s="17"/>
      <c r="IQ12" s="17"/>
      <c r="IR12" s="17"/>
      <c r="IS12" s="17"/>
      <c r="IT12" s="17"/>
      <c r="IU12" s="17"/>
      <c r="IV12" s="17"/>
      <c r="IW12" s="17"/>
      <c r="IX12" s="17"/>
      <c r="IY12" s="17"/>
      <c r="IZ12" s="17"/>
      <c r="JA12" s="17"/>
      <c r="JB12" s="17"/>
      <c r="JC12" s="17"/>
      <c r="JD12" s="17"/>
      <c r="JE12" s="17"/>
      <c r="JF12" s="17"/>
      <c r="JG12" s="17"/>
      <c r="JH12" s="17"/>
      <c r="JI12" s="17"/>
      <c r="JJ12" s="17"/>
      <c r="JK12" s="17"/>
    </row>
    <row r="13" spans="1:271" s="15" customFormat="1" ht="12" x14ac:dyDescent="0.3">
      <c r="A13" s="15" t="s">
        <v>10</v>
      </c>
      <c r="B13" s="13">
        <v>693.90880190076325</v>
      </c>
      <c r="C13" s="13">
        <v>696.02238413677367</v>
      </c>
      <c r="D13" s="13">
        <v>687.49132482280925</v>
      </c>
      <c r="E13" s="13">
        <v>671.76201428324566</v>
      </c>
      <c r="F13" s="13">
        <v>680.35772944001837</v>
      </c>
      <c r="G13" s="13">
        <v>663.34556631007979</v>
      </c>
      <c r="H13" s="13">
        <v>699.71944414327595</v>
      </c>
      <c r="I13" s="13">
        <v>728.25376983743411</v>
      </c>
      <c r="J13" s="13">
        <v>753.73905857501984</v>
      </c>
      <c r="K13" s="13">
        <v>831.05718383894919</v>
      </c>
      <c r="L13" s="13">
        <v>944.06372633234878</v>
      </c>
      <c r="M13" s="13">
        <v>1166.3698685496463</v>
      </c>
      <c r="N13" s="13">
        <v>1290.1078143909037</v>
      </c>
      <c r="O13" s="13">
        <v>1347.3766666981351</v>
      </c>
      <c r="P13" s="13">
        <v>1323.059792357863</v>
      </c>
      <c r="Q13" s="13">
        <v>1297.9668292902068</v>
      </c>
      <c r="R13" s="13">
        <v>1233.5030501644137</v>
      </c>
      <c r="S13" s="13">
        <v>1189.8640409169684</v>
      </c>
      <c r="T13" s="13">
        <v>1139.9618326804614</v>
      </c>
      <c r="U13" s="13">
        <v>1134.6119118950965</v>
      </c>
      <c r="V13" s="13">
        <v>1142.8877630445954</v>
      </c>
      <c r="W13" s="13">
        <v>1102.119312725921</v>
      </c>
      <c r="X13" s="13">
        <v>1090.6334838129351</v>
      </c>
      <c r="Y13" s="13">
        <v>1014.7052545480046</v>
      </c>
      <c r="Z13" s="13">
        <v>1018.2962331511562</v>
      </c>
      <c r="AA13" s="13">
        <v>1000.5417199835636</v>
      </c>
      <c r="AB13" s="13">
        <v>1012.4432270932106</v>
      </c>
      <c r="AC13" s="13">
        <v>1012.543233325233</v>
      </c>
      <c r="AD13" s="13">
        <v>1033.8016258153764</v>
      </c>
      <c r="AE13" s="13">
        <v>1041.8884147456897</v>
      </c>
      <c r="AF13" s="13">
        <v>986.59892809289863</v>
      </c>
      <c r="AG13" s="13">
        <v>998.21348816435909</v>
      </c>
      <c r="AH13" s="13">
        <v>1032.5022331397945</v>
      </c>
      <c r="AI13" s="13">
        <v>1044.1250392711279</v>
      </c>
      <c r="AJ13" s="13">
        <v>996.97900000000004</v>
      </c>
      <c r="AK13" s="14">
        <v>1000.035</v>
      </c>
      <c r="AL13" s="17"/>
      <c r="AM13" s="16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  <c r="GG13" s="17"/>
      <c r="GH13" s="17"/>
      <c r="GI13" s="17"/>
      <c r="GJ13" s="17"/>
      <c r="GK13" s="17"/>
      <c r="GL13" s="17"/>
      <c r="GM13" s="17"/>
      <c r="GN13" s="17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/>
      <c r="GZ13" s="17"/>
      <c r="HA13" s="17"/>
      <c r="HB13" s="17"/>
      <c r="HC13" s="17"/>
      <c r="HD13" s="17"/>
      <c r="HE13" s="17"/>
      <c r="HF13" s="17"/>
      <c r="HG13" s="17"/>
      <c r="HH13" s="17"/>
      <c r="HI13" s="17"/>
      <c r="HJ13" s="17"/>
      <c r="HK13" s="17"/>
      <c r="HL13" s="17"/>
      <c r="HM13" s="17"/>
      <c r="HN13" s="17"/>
      <c r="HO13" s="17"/>
      <c r="HP13" s="17"/>
      <c r="HQ13" s="17"/>
      <c r="HR13" s="17"/>
      <c r="HS13" s="17"/>
      <c r="HT13" s="17"/>
      <c r="HU13" s="17"/>
      <c r="HV13" s="17"/>
      <c r="HW13" s="17"/>
      <c r="HX13" s="17"/>
      <c r="HY13" s="17"/>
      <c r="HZ13" s="17"/>
      <c r="IA13" s="17"/>
      <c r="IB13" s="17"/>
      <c r="IC13" s="17"/>
      <c r="ID13" s="17"/>
      <c r="IE13" s="17"/>
      <c r="IF13" s="17"/>
      <c r="IG13" s="17"/>
      <c r="IH13" s="17"/>
      <c r="II13" s="17"/>
      <c r="IJ13" s="17"/>
      <c r="IK13" s="17"/>
      <c r="IL13" s="17"/>
      <c r="IM13" s="17"/>
      <c r="IN13" s="17"/>
      <c r="IO13" s="17"/>
      <c r="IP13" s="17"/>
      <c r="IQ13" s="17"/>
      <c r="IR13" s="17"/>
      <c r="IS13" s="17"/>
      <c r="IT13" s="17"/>
      <c r="IU13" s="17"/>
      <c r="IV13" s="17"/>
      <c r="IW13" s="17"/>
      <c r="IX13" s="17"/>
      <c r="IY13" s="17"/>
      <c r="IZ13" s="17"/>
      <c r="JA13" s="17"/>
      <c r="JB13" s="17"/>
      <c r="JC13" s="17"/>
      <c r="JD13" s="17"/>
      <c r="JE13" s="17"/>
      <c r="JF13" s="17"/>
      <c r="JG13" s="17"/>
      <c r="JH13" s="17"/>
      <c r="JI13" s="17"/>
      <c r="JJ13" s="17"/>
      <c r="JK13" s="17"/>
    </row>
    <row r="14" spans="1:271" s="15" customFormat="1" ht="12" x14ac:dyDescent="0.3">
      <c r="A14" s="15" t="s">
        <v>11</v>
      </c>
      <c r="B14" s="13">
        <v>724.84854846640235</v>
      </c>
      <c r="C14" s="13">
        <v>934.90647936774462</v>
      </c>
      <c r="D14" s="13">
        <v>1060.3310835491029</v>
      </c>
      <c r="E14" s="13">
        <v>1069.5368462548329</v>
      </c>
      <c r="F14" s="13">
        <v>1082.1475001109861</v>
      </c>
      <c r="G14" s="13">
        <v>1075.0032432337871</v>
      </c>
      <c r="H14" s="13">
        <v>1100.4704118073691</v>
      </c>
      <c r="I14" s="13">
        <v>1146.8556240932178</v>
      </c>
      <c r="J14" s="13">
        <v>1185.6751869017949</v>
      </c>
      <c r="K14" s="13">
        <v>1319.3680718551491</v>
      </c>
      <c r="L14" s="13">
        <v>1464.7562154935474</v>
      </c>
      <c r="M14" s="13">
        <v>1622.2951170020303</v>
      </c>
      <c r="N14" s="13">
        <v>1783.5162563766476</v>
      </c>
      <c r="O14" s="13">
        <v>1918.6214900933023</v>
      </c>
      <c r="P14" s="13">
        <v>1907.7091694789924</v>
      </c>
      <c r="Q14" s="13">
        <v>1885.0745909695279</v>
      </c>
      <c r="R14" s="13">
        <v>1792.48935201687</v>
      </c>
      <c r="S14" s="13">
        <v>1728.0046920004943</v>
      </c>
      <c r="T14" s="13">
        <v>1659.5148279570667</v>
      </c>
      <c r="U14" s="13">
        <v>1655.1409728362933</v>
      </c>
      <c r="V14" s="13">
        <v>1650.0373062917845</v>
      </c>
      <c r="W14" s="13">
        <v>1590.0581340677552</v>
      </c>
      <c r="X14" s="13">
        <v>1574.1698500349626</v>
      </c>
      <c r="Y14" s="13">
        <v>1464.5775179358679</v>
      </c>
      <c r="Z14" s="13">
        <v>1605.3888650285996</v>
      </c>
      <c r="AA14" s="13">
        <v>1608.9709730326192</v>
      </c>
      <c r="AB14" s="13">
        <v>2098.7720524686965</v>
      </c>
      <c r="AC14" s="13">
        <v>2625.9056781516415</v>
      </c>
      <c r="AD14" s="13">
        <v>3215.5995248582567</v>
      </c>
      <c r="AE14" s="13">
        <v>3771.1219282846318</v>
      </c>
      <c r="AF14" s="13">
        <v>3959.2105850826265</v>
      </c>
      <c r="AG14" s="13">
        <v>4341.2237606074141</v>
      </c>
      <c r="AH14" s="13">
        <v>4711.8535060294771</v>
      </c>
      <c r="AI14" s="13">
        <v>4620.3790972876741</v>
      </c>
      <c r="AJ14" s="13">
        <v>4507.6229999999996</v>
      </c>
      <c r="AK14" s="14">
        <v>4425</v>
      </c>
      <c r="AM14" s="16"/>
    </row>
    <row r="15" spans="1:271" s="15" customFormat="1" ht="12" x14ac:dyDescent="0.3">
      <c r="A15" s="15" t="s">
        <v>12</v>
      </c>
      <c r="B15" s="13">
        <v>511.36399445586585</v>
      </c>
      <c r="C15" s="13">
        <v>558.04403499709213</v>
      </c>
      <c r="D15" s="13">
        <v>561.57317120103369</v>
      </c>
      <c r="E15" s="13">
        <v>568.181755053252</v>
      </c>
      <c r="F15" s="13">
        <v>574.87549178754625</v>
      </c>
      <c r="G15" s="13">
        <v>567.81261653162358</v>
      </c>
      <c r="H15" s="13">
        <v>586.35090844115484</v>
      </c>
      <c r="I15" s="13">
        <v>606.71407096418989</v>
      </c>
      <c r="J15" s="13">
        <v>627.36238968480734</v>
      </c>
      <c r="K15" s="13">
        <v>681.58844171955548</v>
      </c>
      <c r="L15" s="13">
        <v>746.7348647574737</v>
      </c>
      <c r="M15" s="13">
        <v>818.71602500875122</v>
      </c>
      <c r="N15" s="13">
        <v>895.98471633302529</v>
      </c>
      <c r="O15" s="13">
        <v>938.73418329991443</v>
      </c>
      <c r="P15" s="13">
        <v>932.7977277611609</v>
      </c>
      <c r="Q15" s="13">
        <v>915.9488899098003</v>
      </c>
      <c r="R15" s="13">
        <v>869.89846617254102</v>
      </c>
      <c r="S15" s="13">
        <v>838.6084684436828</v>
      </c>
      <c r="T15" s="13">
        <v>805.91833050064758</v>
      </c>
      <c r="U15" s="13">
        <v>803.79382667453513</v>
      </c>
      <c r="V15" s="13">
        <v>801.19093551905758</v>
      </c>
      <c r="W15" s="13">
        <v>772.06782659670716</v>
      </c>
      <c r="X15" s="13">
        <v>764.35275404016363</v>
      </c>
      <c r="Y15" s="13">
        <v>711.13964282915447</v>
      </c>
      <c r="Z15" s="13">
        <v>712.9463735802924</v>
      </c>
      <c r="AA15" s="13">
        <v>700.71590576862059</v>
      </c>
      <c r="AB15" s="13">
        <v>711.29632722982683</v>
      </c>
      <c r="AC15" s="13">
        <v>713.38582023222841</v>
      </c>
      <c r="AD15" s="13">
        <v>731.8818872035157</v>
      </c>
      <c r="AE15" s="13">
        <v>738.18845787216139</v>
      </c>
      <c r="AF15" s="13">
        <v>697.73224653863338</v>
      </c>
      <c r="AG15" s="13">
        <v>705.67217507815997</v>
      </c>
      <c r="AH15" s="13">
        <v>732.13376507369355</v>
      </c>
      <c r="AI15" s="13">
        <v>720.49429259608337</v>
      </c>
      <c r="AJ15" s="13">
        <v>685.46500000000003</v>
      </c>
      <c r="AK15" s="14">
        <v>690</v>
      </c>
      <c r="AL15" s="17"/>
      <c r="AM15" s="16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17"/>
      <c r="IP15" s="17"/>
      <c r="IQ15" s="17"/>
      <c r="IR15" s="17"/>
      <c r="IS15" s="17"/>
      <c r="IT15" s="17"/>
      <c r="IU15" s="17"/>
      <c r="IV15" s="17"/>
      <c r="IW15" s="17"/>
      <c r="IX15" s="17"/>
      <c r="IY15" s="17"/>
      <c r="IZ15" s="17"/>
      <c r="JA15" s="17"/>
      <c r="JB15" s="17"/>
      <c r="JC15" s="17"/>
      <c r="JD15" s="17"/>
      <c r="JE15" s="17"/>
      <c r="JF15" s="17"/>
      <c r="JG15" s="17"/>
      <c r="JH15" s="17"/>
      <c r="JI15" s="17"/>
      <c r="JJ15" s="17"/>
      <c r="JK15" s="17"/>
    </row>
    <row r="16" spans="1:271" s="15" customFormat="1" ht="12" x14ac:dyDescent="0.3">
      <c r="A16" s="15" t="s">
        <v>13</v>
      </c>
      <c r="B16" s="13">
        <v>355.93270917009448</v>
      </c>
      <c r="C16" s="13">
        <v>389.65506249686985</v>
      </c>
      <c r="D16" s="13">
        <v>411.51019502790285</v>
      </c>
      <c r="E16" s="13">
        <v>414.02685839333395</v>
      </c>
      <c r="F16" s="13">
        <v>419.21780813025634</v>
      </c>
      <c r="G16" s="13">
        <v>414.73095624062296</v>
      </c>
      <c r="H16" s="13">
        <v>427.97513928359109</v>
      </c>
      <c r="I16" s="13">
        <v>444.63123658381562</v>
      </c>
      <c r="J16" s="13">
        <v>458.24899839056792</v>
      </c>
      <c r="K16" s="13">
        <v>508.4579836941229</v>
      </c>
      <c r="L16" s="13">
        <v>562.81432020054285</v>
      </c>
      <c r="M16" s="13">
        <v>620.38296625404587</v>
      </c>
      <c r="N16" s="13">
        <v>682.96027634944596</v>
      </c>
      <c r="O16" s="13">
        <v>715.20158529278194</v>
      </c>
      <c r="P16" s="13">
        <v>711.23997693783838</v>
      </c>
      <c r="Q16" s="13">
        <v>706.47963215966502</v>
      </c>
      <c r="R16" s="13">
        <v>673.84711084026151</v>
      </c>
      <c r="S16" s="13">
        <v>649.56185769574938</v>
      </c>
      <c r="T16" s="13">
        <v>624.56065873953105</v>
      </c>
      <c r="U16" s="13">
        <v>623.68019261390316</v>
      </c>
      <c r="V16" s="13">
        <v>622.47525069702465</v>
      </c>
      <c r="W16" s="13">
        <v>599.84732553210722</v>
      </c>
      <c r="X16" s="13">
        <v>593.85540865674193</v>
      </c>
      <c r="Y16" s="13">
        <v>552.5111190922637</v>
      </c>
      <c r="Z16" s="13">
        <v>553.91521498528721</v>
      </c>
      <c r="AA16" s="13">
        <v>544.42904317464343</v>
      </c>
      <c r="AB16" s="13">
        <v>555.38925943932566</v>
      </c>
      <c r="AC16" s="13">
        <v>558.68555599923332</v>
      </c>
      <c r="AD16" s="13">
        <v>573.8343243601521</v>
      </c>
      <c r="AE16" s="13">
        <v>579.11720635260667</v>
      </c>
      <c r="AF16" s="13">
        <v>547.89191603394374</v>
      </c>
      <c r="AG16" s="13">
        <v>554.93523894595808</v>
      </c>
      <c r="AH16" s="13">
        <v>574.90509155873156</v>
      </c>
      <c r="AI16" s="13">
        <v>559.22086082312285</v>
      </c>
      <c r="AJ16" s="13">
        <v>534.33299999999997</v>
      </c>
      <c r="AK16" s="14">
        <v>536</v>
      </c>
      <c r="AL16" s="17"/>
      <c r="AM16" s="16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  <c r="HM16" s="17"/>
      <c r="HN16" s="17"/>
      <c r="HO16" s="17"/>
      <c r="HP16" s="17"/>
      <c r="HQ16" s="17"/>
      <c r="HR16" s="17"/>
      <c r="HS16" s="17"/>
      <c r="HT16" s="17"/>
      <c r="HU16" s="17"/>
      <c r="HV16" s="17"/>
      <c r="HW16" s="17"/>
      <c r="HX16" s="17"/>
      <c r="HY16" s="17"/>
      <c r="HZ16" s="17"/>
      <c r="IA16" s="17"/>
      <c r="IB16" s="17"/>
      <c r="IC16" s="17"/>
      <c r="ID16" s="17"/>
      <c r="IE16" s="17"/>
      <c r="IF16" s="17"/>
      <c r="IG16" s="17"/>
      <c r="IH16" s="17"/>
      <c r="II16" s="17"/>
      <c r="IJ16" s="17"/>
      <c r="IK16" s="17"/>
      <c r="IL16" s="17"/>
      <c r="IM16" s="17"/>
      <c r="IN16" s="17"/>
      <c r="IO16" s="17"/>
      <c r="IP16" s="17"/>
      <c r="IQ16" s="17"/>
      <c r="IR16" s="17"/>
      <c r="IS16" s="17"/>
      <c r="IT16" s="17"/>
      <c r="IU16" s="17"/>
      <c r="IV16" s="17"/>
      <c r="IW16" s="17"/>
      <c r="IX16" s="17"/>
      <c r="IY16" s="17"/>
      <c r="IZ16" s="17"/>
      <c r="JA16" s="17"/>
      <c r="JB16" s="17"/>
      <c r="JC16" s="17"/>
      <c r="JD16" s="17"/>
      <c r="JE16" s="17"/>
      <c r="JF16" s="17"/>
      <c r="JG16" s="17"/>
      <c r="JH16" s="17"/>
      <c r="JI16" s="17"/>
      <c r="JJ16" s="17"/>
      <c r="JK16" s="17"/>
    </row>
    <row r="17" spans="1:271" s="15" customFormat="1" ht="12" x14ac:dyDescent="0.3">
      <c r="A17" s="15" t="s">
        <v>14</v>
      </c>
      <c r="B17" s="13"/>
      <c r="C17" s="13"/>
      <c r="D17" s="13"/>
      <c r="E17" s="13">
        <v>1560.8871932004065</v>
      </c>
      <c r="F17" s="13">
        <v>1579.4245843072349</v>
      </c>
      <c r="G17" s="13">
        <v>1349.2567171106791</v>
      </c>
      <c r="H17" s="13">
        <v>1602.7539517903469</v>
      </c>
      <c r="I17" s="13">
        <v>1655.1226333991833</v>
      </c>
      <c r="J17" s="13">
        <v>1713.0331438328708</v>
      </c>
      <c r="K17" s="13">
        <v>1904.7957958976322</v>
      </c>
      <c r="L17" s="13">
        <v>2076.4242636448948</v>
      </c>
      <c r="M17" s="13">
        <v>2284.5927257410749</v>
      </c>
      <c r="N17" s="13">
        <v>2491.8580490474087</v>
      </c>
      <c r="O17" s="13">
        <v>2589.4761049398039</v>
      </c>
      <c r="P17" s="13">
        <v>2572.3470510460706</v>
      </c>
      <c r="Q17" s="13">
        <v>2530.0611435958308</v>
      </c>
      <c r="R17" s="13">
        <v>2403.6988135225856</v>
      </c>
      <c r="S17" s="13">
        <v>2317.4495558758495</v>
      </c>
      <c r="T17" s="13">
        <v>2227.1526606164011</v>
      </c>
      <c r="U17" s="13">
        <v>2221.2953090410101</v>
      </c>
      <c r="V17" s="13">
        <v>2213.5247439459854</v>
      </c>
      <c r="W17" s="13">
        <v>2133.061164141337</v>
      </c>
      <c r="X17" s="13">
        <v>2111.7472824210845</v>
      </c>
      <c r="Y17" s="13">
        <v>1964.7287328778939</v>
      </c>
      <c r="Z17" s="13">
        <v>1982.5730896146326</v>
      </c>
      <c r="AA17" s="13">
        <v>1926.2284268938365</v>
      </c>
      <c r="AB17" s="13">
        <v>1994.2286714545974</v>
      </c>
      <c r="AC17" s="13">
        <v>2056.6437722953165</v>
      </c>
      <c r="AD17" s="13">
        <v>2193.8762391766254</v>
      </c>
      <c r="AE17" s="13">
        <v>2291.6155493325077</v>
      </c>
      <c r="AF17" s="13">
        <v>2281.1143367574809</v>
      </c>
      <c r="AG17" s="13">
        <v>2344.7967842786961</v>
      </c>
      <c r="AH17" s="13">
        <v>2475.4086645824032</v>
      </c>
      <c r="AI17" s="13">
        <v>2376.1650434600483</v>
      </c>
      <c r="AJ17" s="13">
        <v>2273.8429999999998</v>
      </c>
      <c r="AK17" s="14">
        <v>2504</v>
      </c>
      <c r="AM17" s="16"/>
    </row>
    <row r="18" spans="1:271" s="15" customFormat="1" ht="12" x14ac:dyDescent="0.3">
      <c r="A18" s="15" t="s">
        <v>15</v>
      </c>
      <c r="B18" s="13"/>
      <c r="C18" s="13"/>
      <c r="D18" s="13"/>
      <c r="E18" s="13">
        <v>1079.9186738949877</v>
      </c>
      <c r="F18" s="13">
        <v>1094.7583034018114</v>
      </c>
      <c r="G18" s="13">
        <v>721.7328963609242</v>
      </c>
      <c r="H18" s="13">
        <v>1111.5614713860434</v>
      </c>
      <c r="I18" s="13">
        <v>1154.773504405953</v>
      </c>
      <c r="J18" s="13">
        <v>1203.7042065150981</v>
      </c>
      <c r="K18" s="13">
        <v>1334.3029945877238</v>
      </c>
      <c r="L18" s="13">
        <v>1463.2668766522797</v>
      </c>
      <c r="M18" s="13">
        <v>1612.4715985361911</v>
      </c>
      <c r="N18" s="13">
        <v>1772.4245857145768</v>
      </c>
      <c r="O18" s="13">
        <v>1857.0675243650057</v>
      </c>
      <c r="P18" s="13">
        <v>1844.7843332377488</v>
      </c>
      <c r="Q18" s="13">
        <v>1803.4153221693753</v>
      </c>
      <c r="R18" s="13">
        <v>1712.6774710552986</v>
      </c>
      <c r="S18" s="13">
        <v>1651.0491978250161</v>
      </c>
      <c r="T18" s="13">
        <v>1585.7340940617428</v>
      </c>
      <c r="U18" s="13">
        <v>1581.5766675352586</v>
      </c>
      <c r="V18" s="13">
        <v>1575.1603849284563</v>
      </c>
      <c r="W18" s="13">
        <v>1517.9024919828762</v>
      </c>
      <c r="X18" s="13">
        <v>1502.734239911131</v>
      </c>
      <c r="Y18" s="13">
        <v>1398.1158690733303</v>
      </c>
      <c r="Z18" s="13">
        <v>1405.7801120122508</v>
      </c>
      <c r="AA18" s="13">
        <v>1364.6834859656947</v>
      </c>
      <c r="AB18" s="13">
        <v>1379.5068583196432</v>
      </c>
      <c r="AC18" s="13">
        <v>1372.4723629504545</v>
      </c>
      <c r="AD18" s="13">
        <v>1718.6206277022306</v>
      </c>
      <c r="AE18" s="13">
        <v>1724.1628171507632</v>
      </c>
      <c r="AF18" s="13">
        <v>1627.6507369361323</v>
      </c>
      <c r="AG18" s="13">
        <v>2764.6270656543102</v>
      </c>
      <c r="AH18" s="13">
        <v>1781.4582402858418</v>
      </c>
      <c r="AI18" s="13">
        <v>1741.5436171326842</v>
      </c>
      <c r="AJ18" s="13">
        <v>1662.6949999999999</v>
      </c>
      <c r="AK18" s="14">
        <v>1668</v>
      </c>
      <c r="AM18" s="16"/>
    </row>
    <row r="19" spans="1:271" s="15" customFormat="1" ht="12" x14ac:dyDescent="0.3">
      <c r="A19" s="15" t="s">
        <v>16</v>
      </c>
      <c r="B19" s="13"/>
      <c r="C19" s="13"/>
      <c r="D19" s="13"/>
      <c r="E19" s="13">
        <v>472.34106542413645</v>
      </c>
      <c r="F19" s="13">
        <v>477.90516015374845</v>
      </c>
      <c r="G19" s="13">
        <v>450.78910790224921</v>
      </c>
      <c r="H19" s="13">
        <v>481.39954309090876</v>
      </c>
      <c r="I19" s="13">
        <v>500.16735296935417</v>
      </c>
      <c r="J19" s="13">
        <v>518.71106011299366</v>
      </c>
      <c r="K19" s="13">
        <v>574.50097337106649</v>
      </c>
      <c r="L19" s="13">
        <v>623.83453822714614</v>
      </c>
      <c r="M19" s="13">
        <v>703.05787938834783</v>
      </c>
      <c r="N19" s="13">
        <v>766.79243846284533</v>
      </c>
      <c r="O19" s="13">
        <v>803.38767748607438</v>
      </c>
      <c r="P19" s="13">
        <v>798.02155636512782</v>
      </c>
      <c r="Q19" s="13">
        <v>785.35426810744559</v>
      </c>
      <c r="R19" s="13">
        <v>746.58583896780635</v>
      </c>
      <c r="S19" s="13">
        <v>719.83805256330197</v>
      </c>
      <c r="T19" s="13">
        <v>691.30662474528879</v>
      </c>
      <c r="U19" s="13">
        <v>689.48637874315273</v>
      </c>
      <c r="V19" s="13">
        <v>687.14485787597096</v>
      </c>
      <c r="W19" s="13">
        <v>662.16625460082935</v>
      </c>
      <c r="X19" s="13">
        <v>655.55018829118728</v>
      </c>
      <c r="Y19" s="13">
        <v>609.91096159598396</v>
      </c>
      <c r="Z19" s="13">
        <v>611.4605747417088</v>
      </c>
      <c r="AA19" s="13">
        <v>600.78695566135661</v>
      </c>
      <c r="AB19" s="13">
        <v>613.83682180877599</v>
      </c>
      <c r="AC19" s="13">
        <v>618.34350035188038</v>
      </c>
      <c r="AD19" s="13">
        <v>635.75035432000891</v>
      </c>
      <c r="AE19" s="13">
        <v>643.17570206159451</v>
      </c>
      <c r="AF19" s="13">
        <v>2281.1143367574809</v>
      </c>
      <c r="AG19" s="13">
        <v>2344.7967842786961</v>
      </c>
      <c r="AH19" s="13">
        <v>2475.4086645824032</v>
      </c>
      <c r="AI19" s="13">
        <v>625.196355639334</v>
      </c>
      <c r="AJ19" s="13">
        <v>595.31799999999998</v>
      </c>
      <c r="AK19" s="14">
        <v>599</v>
      </c>
      <c r="AM19" s="16"/>
    </row>
    <row r="20" spans="1:271" s="15" customFormat="1" ht="12" x14ac:dyDescent="0.3">
      <c r="A20" s="15" t="s">
        <v>17</v>
      </c>
      <c r="B20" s="13">
        <v>101.44640706919689</v>
      </c>
      <c r="C20" s="13">
        <v>114.70617995702128</v>
      </c>
      <c r="D20" s="13">
        <v>124.26148137569744</v>
      </c>
      <c r="E20" s="13">
        <v>128.68705930360844</v>
      </c>
      <c r="F20" s="13">
        <v>131.35523934081436</v>
      </c>
      <c r="G20" s="13">
        <v>119.85540487443517</v>
      </c>
      <c r="H20" s="13">
        <v>135.42690862483545</v>
      </c>
      <c r="I20" s="13">
        <v>140.9850119728267</v>
      </c>
      <c r="J20" s="13">
        <v>145.21169710578215</v>
      </c>
      <c r="K20" s="13">
        <v>154.45737813587587</v>
      </c>
      <c r="L20" s="13">
        <v>191.01517442400035</v>
      </c>
      <c r="M20" s="13">
        <v>215.44419476646576</v>
      </c>
      <c r="N20" s="13">
        <v>240.59470731858462</v>
      </c>
      <c r="O20" s="13">
        <v>252.15556861260168</v>
      </c>
      <c r="P20" s="13">
        <v>250.80576426038616</v>
      </c>
      <c r="Q20" s="13">
        <v>247.41301621150834</v>
      </c>
      <c r="R20" s="13">
        <v>235.21572797356561</v>
      </c>
      <c r="S20" s="13">
        <v>226.71997087603449</v>
      </c>
      <c r="T20" s="13">
        <v>217.84767324968163</v>
      </c>
      <c r="U20" s="13">
        <v>217.27481049619024</v>
      </c>
      <c r="V20" s="13">
        <v>216.4818555761571</v>
      </c>
      <c r="W20" s="13">
        <v>208.61258254784642</v>
      </c>
      <c r="X20" s="13">
        <v>206.52757602781796</v>
      </c>
      <c r="Y20" s="13">
        <v>192.14922514486722</v>
      </c>
      <c r="Z20" s="13">
        <v>192.63629971634032</v>
      </c>
      <c r="AA20" s="13">
        <v>189.24628545221302</v>
      </c>
      <c r="AB20" s="13">
        <v>191.60653959300373</v>
      </c>
      <c r="AC20" s="13">
        <v>192.16991862854448</v>
      </c>
      <c r="AD20" s="13">
        <v>197.15242387064154</v>
      </c>
      <c r="AE20" s="13">
        <v>199.7775360538958</v>
      </c>
      <c r="AF20" s="13">
        <v>192.45533720410899</v>
      </c>
      <c r="AG20" s="13">
        <v>194.2831621259491</v>
      </c>
      <c r="AH20" s="13">
        <v>201.94506476105406</v>
      </c>
      <c r="AI20" s="13">
        <v>207.35155513666353</v>
      </c>
      <c r="AJ20" s="13">
        <v>197.69300000000001</v>
      </c>
      <c r="AK20" s="14">
        <v>198</v>
      </c>
      <c r="AL20" s="18"/>
      <c r="AM20" s="16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18"/>
      <c r="GH20" s="18"/>
      <c r="GI20" s="18"/>
      <c r="GJ20" s="18"/>
      <c r="GK20" s="18"/>
      <c r="GL20" s="18"/>
      <c r="GM20" s="18"/>
      <c r="GN20" s="18"/>
      <c r="GO20" s="18"/>
      <c r="GP20" s="18"/>
      <c r="GQ20" s="18"/>
      <c r="GR20" s="18"/>
      <c r="GS20" s="18"/>
      <c r="GT20" s="18"/>
      <c r="GU20" s="18"/>
      <c r="GV20" s="18"/>
      <c r="GW20" s="18"/>
      <c r="GX20" s="18"/>
      <c r="GY20" s="18"/>
      <c r="GZ20" s="18"/>
      <c r="HA20" s="18"/>
      <c r="HB20" s="18"/>
      <c r="HC20" s="18"/>
      <c r="HD20" s="18"/>
      <c r="HE20" s="18"/>
      <c r="HF20" s="18"/>
      <c r="HG20" s="18"/>
      <c r="HH20" s="18"/>
      <c r="HI20" s="18"/>
      <c r="HJ20" s="18"/>
      <c r="HK20" s="18"/>
      <c r="HL20" s="18"/>
      <c r="HM20" s="18"/>
      <c r="HN20" s="18"/>
      <c r="HO20" s="18"/>
      <c r="HP20" s="18"/>
      <c r="HQ20" s="18"/>
      <c r="HR20" s="18"/>
      <c r="HS20" s="18"/>
      <c r="HT20" s="18"/>
      <c r="HU20" s="18"/>
      <c r="HV20" s="18"/>
      <c r="HW20" s="18"/>
      <c r="HX20" s="18"/>
      <c r="HY20" s="18"/>
      <c r="HZ20" s="18"/>
      <c r="IA20" s="18"/>
      <c r="IB20" s="18"/>
      <c r="IC20" s="18"/>
      <c r="ID20" s="18"/>
      <c r="IE20" s="18"/>
      <c r="IF20" s="18"/>
      <c r="IG20" s="18"/>
      <c r="IH20" s="18"/>
      <c r="II20" s="18"/>
      <c r="IJ20" s="18"/>
      <c r="IK20" s="18"/>
      <c r="IL20" s="18"/>
      <c r="IM20" s="18"/>
      <c r="IN20" s="18"/>
      <c r="IO20" s="18"/>
      <c r="IP20" s="18"/>
      <c r="IQ20" s="18"/>
      <c r="IR20" s="18"/>
      <c r="IS20" s="18"/>
      <c r="IT20" s="18"/>
      <c r="IU20" s="18"/>
      <c r="IV20" s="18"/>
      <c r="IW20" s="18"/>
      <c r="IX20" s="18"/>
      <c r="IY20" s="18"/>
      <c r="IZ20" s="18"/>
      <c r="JA20" s="18"/>
      <c r="JB20" s="18"/>
      <c r="JC20" s="18"/>
      <c r="JD20" s="18"/>
      <c r="JE20" s="18"/>
      <c r="JF20" s="18"/>
      <c r="JG20" s="18"/>
      <c r="JH20" s="18"/>
      <c r="JI20" s="18"/>
      <c r="JJ20" s="18"/>
      <c r="JK20" s="18"/>
    </row>
    <row r="21" spans="1:271" s="15" customFormat="1" ht="12" x14ac:dyDescent="0.3">
      <c r="A21" s="15" t="s">
        <v>18</v>
      </c>
      <c r="B21" s="13">
        <v>180.22606702133038</v>
      </c>
      <c r="C21" s="13">
        <v>252.43907254123371</v>
      </c>
      <c r="D21" s="13">
        <v>289.74340207618275</v>
      </c>
      <c r="E21" s="13">
        <v>284.12029537929004</v>
      </c>
      <c r="F21" s="13">
        <v>331.3644333059342</v>
      </c>
      <c r="G21" s="13">
        <v>377.05031217848745</v>
      </c>
      <c r="H21" s="13">
        <v>411.92452473252348</v>
      </c>
      <c r="I21" s="13">
        <v>447.42633804185925</v>
      </c>
      <c r="J21" s="13">
        <v>497.08582648107927</v>
      </c>
      <c r="K21" s="13">
        <v>585.85930524177934</v>
      </c>
      <c r="L21" s="13">
        <v>715.92176704007477</v>
      </c>
      <c r="M21" s="13">
        <v>789.08645953726477</v>
      </c>
      <c r="N21" s="13">
        <v>857.02694714871063</v>
      </c>
      <c r="O21" s="13">
        <v>897.89774112461498</v>
      </c>
      <c r="P21" s="13">
        <v>891.85497685279518</v>
      </c>
      <c r="Q21" s="13">
        <v>875.54304294189023</v>
      </c>
      <c r="R21" s="13">
        <v>832.42103191903129</v>
      </c>
      <c r="S21" s="13">
        <v>802.72208488437673</v>
      </c>
      <c r="T21" s="13">
        <v>771.36237790307439</v>
      </c>
      <c r="U21" s="13">
        <v>769.32946189738868</v>
      </c>
      <c r="V21" s="13">
        <v>766.9277699385774</v>
      </c>
      <c r="W21" s="13">
        <v>739.04952961591766</v>
      </c>
      <c r="X21" s="13">
        <v>731.66504914805716</v>
      </c>
      <c r="Y21" s="13">
        <v>680.72636659660918</v>
      </c>
      <c r="Z21" s="13">
        <v>682.45731314140312</v>
      </c>
      <c r="AA21" s="13">
        <v>670.01370154810184</v>
      </c>
      <c r="AB21" s="13">
        <v>673.94653727821026</v>
      </c>
      <c r="AC21" s="13">
        <v>677.16579515207684</v>
      </c>
      <c r="AD21" s="13">
        <v>696.2195844522704</v>
      </c>
      <c r="AE21" s="13">
        <v>704.48061296841252</v>
      </c>
      <c r="AF21" s="13">
        <v>674.53997320232259</v>
      </c>
      <c r="AG21" s="13">
        <v>685.57391692719966</v>
      </c>
      <c r="AH21" s="13">
        <v>713.55739169271999</v>
      </c>
      <c r="AI21" s="13">
        <v>691.17185045554515</v>
      </c>
      <c r="AJ21" s="13">
        <v>663.2</v>
      </c>
      <c r="AK21" s="14">
        <v>664</v>
      </c>
      <c r="AM21" s="16"/>
    </row>
    <row r="22" spans="1:271" s="15" customFormat="1" ht="12" x14ac:dyDescent="0.3">
      <c r="A22" s="15" t="s">
        <v>19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>
        <v>223.59440834923646</v>
      </c>
      <c r="O22" s="13">
        <v>537.35219841593289</v>
      </c>
      <c r="P22" s="13">
        <v>534.52694609958462</v>
      </c>
      <c r="Q22" s="13">
        <v>534.36459348323831</v>
      </c>
      <c r="R22" s="13">
        <v>508.32505875721927</v>
      </c>
      <c r="S22" s="13">
        <v>489.87083340712979</v>
      </c>
      <c r="T22" s="13">
        <v>473.23985386247926</v>
      </c>
      <c r="U22" s="13">
        <v>471.99257672671655</v>
      </c>
      <c r="V22" s="13">
        <v>470.5084360978372</v>
      </c>
      <c r="W22" s="13">
        <v>453.40484986722157</v>
      </c>
      <c r="X22" s="13">
        <v>482.70037813374688</v>
      </c>
      <c r="Y22" s="13">
        <v>449.09505700103841</v>
      </c>
      <c r="Z22" s="13">
        <v>451.26551271538102</v>
      </c>
      <c r="AA22" s="13">
        <v>439.67797539430421</v>
      </c>
      <c r="AB22" s="13">
        <v>451.07731746446478</v>
      </c>
      <c r="AC22" s="13">
        <v>457.53222834881603</v>
      </c>
      <c r="AD22" s="13">
        <v>471.09152899739183</v>
      </c>
      <c r="AE22" s="13">
        <v>475.18988809446427</v>
      </c>
      <c r="AF22" s="13">
        <v>451.80661009379185</v>
      </c>
      <c r="AG22" s="13">
        <v>456.67708798570794</v>
      </c>
      <c r="AH22" s="13">
        <v>474.08441268423405</v>
      </c>
      <c r="AI22" s="13">
        <v>477.53691486019483</v>
      </c>
      <c r="AJ22" s="13">
        <v>440.62700000000001</v>
      </c>
      <c r="AK22" s="14">
        <v>442</v>
      </c>
      <c r="AL22" s="17"/>
      <c r="AM22" s="16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  <c r="FN22" s="17"/>
      <c r="FO22" s="17"/>
      <c r="FP22" s="17"/>
      <c r="FQ22" s="17"/>
      <c r="FR22" s="17"/>
      <c r="FS22" s="17"/>
      <c r="FT22" s="17"/>
      <c r="FU22" s="17"/>
      <c r="FV22" s="17"/>
      <c r="FW22" s="17"/>
      <c r="FX22" s="17"/>
      <c r="FY22" s="17"/>
      <c r="FZ22" s="17"/>
      <c r="GA22" s="17"/>
      <c r="GB22" s="17"/>
      <c r="GC22" s="17"/>
      <c r="GD22" s="17"/>
      <c r="GE22" s="17"/>
      <c r="GF22" s="17"/>
      <c r="GG22" s="17"/>
      <c r="GH22" s="17"/>
      <c r="GI22" s="17"/>
      <c r="GJ22" s="17"/>
      <c r="GK22" s="17"/>
      <c r="GL22" s="17"/>
      <c r="GM22" s="17"/>
      <c r="GN22" s="17"/>
      <c r="GO22" s="17"/>
      <c r="GP22" s="17"/>
      <c r="GQ22" s="17"/>
      <c r="GR22" s="17"/>
      <c r="GS22" s="17"/>
      <c r="GT22" s="17"/>
      <c r="GU22" s="17"/>
      <c r="GV22" s="17"/>
      <c r="GW22" s="17"/>
      <c r="GX22" s="17"/>
      <c r="GY22" s="17"/>
      <c r="GZ22" s="17"/>
      <c r="HA22" s="17"/>
      <c r="HB22" s="17"/>
      <c r="HC22" s="17"/>
      <c r="HD22" s="17"/>
      <c r="HE22" s="17"/>
      <c r="HF22" s="17"/>
      <c r="HG22" s="17"/>
      <c r="HH22" s="17"/>
      <c r="HI22" s="17"/>
      <c r="HJ22" s="17"/>
      <c r="HK22" s="17"/>
      <c r="HL22" s="17"/>
      <c r="HM22" s="17"/>
      <c r="HN22" s="17"/>
      <c r="HO22" s="17"/>
      <c r="HP22" s="17"/>
      <c r="HQ22" s="17"/>
      <c r="HR22" s="17"/>
      <c r="HS22" s="17"/>
      <c r="HT22" s="17"/>
      <c r="HU22" s="17"/>
      <c r="HV22" s="17"/>
      <c r="HW22" s="17"/>
      <c r="HX22" s="17"/>
      <c r="HY22" s="17"/>
      <c r="HZ22" s="17"/>
      <c r="IA22" s="17"/>
      <c r="IB22" s="17"/>
      <c r="IC22" s="17"/>
      <c r="ID22" s="17"/>
      <c r="IE22" s="17"/>
      <c r="IF22" s="17"/>
      <c r="IG22" s="17"/>
      <c r="IH22" s="17"/>
      <c r="II22" s="17"/>
      <c r="IJ22" s="17"/>
      <c r="IK22" s="17"/>
      <c r="IL22" s="17"/>
      <c r="IM22" s="17"/>
      <c r="IN22" s="17"/>
      <c r="IO22" s="17"/>
      <c r="IP22" s="17"/>
      <c r="IQ22" s="17"/>
      <c r="IR22" s="17"/>
      <c r="IS22" s="17"/>
      <c r="IT22" s="17"/>
      <c r="IU22" s="17"/>
      <c r="IV22" s="17"/>
      <c r="IW22" s="17"/>
      <c r="IX22" s="17"/>
      <c r="IY22" s="17"/>
      <c r="IZ22" s="17"/>
      <c r="JA22" s="17"/>
      <c r="JB22" s="17"/>
      <c r="JC22" s="17"/>
      <c r="JD22" s="17"/>
      <c r="JE22" s="17"/>
      <c r="JF22" s="17"/>
      <c r="JG22" s="17"/>
      <c r="JH22" s="17"/>
      <c r="JI22" s="17"/>
      <c r="JJ22" s="17"/>
      <c r="JK22" s="17"/>
    </row>
    <row r="23" spans="1:271" s="15" customFormat="1" ht="12" x14ac:dyDescent="0.3">
      <c r="A23" s="15" t="s">
        <v>20</v>
      </c>
      <c r="B23" s="13">
        <v>1070.7797976371942</v>
      </c>
      <c r="C23" s="13">
        <v>968.12397063317985</v>
      </c>
      <c r="D23" s="13">
        <v>869.02830794146371</v>
      </c>
      <c r="E23" s="13">
        <v>835.64887147446791</v>
      </c>
      <c r="F23" s="13">
        <v>854.57631161171355</v>
      </c>
      <c r="G23" s="13">
        <v>708.45433892362689</v>
      </c>
      <c r="H23" s="13">
        <v>947.01780167083575</v>
      </c>
      <c r="I23" s="13">
        <v>979.92621598534038</v>
      </c>
      <c r="J23" s="13">
        <v>1036.3558142280881</v>
      </c>
      <c r="K23" s="13">
        <v>1227.1203570516975</v>
      </c>
      <c r="L23" s="13">
        <v>1443.5854132255581</v>
      </c>
      <c r="M23" s="13">
        <v>1687.681298457542</v>
      </c>
      <c r="N23" s="13">
        <v>2021.3705274945291</v>
      </c>
      <c r="O23" s="13">
        <v>2199.0447283202507</v>
      </c>
      <c r="P23" s="13">
        <v>2194.9655799807192</v>
      </c>
      <c r="Q23" s="13">
        <v>1998.1443033148705</v>
      </c>
      <c r="R23" s="13">
        <v>1882.3509329372951</v>
      </c>
      <c r="S23" s="13">
        <v>1869.8738013126062</v>
      </c>
      <c r="T23" s="13">
        <v>1821.4421650162592</v>
      </c>
      <c r="U23" s="13">
        <v>1877.910479658651</v>
      </c>
      <c r="V23" s="13">
        <v>1885.8503406093876</v>
      </c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4"/>
      <c r="AL23" s="19"/>
      <c r="AM23" s="19"/>
    </row>
    <row r="24" spans="1:271" s="15" customFormat="1" ht="12" x14ac:dyDescent="0.3">
      <c r="A24" s="15" t="s">
        <v>21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>
        <v>145.92533431846235</v>
      </c>
      <c r="M24" s="13">
        <v>184.07584381080076</v>
      </c>
      <c r="N24" s="13">
        <v>208.78286039357857</v>
      </c>
      <c r="O24" s="13">
        <v>218.98706250114347</v>
      </c>
      <c r="P24" s="13">
        <v>217.76934096116099</v>
      </c>
      <c r="Q24" s="13">
        <v>218.80154082294908</v>
      </c>
      <c r="R24" s="13">
        <v>208.02433631597873</v>
      </c>
      <c r="S24" s="13">
        <v>200.60338257419559</v>
      </c>
      <c r="T24" s="13">
        <v>192.65459792390467</v>
      </c>
      <c r="U24" s="13">
        <v>192.14744780952424</v>
      </c>
      <c r="V24" s="13">
        <v>191.48968968731555</v>
      </c>
      <c r="W24" s="13">
        <v>184.52939621510524</v>
      </c>
      <c r="X24" s="13">
        <v>182.68622290265375</v>
      </c>
      <c r="Y24" s="13">
        <v>169.96733475332491</v>
      </c>
      <c r="Z24" s="13">
        <v>170.39875253202274</v>
      </c>
      <c r="AA24" s="13">
        <v>166.68753490026731</v>
      </c>
      <c r="AB24" s="13">
        <v>170.63369165657687</v>
      </c>
      <c r="AC24" s="13">
        <v>172.24249647899759</v>
      </c>
      <c r="AD24" s="13">
        <v>177.17233083233737</v>
      </c>
      <c r="AE24" s="13">
        <v>178.70875558447185</v>
      </c>
      <c r="AF24" s="13">
        <v>169.58128628852168</v>
      </c>
      <c r="AG24" s="13">
        <v>171.95176418043769</v>
      </c>
      <c r="AH24" s="13">
        <v>177.94216167932115</v>
      </c>
      <c r="AI24" s="13">
        <v>178.02911299612526</v>
      </c>
      <c r="AJ24" s="13">
        <v>170.38399999999999</v>
      </c>
      <c r="AK24" s="14">
        <v>171</v>
      </c>
      <c r="AM24" s="16"/>
    </row>
    <row r="25" spans="1:271" s="15" customFormat="1" ht="12" x14ac:dyDescent="0.3">
      <c r="A25" s="15" t="s">
        <v>22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>
        <v>268.65681276683273</v>
      </c>
      <c r="N25" s="13">
        <v>314.94627942473903</v>
      </c>
      <c r="O25" s="13">
        <v>358.61069709398322</v>
      </c>
      <c r="P25" s="13">
        <v>356.44748143389751</v>
      </c>
      <c r="Q25" s="13">
        <v>351.49986852535818</v>
      </c>
      <c r="R25" s="13">
        <v>334.65603620651063</v>
      </c>
      <c r="S25" s="13">
        <v>329.08749287793535</v>
      </c>
      <c r="T25" s="13">
        <v>316.24142542768192</v>
      </c>
      <c r="U25" s="13">
        <v>315.40751411403278</v>
      </c>
      <c r="V25" s="13">
        <v>314.44115850582665</v>
      </c>
      <c r="W25" s="13">
        <v>303.0106394639119</v>
      </c>
      <c r="X25" s="13">
        <v>394.36953434181345</v>
      </c>
      <c r="Y25" s="13">
        <v>366.91283354661596</v>
      </c>
      <c r="Z25" s="13">
        <v>367.84557891563207</v>
      </c>
      <c r="AA25" s="13">
        <v>364.06921252591872</v>
      </c>
      <c r="AB25" s="13">
        <v>368.58376491597494</v>
      </c>
      <c r="AC25" s="13">
        <v>368.69832324158409</v>
      </c>
      <c r="AD25" s="13">
        <v>380.63965455549084</v>
      </c>
      <c r="AE25" s="13">
        <v>383.4829032780537</v>
      </c>
      <c r="AF25" s="13">
        <v>374.95757034390357</v>
      </c>
      <c r="AG25" s="13">
        <v>435.46225993747208</v>
      </c>
      <c r="AH25" s="13">
        <v>512.56811076373378</v>
      </c>
      <c r="AI25" s="13">
        <v>549.79579013509272</v>
      </c>
      <c r="AJ25" s="13">
        <v>534.39499999999998</v>
      </c>
      <c r="AK25" s="14">
        <v>527</v>
      </c>
      <c r="AM25" s="16"/>
    </row>
    <row r="26" spans="1:271" s="15" customFormat="1" ht="12" x14ac:dyDescent="0.3">
      <c r="A26" s="15" t="s">
        <v>23</v>
      </c>
      <c r="B26" s="13">
        <v>46.968115420453522</v>
      </c>
      <c r="C26" s="13">
        <v>50.590039944289195</v>
      </c>
      <c r="D26" s="13">
        <v>54.188947107526097</v>
      </c>
      <c r="E26" s="13">
        <v>52.772953328999051</v>
      </c>
      <c r="F26" s="13">
        <v>55.811429754024715</v>
      </c>
      <c r="G26" s="13">
        <v>36.446355364815581</v>
      </c>
      <c r="H26" s="13">
        <v>61.368426791474157</v>
      </c>
      <c r="I26" s="13">
        <v>62.69384241660989</v>
      </c>
      <c r="J26" s="13">
        <v>64.592570395230453</v>
      </c>
      <c r="K26" s="13">
        <v>78.353013423028017</v>
      </c>
      <c r="L26" s="13">
        <v>92.804159831074728</v>
      </c>
      <c r="M26" s="13">
        <v>104.24865654666746</v>
      </c>
      <c r="N26" s="13">
        <v>113.65314510266523</v>
      </c>
      <c r="O26" s="13">
        <v>122.54987718249377</v>
      </c>
      <c r="P26" s="13">
        <v>121.71686172376542</v>
      </c>
      <c r="Q26" s="13">
        <v>119.39874917583018</v>
      </c>
      <c r="R26" s="13">
        <v>113.68080843026415</v>
      </c>
      <c r="S26" s="13">
        <v>109.63753009249359</v>
      </c>
      <c r="T26" s="13">
        <v>105.4695023586555</v>
      </c>
      <c r="U26" s="13">
        <v>105.19403158884546</v>
      </c>
      <c r="V26" s="13">
        <v>104.11074052564453</v>
      </c>
      <c r="W26" s="13">
        <v>100.32638146149608</v>
      </c>
      <c r="X26" s="13">
        <v>99.322803212073993</v>
      </c>
      <c r="Y26" s="13">
        <v>92.407738835675175</v>
      </c>
      <c r="Z26" s="13">
        <v>92.642052035918297</v>
      </c>
      <c r="AA26" s="13">
        <v>90.871860323424414</v>
      </c>
      <c r="AB26" s="13">
        <v>92.074602775137635</v>
      </c>
      <c r="AC26" s="13">
        <v>92.090631353823127</v>
      </c>
      <c r="AD26" s="13">
        <v>94.479655120107068</v>
      </c>
      <c r="AE26" s="13">
        <v>95.403326531728524</v>
      </c>
      <c r="AF26" s="13">
        <v>90.248995087092453</v>
      </c>
      <c r="AG26" s="13">
        <v>93.791871371147835</v>
      </c>
      <c r="AH26" s="13">
        <v>97.007592675301467</v>
      </c>
      <c r="AI26" s="13">
        <v>99.486857262540582</v>
      </c>
      <c r="AJ26" s="13">
        <v>95.162000000000006</v>
      </c>
      <c r="AK26" s="14">
        <v>95</v>
      </c>
      <c r="AM26" s="16"/>
    </row>
    <row r="27" spans="1:271" s="15" customFormat="1" ht="12" x14ac:dyDescent="0.3">
      <c r="A27" s="15" t="s">
        <v>24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>
        <v>820.81761501993867</v>
      </c>
      <c r="Y27" s="13">
        <v>763.67319309104323</v>
      </c>
      <c r="Z27" s="13">
        <v>868.1526905105269</v>
      </c>
      <c r="AA27" s="13">
        <v>850.09809777972407</v>
      </c>
      <c r="AB27" s="13">
        <v>900.07168357578496</v>
      </c>
      <c r="AC27" s="13">
        <v>902.71940073259259</v>
      </c>
      <c r="AD27" s="13">
        <v>951.24900332759785</v>
      </c>
      <c r="AE27" s="13">
        <v>998.59138523963213</v>
      </c>
      <c r="AF27" s="13">
        <v>929.97766860205456</v>
      </c>
      <c r="AG27" s="13">
        <v>952.43412237606083</v>
      </c>
      <c r="AH27" s="13">
        <v>985.11054041983027</v>
      </c>
      <c r="AI27" s="13">
        <v>967.64059063776313</v>
      </c>
      <c r="AJ27" s="13">
        <v>928.32299999999998</v>
      </c>
      <c r="AK27" s="14">
        <v>926</v>
      </c>
      <c r="AM27" s="19"/>
    </row>
    <row r="28" spans="1:271" s="15" customFormat="1" ht="12" x14ac:dyDescent="0.3">
      <c r="A28" s="15" t="s">
        <v>25</v>
      </c>
      <c r="B28" s="13">
        <v>247.79949061831311</v>
      </c>
      <c r="C28" s="13">
        <v>263.96109202737529</v>
      </c>
      <c r="D28" s="13">
        <v>274.05065028278187</v>
      </c>
      <c r="E28" s="13">
        <v>302.28448222419763</v>
      </c>
      <c r="F28" s="13">
        <v>308.91318694088841</v>
      </c>
      <c r="G28" s="13">
        <v>311.81467064573849</v>
      </c>
      <c r="H28" s="13">
        <v>341.96665341938962</v>
      </c>
      <c r="I28" s="13">
        <v>356.06381985963918</v>
      </c>
      <c r="J28" s="13">
        <v>368.03540100941069</v>
      </c>
      <c r="K28" s="13">
        <v>401.01418420159933</v>
      </c>
      <c r="L28" s="13">
        <v>456.76187259664567</v>
      </c>
      <c r="M28" s="13">
        <v>508.73104847129821</v>
      </c>
      <c r="N28" s="13">
        <v>551.86708321532114</v>
      </c>
      <c r="O28" s="13">
        <v>579.55577701359437</v>
      </c>
      <c r="P28" s="13">
        <v>590.7220026593958</v>
      </c>
      <c r="Q28" s="13">
        <v>564.71422451323951</v>
      </c>
      <c r="R28" s="13">
        <v>539.32362202498541</v>
      </c>
      <c r="S28" s="13">
        <v>529.41037128159064</v>
      </c>
      <c r="T28" s="13">
        <v>508.60126610414113</v>
      </c>
      <c r="U28" s="13">
        <v>506.54576323934731</v>
      </c>
      <c r="V28" s="13">
        <v>504.89049875676085</v>
      </c>
      <c r="W28" s="13">
        <v>486.53729201961454</v>
      </c>
      <c r="X28" s="13">
        <v>481.67607873547809</v>
      </c>
      <c r="Y28" s="13">
        <v>448.1414037588263</v>
      </c>
      <c r="Z28" s="13">
        <v>449.27906268948391</v>
      </c>
      <c r="AA28" s="13">
        <v>453.22263080312882</v>
      </c>
      <c r="AB28" s="13">
        <v>519.60431299164975</v>
      </c>
      <c r="AC28" s="13">
        <v>521.13259298265734</v>
      </c>
      <c r="AD28" s="13">
        <v>534.63567769150018</v>
      </c>
      <c r="AE28" s="13">
        <v>539.7552686892227</v>
      </c>
      <c r="AF28" s="13">
        <v>510.17306833407775</v>
      </c>
      <c r="AG28" s="13">
        <v>514.73872264403758</v>
      </c>
      <c r="AH28" s="13">
        <v>535.32715497990182</v>
      </c>
      <c r="AI28" s="13">
        <v>518.37888784165887</v>
      </c>
      <c r="AJ28" s="13">
        <v>497.548</v>
      </c>
      <c r="AK28" s="14">
        <v>527</v>
      </c>
      <c r="AM28" s="16"/>
    </row>
    <row r="29" spans="1:271" s="15" customFormat="1" ht="12" x14ac:dyDescent="0.3">
      <c r="A29" s="15" t="s">
        <v>26</v>
      </c>
      <c r="B29" s="13">
        <v>325.16550595190103</v>
      </c>
      <c r="C29" s="13">
        <v>281.9891540955411</v>
      </c>
      <c r="D29" s="13">
        <v>392.32985775486179</v>
      </c>
      <c r="E29" s="13">
        <v>508.99570984349799</v>
      </c>
      <c r="F29" s="13">
        <v>601.45910631955269</v>
      </c>
      <c r="G29" s="13">
        <v>542.19614909168013</v>
      </c>
      <c r="H29" s="13">
        <v>633.46425428213433</v>
      </c>
      <c r="I29" s="13">
        <v>677.08027802492313</v>
      </c>
      <c r="J29" s="13">
        <v>676.71157926210299</v>
      </c>
      <c r="K29" s="13">
        <v>678.03840970072793</v>
      </c>
      <c r="L29" s="13">
        <v>601.70996165823044</v>
      </c>
      <c r="M29" s="13">
        <v>437.38095670900856</v>
      </c>
      <c r="N29" s="13">
        <v>469.95782381897197</v>
      </c>
      <c r="O29" s="13">
        <v>514.08963841565719</v>
      </c>
      <c r="P29" s="13">
        <v>609.69011474075535</v>
      </c>
      <c r="Q29" s="13">
        <v>641.58729360381335</v>
      </c>
      <c r="R29" s="13">
        <v>818.74912415292192</v>
      </c>
      <c r="S29" s="13">
        <v>1727.4123331932944</v>
      </c>
      <c r="T29" s="13">
        <v>1752.3633609023768</v>
      </c>
      <c r="U29" s="13">
        <v>1909.4590412571401</v>
      </c>
      <c r="V29" s="13">
        <v>1749.7191306454054</v>
      </c>
      <c r="W29" s="13">
        <v>1686.1163530366357</v>
      </c>
      <c r="X29" s="13">
        <v>2081.5775279996524</v>
      </c>
      <c r="Y29" s="13">
        <v>2028.3266212700589</v>
      </c>
      <c r="Z29" s="13">
        <v>1919.4590894129428</v>
      </c>
      <c r="AA29" s="13">
        <v>1899.4682937941873</v>
      </c>
      <c r="AB29" s="13">
        <v>2065.5815902506629</v>
      </c>
      <c r="AC29" s="13">
        <v>2215.5004958819895</v>
      </c>
      <c r="AD29" s="13">
        <v>2393.8409818132668</v>
      </c>
      <c r="AE29" s="13">
        <v>2576.0355151523386</v>
      </c>
      <c r="AF29" s="13">
        <v>2684.666145600715</v>
      </c>
      <c r="AG29" s="13">
        <v>2694.2831621259493</v>
      </c>
      <c r="AH29" s="13">
        <v>3097.498883430103</v>
      </c>
      <c r="AI29" s="13">
        <v>2824.3795161797048</v>
      </c>
      <c r="AJ29" s="13">
        <v>2605.5140000000001</v>
      </c>
      <c r="AK29" s="14">
        <v>3008</v>
      </c>
      <c r="AM29" s="16"/>
    </row>
    <row r="30" spans="1:271" s="15" customFormat="1" ht="12" x14ac:dyDescent="0.3">
      <c r="A30" s="15" t="s">
        <v>27</v>
      </c>
      <c r="B30" s="13">
        <v>184.77878973287733</v>
      </c>
      <c r="C30" s="13">
        <v>487.12152908740876</v>
      </c>
      <c r="D30" s="13">
        <v>287.19339905300416</v>
      </c>
      <c r="E30" s="13">
        <v>290.78477618281028</v>
      </c>
      <c r="F30" s="13">
        <v>285.89036067985194</v>
      </c>
      <c r="G30" s="13">
        <v>283.98593979467114</v>
      </c>
      <c r="H30" s="13">
        <v>354.62031250991384</v>
      </c>
      <c r="I30" s="13">
        <v>472.14551656143311</v>
      </c>
      <c r="J30" s="13">
        <v>472.54708866646786</v>
      </c>
      <c r="K30" s="13">
        <v>437.15634309652188</v>
      </c>
      <c r="L30" s="13">
        <v>352.86661921699118</v>
      </c>
      <c r="M30" s="13">
        <v>317.58648409952036</v>
      </c>
      <c r="N30" s="13">
        <v>408.96662776350809</v>
      </c>
      <c r="O30" s="13">
        <v>1213.9843163354676</v>
      </c>
      <c r="P30" s="13">
        <v>165.63263010135597</v>
      </c>
      <c r="Q30" s="13">
        <v>197.62650451890917</v>
      </c>
      <c r="R30" s="13">
        <v>138.86157504495839</v>
      </c>
      <c r="S30" s="13">
        <v>133.7856391269523</v>
      </c>
      <c r="T30" s="13">
        <v>187.51920160210139</v>
      </c>
      <c r="U30" s="13">
        <v>192.31590282509794</v>
      </c>
      <c r="V30" s="13">
        <v>148.62134805448105</v>
      </c>
      <c r="W30" s="13">
        <v>72.099291936872149</v>
      </c>
      <c r="X30" s="13">
        <v>178.81585484206434</v>
      </c>
      <c r="Y30" s="13">
        <v>166.36697868030373</v>
      </c>
      <c r="Z30" s="13">
        <v>176.38552082953311</v>
      </c>
      <c r="AA30" s="13">
        <v>173.13807459055266</v>
      </c>
      <c r="AB30" s="13">
        <v>169.45414155318639</v>
      </c>
      <c r="AC30" s="13">
        <v>164.78060737720563</v>
      </c>
      <c r="AD30" s="13">
        <v>161.13998805826694</v>
      </c>
      <c r="AE30" s="13">
        <v>244.03079042900384</v>
      </c>
      <c r="AF30" s="13">
        <v>223.31397945511389</v>
      </c>
      <c r="AG30" s="13">
        <v>222.19740955783834</v>
      </c>
      <c r="AH30" s="13">
        <v>279.14247431889237</v>
      </c>
      <c r="AI30" s="13">
        <v>340.3497748455336</v>
      </c>
      <c r="AJ30" s="13">
        <v>350</v>
      </c>
      <c r="AK30" s="14">
        <v>350</v>
      </c>
      <c r="AM30" s="16"/>
    </row>
    <row r="31" spans="1:271" s="15" customFormat="1" ht="12" x14ac:dyDescent="0.3">
      <c r="A31" s="15" t="s">
        <v>35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>
        <v>1116.5698972755695</v>
      </c>
      <c r="AH31" s="13">
        <v>5582.8494863778478</v>
      </c>
      <c r="AI31" s="13">
        <v>1570.8451146716934</v>
      </c>
      <c r="AJ31" s="13">
        <v>1500</v>
      </c>
      <c r="AK31" s="14">
        <v>1500</v>
      </c>
      <c r="AM31" s="16"/>
    </row>
    <row r="32" spans="1:271" s="23" customFormat="1" ht="12" x14ac:dyDescent="0.3">
      <c r="A32" s="20" t="s">
        <v>28</v>
      </c>
      <c r="B32" s="21">
        <v>22934.195359756632</v>
      </c>
      <c r="C32" s="21">
        <v>23900.939358322739</v>
      </c>
      <c r="D32" s="21">
        <v>24674.977030209942</v>
      </c>
      <c r="E32" s="21">
        <v>27642.073405803523</v>
      </c>
      <c r="F32" s="21">
        <v>28207.655819095839</v>
      </c>
      <c r="G32" s="21">
        <v>28118.694132497036</v>
      </c>
      <c r="H32" s="21">
        <v>28941.652889174551</v>
      </c>
      <c r="I32" s="21">
        <v>30077.659498315603</v>
      </c>
      <c r="J32" s="21">
        <v>31223.912443749308</v>
      </c>
      <c r="K32" s="21">
        <v>34591.02507933446</v>
      </c>
      <c r="L32" s="21">
        <v>38066.875601880587</v>
      </c>
      <c r="M32" s="21">
        <v>42248.266270844331</v>
      </c>
      <c r="N32" s="21">
        <v>46616.163007451512</v>
      </c>
      <c r="O32" s="21">
        <v>52458.482418684493</v>
      </c>
      <c r="P32" s="21">
        <v>52193.726893637227</v>
      </c>
      <c r="Q32" s="21">
        <v>51238.600961807279</v>
      </c>
      <c r="R32" s="21">
        <v>48913.364272280873</v>
      </c>
      <c r="S32" s="21">
        <v>48145.247424283552</v>
      </c>
      <c r="T32" s="21">
        <v>46667.906193177267</v>
      </c>
      <c r="U32" s="21">
        <v>46777.045084456222</v>
      </c>
      <c r="V32" s="21">
        <v>46426.336705258793</v>
      </c>
      <c r="W32" s="21">
        <v>44670.272219961073</v>
      </c>
      <c r="X32" s="21">
        <v>44026.204200452958</v>
      </c>
      <c r="Y32" s="21">
        <v>41053.052420578599</v>
      </c>
      <c r="Z32" s="21">
        <v>41322.894294310623</v>
      </c>
      <c r="AA32" s="21">
        <v>40725.798748300702</v>
      </c>
      <c r="AB32" s="21">
        <v>42489.248866428308</v>
      </c>
      <c r="AC32" s="21">
        <v>43870.497984854555</v>
      </c>
      <c r="AD32" s="21">
        <v>46547.789564731327</v>
      </c>
      <c r="AE32" s="21">
        <v>47975.138680974189</v>
      </c>
      <c r="AF32" s="21">
        <v>45783.832067887452</v>
      </c>
      <c r="AG32" s="21">
        <v>97260.215497990153</v>
      </c>
      <c r="AH32" s="21">
        <v>51560.45109423848</v>
      </c>
      <c r="AI32" s="21">
        <v>49874.332390826268</v>
      </c>
      <c r="AJ32" s="21">
        <v>46947</v>
      </c>
      <c r="AK32" s="22">
        <v>47890</v>
      </c>
    </row>
    <row r="33" spans="1:39" s="15" customFormat="1" ht="12" x14ac:dyDescent="0.3">
      <c r="A33" s="15" t="s">
        <v>29</v>
      </c>
      <c r="B33" s="13">
        <v>24541.112744051356</v>
      </c>
      <c r="C33" s="13">
        <v>25924.255071400305</v>
      </c>
      <c r="D33" s="13">
        <v>26618.2148546401</v>
      </c>
      <c r="E33" s="13">
        <v>26451.463375384574</v>
      </c>
      <c r="F33" s="13">
        <v>26965.955138108497</v>
      </c>
      <c r="G33" s="13">
        <v>26781.078549511487</v>
      </c>
      <c r="H33" s="13">
        <v>27720.41585795135</v>
      </c>
      <c r="I33" s="13">
        <v>29440.868520200373</v>
      </c>
      <c r="J33" s="13">
        <v>29933.122775221629</v>
      </c>
      <c r="K33" s="13">
        <v>33188.4857772826</v>
      </c>
      <c r="L33" s="13">
        <v>36773.38051750727</v>
      </c>
      <c r="M33" s="13">
        <v>40902.799432358406</v>
      </c>
      <c r="N33" s="13">
        <v>45401.883922243585</v>
      </c>
      <c r="O33" s="13">
        <v>50973.642888094953</v>
      </c>
      <c r="P33" s="13">
        <v>50724.92594998741</v>
      </c>
      <c r="Q33" s="13">
        <v>49948.980863422075</v>
      </c>
      <c r="R33" s="13">
        <v>47520.312295796866</v>
      </c>
      <c r="S33" s="13">
        <v>46778.226449410453</v>
      </c>
      <c r="T33" s="13">
        <v>44973.170238513434</v>
      </c>
      <c r="U33" s="13">
        <v>45563.118425592067</v>
      </c>
      <c r="V33" s="13">
        <v>44866.913834875813</v>
      </c>
      <c r="W33" s="13">
        <v>43102.083722822295</v>
      </c>
      <c r="X33" s="13">
        <v>36602.687480555425</v>
      </c>
      <c r="Y33" s="13">
        <v>39688.314931719913</v>
      </c>
      <c r="Z33" s="13">
        <v>40100.37619265855</v>
      </c>
      <c r="AA33" s="13">
        <v>38627.995083196285</v>
      </c>
      <c r="AB33" s="13">
        <v>40317.027211322398</v>
      </c>
      <c r="AC33" s="13">
        <v>41708.14069916094</v>
      </c>
      <c r="AD33" s="13">
        <v>44239.979901165214</v>
      </c>
      <c r="AE33" s="13">
        <v>45416.430546917283</v>
      </c>
      <c r="AF33" s="13">
        <v>47637.338097364896</v>
      </c>
      <c r="AG33" s="13">
        <v>45272.44305493524</v>
      </c>
      <c r="AH33" s="13">
        <v>48632.449432338784</v>
      </c>
      <c r="AI33" s="13">
        <v>46920.117723321811</v>
      </c>
      <c r="AJ33" s="13">
        <v>44188.003083000011</v>
      </c>
      <c r="AK33" s="14">
        <v>46553.919323999988</v>
      </c>
      <c r="AM33" s="24"/>
    </row>
    <row r="34" spans="1:39" s="15" customFormat="1" ht="12" x14ac:dyDescent="0.3">
      <c r="A34" s="15" t="s">
        <v>30</v>
      </c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>
        <v>13330.759934215597</v>
      </c>
      <c r="V34" s="25"/>
      <c r="W34" s="25"/>
      <c r="X34" s="25"/>
      <c r="Y34" s="25"/>
      <c r="Z34" s="25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4"/>
    </row>
    <row r="35" spans="1:39" s="15" customFormat="1" ht="12" x14ac:dyDescent="0.3">
      <c r="A35" s="26" t="s">
        <v>31</v>
      </c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13">
        <v>267.65268849664477</v>
      </c>
      <c r="AB35" s="13"/>
      <c r="AC35" s="13"/>
      <c r="AD35" s="13"/>
      <c r="AE35" s="13"/>
      <c r="AF35" s="13"/>
      <c r="AG35" s="13"/>
      <c r="AH35" s="13"/>
      <c r="AI35" s="13"/>
      <c r="AJ35" s="13"/>
      <c r="AK35" s="14"/>
    </row>
    <row r="36" spans="1:39" s="15" customFormat="1" ht="12" x14ac:dyDescent="0.3">
      <c r="A36" s="26" t="s">
        <v>32</v>
      </c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13"/>
      <c r="AB36" s="13">
        <v>167.30073352990854</v>
      </c>
      <c r="AC36" s="13"/>
      <c r="AD36" s="13"/>
      <c r="AE36" s="13"/>
      <c r="AF36" s="13"/>
      <c r="AG36" s="13"/>
      <c r="AH36" s="13"/>
      <c r="AI36" s="13"/>
      <c r="AJ36" s="13"/>
      <c r="AK36" s="14"/>
    </row>
    <row r="37" spans="1:39" s="15" customFormat="1" ht="12" x14ac:dyDescent="0.3">
      <c r="A37" s="26" t="s">
        <v>33</v>
      </c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13"/>
      <c r="AB37" s="27"/>
      <c r="AC37" s="27"/>
      <c r="AD37" s="27"/>
      <c r="AE37" s="27"/>
      <c r="AF37" s="27">
        <v>3587</v>
      </c>
      <c r="AG37" s="27"/>
      <c r="AH37" s="27"/>
      <c r="AI37" s="27"/>
      <c r="AJ37" s="27"/>
      <c r="AK37" s="28"/>
    </row>
    <row r="38" spans="1:39" s="15" customFormat="1" ht="12" x14ac:dyDescent="0.3">
      <c r="A38" s="29" t="s">
        <v>34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30"/>
      <c r="Q38" s="30"/>
      <c r="R38" s="30"/>
      <c r="S38" s="30"/>
      <c r="T38" s="30"/>
      <c r="U38" s="30"/>
      <c r="V38" s="29"/>
      <c r="W38" s="29"/>
      <c r="X38" s="29"/>
      <c r="Y38" s="29"/>
      <c r="Z38" s="29"/>
      <c r="AA38" s="29"/>
    </row>
    <row r="39" spans="1:39" hidden="1" x14ac:dyDescent="0.3">
      <c r="A39" s="5" t="s">
        <v>36</v>
      </c>
      <c r="B39" s="11">
        <f>B6+SUM(B12:B16)+ SUM(B18:B30)</f>
        <v>5570.1442357556371</v>
      </c>
      <c r="C39" s="11">
        <f t="shared" ref="C39:AK39" si="0">C6+SUM(C12:C16)+ SUM(C18:C30)</f>
        <v>6158.8832685895941</v>
      </c>
      <c r="D39" s="11">
        <f t="shared" si="0"/>
        <v>6193.7609764737481</v>
      </c>
      <c r="E39" s="11">
        <f t="shared" si="0"/>
        <v>7849.060174143101</v>
      </c>
      <c r="F39" s="11">
        <f t="shared" si="0"/>
        <v>8082.4203698900719</v>
      </c>
      <c r="G39" s="11">
        <f t="shared" si="0"/>
        <v>7401.8078426383199</v>
      </c>
      <c r="H39" s="11">
        <f t="shared" si="0"/>
        <v>8498.8355875432753</v>
      </c>
      <c r="I39" s="11">
        <f t="shared" si="0"/>
        <v>8965.1769724787246</v>
      </c>
      <c r="J39" s="11">
        <f t="shared" si="0"/>
        <v>9298.2933339641349</v>
      </c>
      <c r="K39" s="11">
        <f t="shared" si="0"/>
        <v>10205.122560586904</v>
      </c>
      <c r="L39" s="11">
        <f t="shared" si="0"/>
        <v>11340.444717158816</v>
      </c>
      <c r="M39" s="11">
        <f t="shared" si="0"/>
        <v>12742.441612893919</v>
      </c>
      <c r="N39" s="11">
        <f t="shared" si="0"/>
        <v>14448.24726913522</v>
      </c>
      <c r="O39" s="11">
        <f t="shared" si="0"/>
        <v>16414.838205424116</v>
      </c>
      <c r="P39" s="11">
        <f t="shared" si="0"/>
        <v>15381.011058929736</v>
      </c>
      <c r="Q39" s="11">
        <f t="shared" si="0"/>
        <v>15044.371413892935</v>
      </c>
      <c r="R39" s="11">
        <f t="shared" si="0"/>
        <v>14449.302066658467</v>
      </c>
      <c r="S39" s="11">
        <f t="shared" si="0"/>
        <v>14939.827025579347</v>
      </c>
      <c r="T39" s="11">
        <f t="shared" si="0"/>
        <v>14528.403458759249</v>
      </c>
      <c r="U39" s="11">
        <f t="shared" si="0"/>
        <v>14716.836598574464</v>
      </c>
      <c r="V39" s="11">
        <f t="shared" si="0"/>
        <v>14496.900815031178</v>
      </c>
      <c r="W39" s="11">
        <f t="shared" si="0"/>
        <v>12082.289532236198</v>
      </c>
      <c r="X39" s="11">
        <f t="shared" si="0"/>
        <v>13429.863318061984</v>
      </c>
      <c r="Y39" s="11">
        <f t="shared" si="0"/>
        <v>12586.553553933431</v>
      </c>
      <c r="Z39" s="11">
        <f t="shared" si="0"/>
        <v>12759.889768522738</v>
      </c>
      <c r="AA39" s="11">
        <f t="shared" si="0"/>
        <v>12560.252802100687</v>
      </c>
      <c r="AB39" s="11">
        <f t="shared" si="0"/>
        <v>13446.446435414757</v>
      </c>
      <c r="AC39" s="11">
        <f t="shared" si="0"/>
        <v>14146.991959408377</v>
      </c>
      <c r="AD39" s="11">
        <f t="shared" si="0"/>
        <v>15489.157597311298</v>
      </c>
      <c r="AE39" s="11">
        <f t="shared" si="0"/>
        <v>16428.980282891163</v>
      </c>
      <c r="AF39" s="11">
        <f t="shared" si="0"/>
        <v>17854.581286288521</v>
      </c>
      <c r="AG39" s="11">
        <f t="shared" si="0"/>
        <v>19600.267976775347</v>
      </c>
      <c r="AH39" s="11">
        <f t="shared" si="0"/>
        <v>19906.729566770882</v>
      </c>
      <c r="AI39" s="11">
        <f t="shared" si="0"/>
        <v>17647.957901350928</v>
      </c>
      <c r="AJ39" s="11">
        <f t="shared" si="0"/>
        <v>16881.970999999998</v>
      </c>
      <c r="AK39" s="11">
        <f>AK6+SUM(AK12:AK16)+ SUM(AK18:AK30)</f>
        <v>17247.035</v>
      </c>
    </row>
    <row r="40" spans="1:39" x14ac:dyDescent="0.3">
      <c r="A40" s="31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1"/>
    </row>
    <row r="41" spans="1:39" x14ac:dyDescent="0.3">
      <c r="A41" s="31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1"/>
      <c r="AG41" s="31"/>
      <c r="AH41" s="31"/>
      <c r="AI41" s="31"/>
      <c r="AJ41" s="31"/>
      <c r="AK41" s="31"/>
    </row>
    <row r="42" spans="1:39" x14ac:dyDescent="0.3">
      <c r="A42" s="31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1"/>
    </row>
    <row r="43" spans="1:39" x14ac:dyDescent="0.3">
      <c r="A43" s="31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1"/>
      <c r="AG43" s="31"/>
      <c r="AH43" s="31"/>
      <c r="AI43" s="31"/>
      <c r="AJ43" s="31"/>
      <c r="AK43" s="31"/>
    </row>
    <row r="44" spans="1:39" x14ac:dyDescent="0.3">
      <c r="A44" s="31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1"/>
      <c r="AG44" s="31"/>
      <c r="AH44" s="31"/>
      <c r="AI44" s="31"/>
      <c r="AJ44" s="31"/>
      <c r="AK44" s="31"/>
    </row>
    <row r="45" spans="1:39" x14ac:dyDescent="0.3">
      <c r="A45" s="31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1"/>
    </row>
    <row r="46" spans="1:39" x14ac:dyDescent="0.3">
      <c r="A46" s="31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1"/>
    </row>
    <row r="47" spans="1:39" x14ac:dyDescent="0.3">
      <c r="A47" s="31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1"/>
    </row>
    <row r="48" spans="1:39" x14ac:dyDescent="0.3">
      <c r="A48" s="31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1"/>
    </row>
    <row r="49" spans="1:37" x14ac:dyDescent="0.3">
      <c r="A49" s="31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1"/>
    </row>
    <row r="50" spans="1:37" x14ac:dyDescent="0.3">
      <c r="A50" s="31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1"/>
    </row>
    <row r="51" spans="1:37" x14ac:dyDescent="0.3">
      <c r="A51" s="31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1"/>
    </row>
    <row r="52" spans="1:37" x14ac:dyDescent="0.3">
      <c r="A52" s="31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1"/>
    </row>
    <row r="53" spans="1:37" x14ac:dyDescent="0.3">
      <c r="A53" s="31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1"/>
    </row>
    <row r="54" spans="1:37" x14ac:dyDescent="0.3">
      <c r="A54" s="31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1"/>
    </row>
    <row r="55" spans="1:37" x14ac:dyDescent="0.3">
      <c r="A55" s="31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1"/>
    </row>
    <row r="56" spans="1:37" x14ac:dyDescent="0.3">
      <c r="A56" s="31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1"/>
    </row>
    <row r="57" spans="1:37" x14ac:dyDescent="0.3">
      <c r="A57" s="31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1"/>
    </row>
    <row r="58" spans="1:37" x14ac:dyDescent="0.3">
      <c r="A58" s="31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1"/>
    </row>
    <row r="59" spans="1:37" x14ac:dyDescent="0.3">
      <c r="A59" s="31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1"/>
    </row>
    <row r="60" spans="1:37" x14ac:dyDescent="0.3">
      <c r="A60" s="31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1"/>
    </row>
    <row r="61" spans="1:37" x14ac:dyDescent="0.3">
      <c r="A61" s="31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1"/>
    </row>
    <row r="62" spans="1:37" x14ac:dyDescent="0.3">
      <c r="A62" s="31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1"/>
    </row>
    <row r="63" spans="1:37" x14ac:dyDescent="0.3">
      <c r="A63" s="31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1"/>
    </row>
    <row r="64" spans="1:37" x14ac:dyDescent="0.3">
      <c r="A64" s="31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1"/>
    </row>
    <row r="65" spans="1:37" x14ac:dyDescent="0.3">
      <c r="A65" s="31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1"/>
    </row>
    <row r="66" spans="1:37" x14ac:dyDescent="0.3">
      <c r="A66" s="31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1"/>
    </row>
    <row r="67" spans="1:37" x14ac:dyDescent="0.3">
      <c r="A67" s="31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1"/>
    </row>
    <row r="68" spans="1:37" x14ac:dyDescent="0.3">
      <c r="A68" s="31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1"/>
    </row>
    <row r="69" spans="1:37" x14ac:dyDescent="0.3">
      <c r="A69" s="31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1"/>
    </row>
    <row r="70" spans="1:37" x14ac:dyDescent="0.3">
      <c r="A70" s="31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1"/>
    </row>
    <row r="71" spans="1:37" x14ac:dyDescent="0.3">
      <c r="A71" s="31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1"/>
    </row>
    <row r="72" spans="1:37" x14ac:dyDescent="0.3">
      <c r="A72" s="31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1"/>
    </row>
    <row r="73" spans="1:37" x14ac:dyDescent="0.3">
      <c r="A73" s="31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1"/>
    </row>
    <row r="74" spans="1:37" x14ac:dyDescent="0.3">
      <c r="A74" s="31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1"/>
    </row>
    <row r="75" spans="1:37" x14ac:dyDescent="0.3">
      <c r="A75" s="31"/>
      <c r="B75" s="31"/>
      <c r="C75" s="31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1"/>
    </row>
    <row r="76" spans="1:37" x14ac:dyDescent="0.3">
      <c r="A76" s="31"/>
      <c r="B76" s="31"/>
      <c r="C76" s="31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1"/>
    </row>
    <row r="77" spans="1:37" x14ac:dyDescent="0.3">
      <c r="A77" s="31"/>
      <c r="B77" s="31"/>
      <c r="C77" s="31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1"/>
    </row>
    <row r="78" spans="1:37" x14ac:dyDescent="0.3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4"/>
      <c r="Q78" s="34"/>
      <c r="R78" s="34"/>
      <c r="S78" s="34"/>
      <c r="T78" s="34"/>
      <c r="U78" s="34"/>
      <c r="V78" s="31"/>
      <c r="W78" s="31"/>
      <c r="X78" s="31"/>
      <c r="Y78" s="31"/>
      <c r="Z78" s="31"/>
      <c r="AA78" s="31"/>
      <c r="AB78" s="31"/>
      <c r="AC78" s="31"/>
      <c r="AD78" s="31"/>
      <c r="AE78" s="32"/>
      <c r="AF78" s="31"/>
      <c r="AG78" s="31"/>
      <c r="AH78" s="31"/>
      <c r="AI78" s="31"/>
      <c r="AJ78" s="31"/>
      <c r="AK78" s="31"/>
    </row>
    <row r="79" spans="1:37" x14ac:dyDescent="0.3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4"/>
      <c r="Q79" s="34"/>
      <c r="R79" s="34"/>
      <c r="S79" s="34"/>
      <c r="T79" s="34"/>
      <c r="U79" s="34"/>
      <c r="V79" s="31"/>
      <c r="W79" s="31"/>
      <c r="X79" s="31"/>
      <c r="Y79" s="31"/>
      <c r="Z79" s="31"/>
      <c r="AA79" s="31"/>
      <c r="AB79" s="31"/>
      <c r="AC79" s="31"/>
      <c r="AD79" s="31"/>
      <c r="AE79" s="32"/>
      <c r="AF79" s="31"/>
      <c r="AG79" s="31"/>
      <c r="AH79" s="31"/>
      <c r="AI79" s="31"/>
      <c r="AJ79" s="31"/>
      <c r="AK79" s="31"/>
    </row>
    <row r="80" spans="1:37" x14ac:dyDescent="0.3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4"/>
      <c r="Q80" s="34"/>
      <c r="R80" s="34"/>
      <c r="S80" s="34"/>
      <c r="T80" s="34"/>
      <c r="U80" s="34"/>
      <c r="V80" s="31"/>
      <c r="W80" s="31"/>
      <c r="X80" s="31"/>
      <c r="Y80" s="31"/>
      <c r="Z80" s="31"/>
      <c r="AA80" s="31"/>
      <c r="AB80" s="31"/>
      <c r="AC80" s="31"/>
      <c r="AD80" s="31"/>
      <c r="AE80" s="32"/>
      <c r="AF80" s="31"/>
      <c r="AG80" s="31"/>
      <c r="AH80" s="31"/>
      <c r="AI80" s="31"/>
      <c r="AJ80" s="31"/>
      <c r="AK80" s="31"/>
    </row>
    <row r="81" spans="1:37" x14ac:dyDescent="0.3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4"/>
      <c r="Q81" s="34"/>
      <c r="R81" s="34"/>
      <c r="S81" s="34"/>
      <c r="T81" s="34"/>
      <c r="U81" s="34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</row>
  </sheetData>
  <phoneticPr fontId="5" type="noConversion"/>
  <pageMargins left="0.25" right="0.25" top="0.75" bottom="0.75" header="0.3" footer="0.3"/>
  <pageSetup scale="85" orientation="landscape" horizontalDpi="4294967292" r:id="rId1"/>
  <headerFooter alignWithMargins="0">
    <oddHeader>&amp;CTable. NIH Budgets by Institute and Funding Mechanism, FY 1998 - 2013</oddHeader>
    <oddFooter>&amp;CAAAS - MARCH 2012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Our Laptop</dc:creator>
  <cp:lastModifiedBy>Alessandra C. Zimmermann</cp:lastModifiedBy>
  <dcterms:created xsi:type="dcterms:W3CDTF">2020-05-20T17:59:04Z</dcterms:created>
  <dcterms:modified xsi:type="dcterms:W3CDTF">2025-02-06T16:44:36Z</dcterms:modified>
</cp:coreProperties>
</file>