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I:\RDBudget\Historical Tables\Hist Wesbite Files\"/>
    </mc:Choice>
  </mc:AlternateContent>
  <xr:revisionPtr revIDLastSave="0" documentId="13_ncr:1_{8EFA6500-1A93-44A9-8401-4991E9E4A731}" xr6:coauthVersionLast="47" xr6:coauthVersionMax="47" xr10:uidLastSave="{00000000-0000-0000-0000-000000000000}"/>
  <bookViews>
    <workbookView xWindow="22944" yWindow="0" windowWidth="15552" windowHeight="16656" xr2:uid="{00000000-000D-0000-FFFF-FFFF00000000}"/>
  </bookViews>
  <sheets>
    <sheet name="Data" sheetId="1" r:id="rId1"/>
  </sheets>
  <definedNames>
    <definedName name="HTML_CodePage" hidden="1">1252</definedName>
    <definedName name="HTML_Control" hidden="1">{"'full bas'!$A$7:$F$48"}</definedName>
    <definedName name="HTML_Description" hidden="1">""</definedName>
    <definedName name="HTML_Email" hidden="1">""</definedName>
    <definedName name="HTML_Header" hidden="1">"full pg"</definedName>
    <definedName name="HTML_LastUpdate" hidden="1">"03/14/2002"</definedName>
    <definedName name="HTML_LineAfter" hidden="1">FALSE</definedName>
    <definedName name="HTML_LineBefore" hidden="1">FALSE</definedName>
    <definedName name="HTML_Name" hidden="1">"Kei Koizumi"</definedName>
    <definedName name="HTML_OBDlg2" hidden="1">TRUE</definedName>
    <definedName name="HTML_OBDlg4" hidden="1">TRUE</definedName>
    <definedName name="HTML_OS" hidden="1">0</definedName>
    <definedName name="HTML_PathFile" hidden="1">"H:\www\temp2.htm"</definedName>
    <definedName name="HTML_Title" hidden="1">"TOTAL02P"</definedName>
    <definedName name="HTML1_1" hidden="1">"'[TOTAL97C.XLS]Tbl 1'!$A$10:$H$46"</definedName>
    <definedName name="HTML1_10" hidden="1">""</definedName>
    <definedName name="HTML1_11" hidden="1">1</definedName>
    <definedName name="HTML1_12" hidden="1">"h:\spp\www\dspp\rd\congact1.htm"</definedName>
    <definedName name="HTML1_2" hidden="1">1</definedName>
    <definedName name="HTML1_3" hidden="1">"Table 1. Total R&amp;D by Agency"</definedName>
    <definedName name="HTML1_4" hidden="1">"Congressional Action on R&amp;D in the FY 1997 Budget "</definedName>
    <definedName name="HTML1_5" hidden="1">"(budget authority in millions of dollars)*"</definedName>
    <definedName name="HTML1_6" hidden="1">1</definedName>
    <definedName name="HTML1_7" hidden="1">1</definedName>
    <definedName name="HTML1_8" hidden="1">""</definedName>
    <definedName name="HTML1_9" hidden="1">" "</definedName>
    <definedName name="HTML2_1" hidden="1">"'[TOTAL97C.XLS]FY 94-97'!$A$9:$O$28"</definedName>
    <definedName name="HTML2_10" hidden="1">""</definedName>
    <definedName name="HTML2_11" hidden="1">1</definedName>
    <definedName name="HTML2_12" hidden="1">"H:\SPP\WWW\DSPP\RD\CONGACTB.HTM"</definedName>
    <definedName name="HTML2_2" hidden="1">1</definedName>
    <definedName name="HTML2_3" hidden="1">"Special Table. R&amp;D by Agency, FYs 1994-97"</definedName>
    <definedName name="HTML2_4" hidden="1">"Final - Nov. 1, 1996"</definedName>
    <definedName name="HTML2_5" hidden="1">"(budget authority in millions of dollars)"</definedName>
    <definedName name="HTML2_6" hidden="1">1</definedName>
    <definedName name="HTML2_7" hidden="1">1</definedName>
    <definedName name="HTML2_8" hidden="1">""</definedName>
    <definedName name="HTML2_9" hidden="1">" "</definedName>
    <definedName name="HTML3_1" hidden="1">"[TOTAL97C.XLS]bdgres!$A$10:$I$22"</definedName>
    <definedName name="HTML3_10" hidden="1">""</definedName>
    <definedName name="HTML3_11" hidden="1">1</definedName>
    <definedName name="HTML3_12" hidden="1">"H:\SPP\WWW\DSPP\RD\CONGACTA.HTM"</definedName>
    <definedName name="HTML3_2" hidden="1">1</definedName>
    <definedName name="HTML3_3" hidden="1">"Table A. Nondefense R&amp;D: Comparisons between Budget Resolution Projections"</definedName>
    <definedName name="HTML3_4" hidden="1">"and Appropriations, FY 1996 and 1997"</definedName>
    <definedName name="HTML3_5" hidden="1">"(budget authority in millions of dollars)"</definedName>
    <definedName name="HTML3_6" hidden="1">1</definedName>
    <definedName name="HTML3_7" hidden="1">1</definedName>
    <definedName name="HTML3_8" hidden="1">""</definedName>
    <definedName name="HTML3_9" hidden="1">" "</definedName>
    <definedName name="HTML4_1" hidden="1">"[HIST297.XLS]Sheet1!$A$1:$E$21"</definedName>
    <definedName name="HTML4_10" hidden="1">""</definedName>
    <definedName name="HTML4_11" hidden="1">1</definedName>
    <definedName name="HTML4_12" hidden="1">"H:\SPP\KKOIZUMI\98P\anlytbl2.htm"</definedName>
    <definedName name="HTML4_2" hidden="1">1</definedName>
    <definedName name="HTML4_3" hidden="1">"Table 2. Trends in R&amp;D, FY 1994-1998"</definedName>
    <definedName name="HTML4_4" hidden="1">"Table 2. Trends in R&amp;D, FY 1994-1998"</definedName>
    <definedName name="HTML4_5" hidden="1">"(budget authority in millions of dollars)"</definedName>
    <definedName name="HTML4_6" hidden="1">1</definedName>
    <definedName name="HTML4_7" hidden="1">1</definedName>
    <definedName name="HTML4_8" hidden="1">""</definedName>
    <definedName name="HTML4_9" hidden="1">""</definedName>
    <definedName name="HTML5_1" hidden="1">"[HIST297.XLS]Sheet1!$A$4:$F$23"</definedName>
    <definedName name="HTML5_10" hidden="1">""</definedName>
    <definedName name="HTML5_11" hidden="1">1</definedName>
    <definedName name="HTML5_12" hidden="1">"h:\spp\WWW\DSPP\RD\anlytbl2.htm"</definedName>
    <definedName name="HTML5_2" hidden="1">1</definedName>
    <definedName name="HTML5_3" hidden="1">"Table 2. Trends in R&amp;D, FY 1994-1998"</definedName>
    <definedName name="HTML5_4" hidden="1">"Table 2. Trends in R&amp;D, FY 1994-1998"</definedName>
    <definedName name="HTML5_5" hidden="1">"Change in constant dollars"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Count" hidden="1">5</definedName>
    <definedName name="_xlnm.Print_Area" localSheetId="0">Data!$A$1:$AJ$26</definedName>
    <definedName name="_xlnm.Print_Titles" localSheetId="0">Data!$A:$A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X19" i="1" l="1"/>
  <c r="AX17" i="1"/>
  <c r="AY17" i="1"/>
  <c r="AY19" i="1" l="1"/>
</calcChain>
</file>

<file path=xl/sharedStrings.xml><?xml version="1.0" encoding="utf-8"?>
<sst xmlns="http://schemas.openxmlformats.org/spreadsheetml/2006/main" count="27" uniqueCount="27">
  <si>
    <t>Defense</t>
  </si>
  <si>
    <t>Total R&amp;D</t>
  </si>
  <si>
    <t>Fiscal Year</t>
  </si>
  <si>
    <t>DOD</t>
  </si>
  <si>
    <t>NASA</t>
  </si>
  <si>
    <t>DOE</t>
  </si>
  <si>
    <t>HHS</t>
  </si>
  <si>
    <t>NIH*</t>
  </si>
  <si>
    <t>NSF</t>
  </si>
  <si>
    <t>USDA</t>
  </si>
  <si>
    <t>Interior</t>
  </si>
  <si>
    <t>DOT</t>
  </si>
  <si>
    <t>EPA</t>
  </si>
  <si>
    <t>DOC</t>
  </si>
  <si>
    <t>DHS</t>
  </si>
  <si>
    <t>VA</t>
  </si>
  <si>
    <t xml:space="preserve">Other </t>
  </si>
  <si>
    <t>Nondefense</t>
  </si>
  <si>
    <t xml:space="preserve">* Between FY 1991 and 1992, R&amp;D from ADAMHA (HHS) transferred to NIH. ADAMHA R&amp;D included in NIH totals for those years. </t>
  </si>
  <si>
    <t>Source: historical AAAS analyses of OMB and agency R&amp;D budget data and documents. Includes conduct of R&amp;D and R&amp;D facilities.</t>
  </si>
  <si>
    <t>The above figures for FY 2018-2020 have been corrected to include Defense Department 6.6 spending as defense R&amp;D, in accord with OMB Circular A-11 and past practice. This spending was not included in the February 2020 R&amp;D data released by OMB.</t>
  </si>
  <si>
    <t>Beginning in FY 2017, federal agencies have revised what they consider to be R&amp;D. Late-stage development, testing, and evaluation programs, primarily within the Defense Department, are no longer counted as R&amp;D. This was reversed in FY 2019</t>
  </si>
  <si>
    <t>All Other</t>
  </si>
  <si>
    <t>2025 Request</t>
  </si>
  <si>
    <t>FY 2024 R&amp;D values are calculated from final appropriations and should be considered as estimates.</t>
  </si>
  <si>
    <t>(budget authority in millions of constant FY 2024 dollars)</t>
  </si>
  <si>
    <t>Total R&amp;D by Agency, FY 1976-2025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</si>
</sst>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#,##0.000"/>
    <numFmt numFmtId="166" formatCode="0.0000"/>
  </numFmts>
  <fonts count="11" x14ac:knownFonts="1">
    <font>
      <sz val="8"/>
      <name val="Arial"/>
      <family val="2"/>
    </font>
    <font>
      <sz val="8"/>
      <name val="Arial"/>
      <family val="2"/>
    </font>
    <font>
      <sz val="8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8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>
      <alignment horizontal="left" wrapText="1"/>
    </xf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>
      <alignment horizontal="left" wrapText="1"/>
    </xf>
    <xf numFmtId="9" fontId="3" fillId="0" borderId="0" applyFont="0" applyFill="0" applyBorder="0" applyAlignment="0" applyProtection="0"/>
  </cellStyleXfs>
  <cellXfs count="39">
    <xf numFmtId="0" fontId="0" fillId="0" borderId="0" xfId="0">
      <alignment horizontal="left" wrapText="1"/>
    </xf>
    <xf numFmtId="0" fontId="2" fillId="0" borderId="0" xfId="0" applyFont="1">
      <alignment horizontal="left" wrapText="1"/>
    </xf>
    <xf numFmtId="0" fontId="2" fillId="0" borderId="0" xfId="0" applyFont="1" applyAlignment="1"/>
    <xf numFmtId="0" fontId="4" fillId="0" borderId="0" xfId="0" applyFont="1" applyAlignment="1"/>
    <xf numFmtId="0" fontId="5" fillId="0" borderId="0" xfId="0" applyFont="1">
      <alignment horizontal="left" wrapText="1"/>
    </xf>
    <xf numFmtId="17" fontId="5" fillId="0" borderId="0" xfId="0" applyNumberFormat="1" applyFont="1">
      <alignment horizontal="left" wrapText="1"/>
    </xf>
    <xf numFmtId="3" fontId="2" fillId="0" borderId="0" xfId="0" applyNumberFormat="1" applyFont="1">
      <alignment horizontal="left" wrapText="1"/>
    </xf>
    <xf numFmtId="0" fontId="6" fillId="0" borderId="2" xfId="0" applyFont="1" applyBorder="1" applyAlignment="1"/>
    <xf numFmtId="0" fontId="6" fillId="0" borderId="3" xfId="0" applyFont="1" applyBorder="1" applyAlignment="1">
      <alignment horizontal="right" wrapText="1"/>
    </xf>
    <xf numFmtId="0" fontId="6" fillId="0" borderId="3" xfId="0" applyFont="1" applyBorder="1" applyAlignment="1">
      <alignment horizontal="right"/>
    </xf>
    <xf numFmtId="0" fontId="6" fillId="0" borderId="6" xfId="0" applyFont="1" applyBorder="1" applyAlignment="1">
      <alignment horizontal="right" wrapText="1"/>
    </xf>
    <xf numFmtId="0" fontId="6" fillId="0" borderId="0" xfId="0" applyFont="1">
      <alignment horizontal="left" wrapText="1"/>
    </xf>
    <xf numFmtId="0" fontId="6" fillId="0" borderId="0" xfId="0" applyFont="1" applyAlignment="1"/>
    <xf numFmtId="9" fontId="6" fillId="0" borderId="0" xfId="2" applyFont="1" applyAlignment="1">
      <alignment horizontal="left" wrapText="1"/>
    </xf>
    <xf numFmtId="3" fontId="6" fillId="0" borderId="0" xfId="0" applyNumberFormat="1" applyFont="1">
      <alignment horizontal="left" wrapText="1"/>
    </xf>
    <xf numFmtId="0" fontId="7" fillId="0" borderId="0" xfId="0" applyFont="1" applyAlignment="1">
      <alignment horizontal="left" indent="1"/>
    </xf>
    <xf numFmtId="0" fontId="7" fillId="0" borderId="0" xfId="0" applyFont="1">
      <alignment horizontal="left" wrapText="1"/>
    </xf>
    <xf numFmtId="0" fontId="8" fillId="0" borderId="0" xfId="0" applyFont="1" applyAlignment="1"/>
    <xf numFmtId="0" fontId="8" fillId="0" borderId="0" xfId="0" applyFont="1">
      <alignment horizontal="left" wrapText="1"/>
    </xf>
    <xf numFmtId="0" fontId="6" fillId="0" borderId="1" xfId="0" applyFont="1" applyBorder="1" applyAlignment="1"/>
    <xf numFmtId="0" fontId="8" fillId="0" borderId="1" xfId="0" applyFont="1" applyBorder="1" applyAlignment="1"/>
    <xf numFmtId="3" fontId="9" fillId="0" borderId="0" xfId="1" applyNumberFormat="1" applyFont="1"/>
    <xf numFmtId="3" fontId="9" fillId="0" borderId="0" xfId="0" applyNumberFormat="1" applyFont="1" applyAlignment="1"/>
    <xf numFmtId="3" fontId="9" fillId="0" borderId="4" xfId="1" applyNumberFormat="1" applyFont="1" applyBorder="1" applyAlignment="1">
      <alignment horizontal="center"/>
    </xf>
    <xf numFmtId="3" fontId="10" fillId="0" borderId="1" xfId="1" applyNumberFormat="1" applyFont="1" applyBorder="1"/>
    <xf numFmtId="3" fontId="10" fillId="0" borderId="5" xfId="1" applyNumberFormat="1" applyFont="1" applyBorder="1" applyAlignment="1">
      <alignment horizontal="center"/>
    </xf>
    <xf numFmtId="3" fontId="9" fillId="0" borderId="0" xfId="1" applyNumberFormat="1" applyFont="1" applyBorder="1"/>
    <xf numFmtId="0" fontId="9" fillId="0" borderId="0" xfId="0" applyFont="1">
      <alignment horizontal="left" wrapText="1"/>
    </xf>
    <xf numFmtId="3" fontId="9" fillId="0" borderId="0" xfId="0" applyNumberFormat="1" applyFont="1">
      <alignment horizontal="left" wrapText="1"/>
    </xf>
    <xf numFmtId="3" fontId="9" fillId="0" borderId="4" xfId="0" applyNumberFormat="1" applyFont="1" applyBorder="1" applyAlignment="1">
      <alignment horizontal="center" wrapText="1"/>
    </xf>
    <xf numFmtId="0" fontId="9" fillId="0" borderId="1" xfId="0" applyFont="1" applyBorder="1">
      <alignment horizontal="left" wrapText="1"/>
    </xf>
    <xf numFmtId="164" fontId="9" fillId="0" borderId="1" xfId="1" applyNumberFormat="1" applyFont="1" applyBorder="1"/>
    <xf numFmtId="164" fontId="9" fillId="0" borderId="5" xfId="1" applyNumberFormat="1" applyFont="1" applyBorder="1" applyAlignment="1">
      <alignment horizontal="center"/>
    </xf>
    <xf numFmtId="3" fontId="9" fillId="0" borderId="7" xfId="1" applyNumberFormat="1" applyFont="1" applyBorder="1"/>
    <xf numFmtId="0" fontId="2" fillId="0" borderId="0" xfId="0" applyFont="1" applyFill="1">
      <alignment horizontal="left" wrapText="1"/>
    </xf>
    <xf numFmtId="164" fontId="2" fillId="0" borderId="0" xfId="1" applyNumberFormat="1" applyFont="1" applyFill="1"/>
    <xf numFmtId="166" fontId="3" fillId="0" borderId="0" xfId="0" applyNumberFormat="1" applyFont="1" applyFill="1" applyAlignment="1">
      <alignment horizontal="right" wrapText="1"/>
    </xf>
    <xf numFmtId="165" fontId="2" fillId="0" borderId="0" xfId="0" applyNumberFormat="1" applyFont="1" applyFill="1">
      <alignment horizontal="left" wrapText="1"/>
    </xf>
    <xf numFmtId="3" fontId="2" fillId="0" borderId="0" xfId="0" applyNumberFormat="1" applyFont="1" applyFill="1">
      <alignment horizontal="left" wrapText="1"/>
    </xf>
  </cellXfs>
  <cellStyles count="6">
    <cellStyle name="Comma" xfId="1" builtinId="3"/>
    <cellStyle name="Comma 2" xfId="3" xr:uid="{00000000-0005-0000-0000-000001000000}"/>
    <cellStyle name="Normal" xfId="0" builtinId="0"/>
    <cellStyle name="Normal 2" xfId="4" xr:uid="{00000000-0005-0000-0000-000003000000}"/>
    <cellStyle name="Percent" xfId="2" builtinId="5"/>
    <cellStyle name="Percent 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AAAS Official">
      <a:dk1>
        <a:sysClr val="windowText" lastClr="000000"/>
      </a:dk1>
      <a:lt1>
        <a:srgbClr val="FFFFFF"/>
      </a:lt1>
      <a:dk2>
        <a:srgbClr val="A8D08D"/>
      </a:dk2>
      <a:lt2>
        <a:srgbClr val="F16F6F"/>
      </a:lt2>
      <a:accent1>
        <a:srgbClr val="005699"/>
      </a:accent1>
      <a:accent2>
        <a:srgbClr val="66C3C8"/>
      </a:accent2>
      <a:accent3>
        <a:srgbClr val="C00000"/>
      </a:accent3>
      <a:accent4>
        <a:srgbClr val="895C93"/>
      </a:accent4>
      <a:accent5>
        <a:srgbClr val="E7BC47"/>
      </a:accent5>
      <a:accent6>
        <a:srgbClr val="DA8451"/>
      </a:accent6>
      <a:hlink>
        <a:srgbClr val="005699"/>
      </a:hlink>
      <a:folHlink>
        <a:srgbClr val="66C3C8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H63"/>
  <sheetViews>
    <sheetView tabSelected="1" zoomScaleNormal="100" workbookViewId="0">
      <pane xSplit="1" topLeftCell="B1" activePane="topRight" state="frozen"/>
      <selection pane="topRight" activeCell="A29" sqref="A29"/>
    </sheetView>
  </sheetViews>
  <sheetFormatPr defaultColWidth="9.33203125" defaultRowHeight="10.5" x14ac:dyDescent="0.25"/>
  <cols>
    <col min="1" max="1" width="13.33203125" style="2" customWidth="1"/>
    <col min="2" max="44" width="8.44140625" style="1" customWidth="1"/>
    <col min="45" max="45" width="10.44140625" style="1" customWidth="1"/>
    <col min="46" max="46" width="9.77734375" style="1" customWidth="1"/>
    <col min="47" max="47" width="10.109375" style="1" customWidth="1"/>
    <col min="48" max="50" width="10.77734375" style="1" customWidth="1"/>
    <col min="51" max="51" width="15.33203125" style="1" customWidth="1"/>
    <col min="52" max="52" width="6.6640625" style="1" customWidth="1"/>
    <col min="53" max="16384" width="9.33203125" style="1"/>
  </cols>
  <sheetData>
    <row r="1" spans="1:190" ht="14.5" x14ac:dyDescent="0.35">
      <c r="A1" s="3" t="s">
        <v>26</v>
      </c>
      <c r="B1" s="4"/>
      <c r="C1" s="4"/>
      <c r="D1" s="4"/>
      <c r="E1" s="4"/>
      <c r="F1" s="4"/>
      <c r="G1" s="4"/>
      <c r="H1" s="4"/>
      <c r="I1" s="4"/>
      <c r="J1" s="4"/>
      <c r="K1" s="4"/>
      <c r="O1" s="4"/>
      <c r="P1" s="5"/>
    </row>
    <row r="2" spans="1:190" x14ac:dyDescent="0.25">
      <c r="A2" s="2" t="s">
        <v>25</v>
      </c>
      <c r="P2" s="4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</row>
    <row r="3" spans="1:190" s="11" customFormat="1" ht="13" x14ac:dyDescent="0.3">
      <c r="A3" s="7" t="s">
        <v>2</v>
      </c>
      <c r="B3" s="8">
        <v>1976</v>
      </c>
      <c r="C3" s="8">
        <v>1977</v>
      </c>
      <c r="D3" s="8">
        <v>1978</v>
      </c>
      <c r="E3" s="8">
        <v>1979</v>
      </c>
      <c r="F3" s="8">
        <v>1980</v>
      </c>
      <c r="G3" s="8">
        <v>1981</v>
      </c>
      <c r="H3" s="8">
        <v>1982</v>
      </c>
      <c r="I3" s="8">
        <v>1983</v>
      </c>
      <c r="J3" s="8">
        <v>1984</v>
      </c>
      <c r="K3" s="8">
        <v>1985</v>
      </c>
      <c r="L3" s="8">
        <v>1986</v>
      </c>
      <c r="M3" s="8">
        <v>1987</v>
      </c>
      <c r="N3" s="8">
        <v>1988</v>
      </c>
      <c r="O3" s="8">
        <v>1989</v>
      </c>
      <c r="P3" s="8">
        <v>1990</v>
      </c>
      <c r="Q3" s="8">
        <v>1991</v>
      </c>
      <c r="R3" s="8">
        <v>1992</v>
      </c>
      <c r="S3" s="8">
        <v>1993</v>
      </c>
      <c r="T3" s="8">
        <v>1994</v>
      </c>
      <c r="U3" s="8">
        <v>1995</v>
      </c>
      <c r="V3" s="8">
        <v>1996</v>
      </c>
      <c r="W3" s="9">
        <v>1997</v>
      </c>
      <c r="X3" s="9">
        <v>1998</v>
      </c>
      <c r="Y3" s="9">
        <v>1999</v>
      </c>
      <c r="Z3" s="9">
        <v>2000</v>
      </c>
      <c r="AA3" s="9">
        <v>2001</v>
      </c>
      <c r="AB3" s="9">
        <v>2002</v>
      </c>
      <c r="AC3" s="9">
        <v>2003</v>
      </c>
      <c r="AD3" s="9">
        <v>2004</v>
      </c>
      <c r="AE3" s="9">
        <v>2005</v>
      </c>
      <c r="AF3" s="8">
        <v>2006</v>
      </c>
      <c r="AG3" s="8">
        <v>2007</v>
      </c>
      <c r="AH3" s="8">
        <v>2008</v>
      </c>
      <c r="AI3" s="8">
        <v>2009</v>
      </c>
      <c r="AJ3" s="8">
        <v>2010</v>
      </c>
      <c r="AK3" s="8">
        <v>2011</v>
      </c>
      <c r="AL3" s="8">
        <v>2012</v>
      </c>
      <c r="AM3" s="8">
        <v>2013</v>
      </c>
      <c r="AN3" s="8">
        <v>2014</v>
      </c>
      <c r="AO3" s="8">
        <v>2015</v>
      </c>
      <c r="AP3" s="8">
        <v>2016</v>
      </c>
      <c r="AQ3" s="8">
        <v>2017</v>
      </c>
      <c r="AR3" s="8">
        <v>2018</v>
      </c>
      <c r="AS3" s="8">
        <v>2019</v>
      </c>
      <c r="AT3" s="8">
        <v>2020</v>
      </c>
      <c r="AU3" s="8">
        <v>2021</v>
      </c>
      <c r="AV3" s="8">
        <v>2022</v>
      </c>
      <c r="AW3" s="8">
        <v>2023</v>
      </c>
      <c r="AX3" s="8">
        <v>2024</v>
      </c>
      <c r="AY3" s="10" t="s">
        <v>23</v>
      </c>
    </row>
    <row r="4" spans="1:190" s="11" customFormat="1" ht="13" x14ac:dyDescent="0.3">
      <c r="A4" s="12" t="s">
        <v>3</v>
      </c>
      <c r="B4" s="21">
        <v>49340</v>
      </c>
      <c r="C4" s="21">
        <v>52465</v>
      </c>
      <c r="D4" s="21">
        <v>51149</v>
      </c>
      <c r="E4" s="21">
        <v>51350</v>
      </c>
      <c r="F4" s="21">
        <v>51105</v>
      </c>
      <c r="G4" s="21">
        <v>57623</v>
      </c>
      <c r="H4" s="21">
        <v>64690</v>
      </c>
      <c r="I4" s="21">
        <v>70382</v>
      </c>
      <c r="J4" s="21">
        <v>80186</v>
      </c>
      <c r="K4" s="21">
        <v>88825</v>
      </c>
      <c r="L4" s="21">
        <v>95089</v>
      </c>
      <c r="M4" s="21">
        <v>98676</v>
      </c>
      <c r="N4" s="21">
        <v>98136</v>
      </c>
      <c r="O4" s="21">
        <v>95435</v>
      </c>
      <c r="P4" s="21">
        <v>90372</v>
      </c>
      <c r="Q4" s="21">
        <v>85738</v>
      </c>
      <c r="R4" s="21">
        <v>84932</v>
      </c>
      <c r="S4" s="21">
        <v>85333</v>
      </c>
      <c r="T4" s="21">
        <v>76337</v>
      </c>
      <c r="U4" s="21">
        <v>74405</v>
      </c>
      <c r="V4" s="21">
        <v>73931</v>
      </c>
      <c r="W4" s="21">
        <v>75594</v>
      </c>
      <c r="X4" s="21">
        <v>75326</v>
      </c>
      <c r="Y4" s="21">
        <v>76982</v>
      </c>
      <c r="Z4" s="21">
        <v>77512</v>
      </c>
      <c r="AA4" s="21">
        <v>80994</v>
      </c>
      <c r="AB4" s="21">
        <v>93027</v>
      </c>
      <c r="AC4" s="21">
        <v>108613</v>
      </c>
      <c r="AD4" s="21">
        <v>117971</v>
      </c>
      <c r="AE4" s="21">
        <v>121978</v>
      </c>
      <c r="AF4" s="21">
        <v>124958</v>
      </c>
      <c r="AG4" s="21">
        <v>129372</v>
      </c>
      <c r="AH4" s="21">
        <v>130214</v>
      </c>
      <c r="AI4" s="21">
        <v>129229</v>
      </c>
      <c r="AJ4" s="21">
        <v>130357</v>
      </c>
      <c r="AK4" s="21">
        <v>121965</v>
      </c>
      <c r="AL4" s="21">
        <v>112658</v>
      </c>
      <c r="AM4" s="21">
        <v>97371</v>
      </c>
      <c r="AN4" s="21">
        <v>96936</v>
      </c>
      <c r="AO4" s="21">
        <v>95856</v>
      </c>
      <c r="AP4" s="21">
        <v>103983</v>
      </c>
      <c r="AQ4" s="21">
        <v>70695</v>
      </c>
      <c r="AR4" s="21">
        <v>84711</v>
      </c>
      <c r="AS4" s="21">
        <v>87025</v>
      </c>
      <c r="AT4" s="22">
        <v>94853</v>
      </c>
      <c r="AU4" s="21">
        <v>88809</v>
      </c>
      <c r="AV4" s="21">
        <v>88330</v>
      </c>
      <c r="AW4" s="21">
        <v>103820</v>
      </c>
      <c r="AX4" s="21">
        <v>101644</v>
      </c>
      <c r="AY4" s="23">
        <v>94488</v>
      </c>
      <c r="AZ4" s="13"/>
      <c r="BE4" s="14"/>
    </row>
    <row r="5" spans="1:190" s="11" customFormat="1" ht="13" x14ac:dyDescent="0.3">
      <c r="A5" s="12" t="s">
        <v>4</v>
      </c>
      <c r="B5" s="21">
        <v>17296</v>
      </c>
      <c r="C5" s="21">
        <v>17347</v>
      </c>
      <c r="D5" s="21">
        <v>17292</v>
      </c>
      <c r="E5" s="21">
        <v>18067</v>
      </c>
      <c r="F5" s="21">
        <v>19111</v>
      </c>
      <c r="G5" s="21">
        <v>18330</v>
      </c>
      <c r="H5" s="21">
        <v>14240</v>
      </c>
      <c r="I5" s="21">
        <v>8131</v>
      </c>
      <c r="J5" s="21">
        <v>8594</v>
      </c>
      <c r="K5" s="21">
        <v>9893</v>
      </c>
      <c r="L5" s="21">
        <v>10129</v>
      </c>
      <c r="M5" s="21">
        <v>11511</v>
      </c>
      <c r="N5" s="21">
        <v>12063</v>
      </c>
      <c r="O5" s="21">
        <v>14644</v>
      </c>
      <c r="P5" s="21">
        <v>16972</v>
      </c>
      <c r="Q5" s="21">
        <v>18720</v>
      </c>
      <c r="R5" s="21">
        <v>19208</v>
      </c>
      <c r="S5" s="21">
        <v>19362</v>
      </c>
      <c r="T5" s="21">
        <v>20219</v>
      </c>
      <c r="U5" s="21">
        <v>19910</v>
      </c>
      <c r="V5" s="21">
        <v>19488</v>
      </c>
      <c r="W5" s="21">
        <v>18985</v>
      </c>
      <c r="X5" s="21">
        <v>19550</v>
      </c>
      <c r="Y5" s="21">
        <v>19235</v>
      </c>
      <c r="Z5" s="21">
        <v>18416</v>
      </c>
      <c r="AA5" s="21">
        <v>18737</v>
      </c>
      <c r="AB5" s="21">
        <v>19070</v>
      </c>
      <c r="AC5" s="21">
        <v>19565</v>
      </c>
      <c r="AD5" s="21">
        <v>19325</v>
      </c>
      <c r="AE5" s="21">
        <v>18432</v>
      </c>
      <c r="AF5" s="21">
        <v>18999</v>
      </c>
      <c r="AG5" s="21">
        <v>18965</v>
      </c>
      <c r="AH5" s="21">
        <v>17942</v>
      </c>
      <c r="AI5" s="21">
        <v>13937</v>
      </c>
      <c r="AJ5" s="21">
        <v>14564</v>
      </c>
      <c r="AK5" s="21">
        <v>14027</v>
      </c>
      <c r="AL5" s="21">
        <v>17120</v>
      </c>
      <c r="AM5" s="21">
        <v>16341</v>
      </c>
      <c r="AN5" s="21">
        <v>17131</v>
      </c>
      <c r="AO5" s="21">
        <v>16445</v>
      </c>
      <c r="AP5" s="21">
        <v>18958</v>
      </c>
      <c r="AQ5" s="21">
        <v>15022</v>
      </c>
      <c r="AR5" s="21">
        <v>15203</v>
      </c>
      <c r="AS5" s="21">
        <v>14393</v>
      </c>
      <c r="AT5" s="21">
        <v>18946</v>
      </c>
      <c r="AU5" s="21">
        <v>15014</v>
      </c>
      <c r="AV5" s="21">
        <v>15481</v>
      </c>
      <c r="AW5" s="21">
        <v>12243</v>
      </c>
      <c r="AX5" s="21">
        <v>12406</v>
      </c>
      <c r="AY5" s="23">
        <v>11715</v>
      </c>
      <c r="AZ5" s="13"/>
    </row>
    <row r="6" spans="1:190" s="11" customFormat="1" ht="13" x14ac:dyDescent="0.3">
      <c r="A6" s="12" t="s">
        <v>5</v>
      </c>
      <c r="B6" s="21">
        <v>15042</v>
      </c>
      <c r="C6" s="21">
        <v>18987</v>
      </c>
      <c r="D6" s="21">
        <v>21640</v>
      </c>
      <c r="E6" s="21">
        <v>21566</v>
      </c>
      <c r="F6" s="21">
        <v>21027</v>
      </c>
      <c r="G6" s="21">
        <v>20430</v>
      </c>
      <c r="H6" s="21">
        <v>16775</v>
      </c>
      <c r="I6" s="21">
        <v>15356</v>
      </c>
      <c r="J6" s="21">
        <v>16180</v>
      </c>
      <c r="K6" s="21">
        <v>16606</v>
      </c>
      <c r="L6" s="21">
        <v>15052</v>
      </c>
      <c r="M6" s="21">
        <v>14409</v>
      </c>
      <c r="N6" s="21">
        <v>14985</v>
      </c>
      <c r="O6" s="21">
        <v>15474</v>
      </c>
      <c r="P6" s="21">
        <v>16677</v>
      </c>
      <c r="Q6" s="21">
        <v>16911</v>
      </c>
      <c r="R6" s="21">
        <v>18284</v>
      </c>
      <c r="S6" s="21">
        <v>16351</v>
      </c>
      <c r="T6" s="21">
        <v>14557</v>
      </c>
      <c r="U6" s="21">
        <v>13505</v>
      </c>
      <c r="V6" s="21">
        <v>12961</v>
      </c>
      <c r="W6" s="21">
        <v>12621</v>
      </c>
      <c r="X6" s="21">
        <v>12733</v>
      </c>
      <c r="Y6" s="21">
        <v>13789</v>
      </c>
      <c r="Z6" s="21">
        <v>13492</v>
      </c>
      <c r="AA6" s="21">
        <v>14654</v>
      </c>
      <c r="AB6" s="21">
        <v>15068</v>
      </c>
      <c r="AC6" s="21">
        <v>15485</v>
      </c>
      <c r="AD6" s="21">
        <v>15585</v>
      </c>
      <c r="AE6" s="21">
        <v>14962</v>
      </c>
      <c r="AF6" s="21">
        <v>14438</v>
      </c>
      <c r="AG6" s="21">
        <v>14793</v>
      </c>
      <c r="AH6" s="21">
        <v>15673</v>
      </c>
      <c r="AI6" s="21">
        <v>16337</v>
      </c>
      <c r="AJ6" s="21">
        <v>17039</v>
      </c>
      <c r="AK6" s="21">
        <v>16455</v>
      </c>
      <c r="AL6" s="21">
        <v>16357</v>
      </c>
      <c r="AM6" s="21">
        <v>15903</v>
      </c>
      <c r="AN6" s="21">
        <v>17482</v>
      </c>
      <c r="AO6" s="21">
        <v>20728</v>
      </c>
      <c r="AP6" s="21">
        <v>21435</v>
      </c>
      <c r="AQ6" s="21">
        <v>21499</v>
      </c>
      <c r="AR6" s="21">
        <v>23920</v>
      </c>
      <c r="AS6" s="21">
        <v>24581</v>
      </c>
      <c r="AT6" s="21">
        <v>24495</v>
      </c>
      <c r="AU6" s="21">
        <v>21876</v>
      </c>
      <c r="AV6" s="21">
        <v>22426</v>
      </c>
      <c r="AW6" s="21">
        <v>21772</v>
      </c>
      <c r="AX6" s="21">
        <v>19775</v>
      </c>
      <c r="AY6" s="23">
        <v>23440</v>
      </c>
      <c r="AZ6" s="13"/>
    </row>
    <row r="7" spans="1:190" s="11" customFormat="1" ht="13" x14ac:dyDescent="0.3">
      <c r="A7" s="12" t="s">
        <v>6</v>
      </c>
      <c r="B7" s="21">
        <v>12752</v>
      </c>
      <c r="C7" s="21">
        <v>13136</v>
      </c>
      <c r="D7" s="21">
        <v>14552</v>
      </c>
      <c r="E7" s="21">
        <v>13989</v>
      </c>
      <c r="F7" s="21">
        <v>13873</v>
      </c>
      <c r="G7" s="21">
        <v>13315</v>
      </c>
      <c r="H7" s="21">
        <v>12222</v>
      </c>
      <c r="I7" s="21">
        <v>12996</v>
      </c>
      <c r="J7" s="21">
        <v>13992</v>
      </c>
      <c r="K7" s="21">
        <v>15283</v>
      </c>
      <c r="L7" s="21">
        <v>15358</v>
      </c>
      <c r="M7" s="21">
        <v>17720</v>
      </c>
      <c r="N7" s="21">
        <v>18580</v>
      </c>
      <c r="O7" s="21">
        <v>19702</v>
      </c>
      <c r="P7" s="21">
        <v>20363</v>
      </c>
      <c r="Q7" s="21">
        <v>22044</v>
      </c>
      <c r="R7" s="21">
        <v>22885</v>
      </c>
      <c r="S7" s="21">
        <v>23003</v>
      </c>
      <c r="T7" s="21">
        <v>24342</v>
      </c>
      <c r="U7" s="21">
        <v>24242</v>
      </c>
      <c r="V7" s="21">
        <v>24861</v>
      </c>
      <c r="W7" s="21">
        <v>26212</v>
      </c>
      <c r="X7" s="21">
        <v>27753</v>
      </c>
      <c r="Y7" s="21">
        <v>31327</v>
      </c>
      <c r="Z7" s="21">
        <v>35269</v>
      </c>
      <c r="AA7" s="21">
        <v>39881</v>
      </c>
      <c r="AB7" s="21">
        <v>44793</v>
      </c>
      <c r="AC7" s="21">
        <v>50730</v>
      </c>
      <c r="AD7" s="21">
        <v>51017</v>
      </c>
      <c r="AE7" s="21">
        <v>50637</v>
      </c>
      <c r="AF7" s="21">
        <v>48739</v>
      </c>
      <c r="AG7" s="21">
        <v>48502</v>
      </c>
      <c r="AH7" s="21">
        <v>46925</v>
      </c>
      <c r="AI7" s="21">
        <v>49257</v>
      </c>
      <c r="AJ7" s="21">
        <v>49937</v>
      </c>
      <c r="AK7" s="21">
        <v>48073</v>
      </c>
      <c r="AL7" s="21">
        <v>47470</v>
      </c>
      <c r="AM7" s="21">
        <v>44276</v>
      </c>
      <c r="AN7" s="21">
        <v>44703</v>
      </c>
      <c r="AO7" s="21">
        <v>43484</v>
      </c>
      <c r="AP7" s="21">
        <v>45791</v>
      </c>
      <c r="AQ7" s="21">
        <v>47666</v>
      </c>
      <c r="AR7" s="21">
        <v>50535</v>
      </c>
      <c r="AS7" s="21">
        <v>51741</v>
      </c>
      <c r="AT7" s="21">
        <v>56902</v>
      </c>
      <c r="AU7" s="21">
        <v>52014</v>
      </c>
      <c r="AV7" s="21">
        <v>49917</v>
      </c>
      <c r="AW7" s="21">
        <v>50679</v>
      </c>
      <c r="AX7" s="21">
        <v>45481</v>
      </c>
      <c r="AY7" s="23">
        <v>51364</v>
      </c>
      <c r="AZ7" s="13"/>
    </row>
    <row r="8" spans="1:190" s="11" customFormat="1" ht="13" x14ac:dyDescent="0.3">
      <c r="A8" s="15" t="s">
        <v>7</v>
      </c>
      <c r="B8" s="21">
        <v>11091</v>
      </c>
      <c r="C8" s="21">
        <v>11350</v>
      </c>
      <c r="D8" s="21">
        <v>12161</v>
      </c>
      <c r="E8" s="21">
        <v>12768</v>
      </c>
      <c r="F8" s="21">
        <v>12559</v>
      </c>
      <c r="G8" s="21">
        <v>11847</v>
      </c>
      <c r="H8" s="21">
        <v>11468</v>
      </c>
      <c r="I8" s="21">
        <v>12051</v>
      </c>
      <c r="J8" s="21">
        <v>13267</v>
      </c>
      <c r="K8" s="21">
        <v>14624</v>
      </c>
      <c r="L8" s="21">
        <v>14704</v>
      </c>
      <c r="M8" s="21">
        <v>17014</v>
      </c>
      <c r="N8" s="21">
        <v>17807</v>
      </c>
      <c r="O8" s="21">
        <v>18679</v>
      </c>
      <c r="P8" s="21">
        <v>19348</v>
      </c>
      <c r="Q8" s="21">
        <v>20687</v>
      </c>
      <c r="R8" s="21">
        <v>21637</v>
      </c>
      <c r="S8" s="21">
        <v>21726</v>
      </c>
      <c r="T8" s="21">
        <v>22515</v>
      </c>
      <c r="U8" s="21">
        <v>22652</v>
      </c>
      <c r="V8" s="21">
        <v>23604</v>
      </c>
      <c r="W8" s="21">
        <v>24802</v>
      </c>
      <c r="X8" s="21">
        <v>26285</v>
      </c>
      <c r="Y8" s="21">
        <v>29685</v>
      </c>
      <c r="Z8" s="21">
        <v>33431</v>
      </c>
      <c r="AA8" s="21">
        <v>37535</v>
      </c>
      <c r="AB8" s="21">
        <v>42365</v>
      </c>
      <c r="AC8" s="21">
        <v>48353</v>
      </c>
      <c r="AD8" s="21">
        <v>48741</v>
      </c>
      <c r="AE8" s="21">
        <v>48388</v>
      </c>
      <c r="AF8" s="21">
        <v>46672</v>
      </c>
      <c r="AG8" s="21">
        <v>46422</v>
      </c>
      <c r="AH8" s="21">
        <v>45772</v>
      </c>
      <c r="AI8" s="21">
        <v>47185</v>
      </c>
      <c r="AJ8" s="21">
        <v>47470</v>
      </c>
      <c r="AK8" s="21">
        <v>45990</v>
      </c>
      <c r="AL8" s="21">
        <v>45405</v>
      </c>
      <c r="AM8" s="21">
        <v>42106</v>
      </c>
      <c r="AN8" s="21">
        <v>42636</v>
      </c>
      <c r="AO8" s="21">
        <v>41426</v>
      </c>
      <c r="AP8" s="21">
        <v>43790</v>
      </c>
      <c r="AQ8" s="21">
        <v>45669</v>
      </c>
      <c r="AR8" s="21">
        <v>48521</v>
      </c>
      <c r="AS8" s="21">
        <v>49904</v>
      </c>
      <c r="AT8" s="21">
        <v>55190</v>
      </c>
      <c r="AU8" s="21">
        <v>50228</v>
      </c>
      <c r="AV8" s="21">
        <v>48945</v>
      </c>
      <c r="AW8" s="21">
        <v>48970</v>
      </c>
      <c r="AX8" s="21">
        <v>44445</v>
      </c>
      <c r="AY8" s="23">
        <v>49817</v>
      </c>
      <c r="AZ8" s="13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</row>
    <row r="9" spans="1:190" s="11" customFormat="1" ht="13" x14ac:dyDescent="0.3">
      <c r="A9" s="12" t="s">
        <v>8</v>
      </c>
      <c r="B9" s="21">
        <v>3278</v>
      </c>
      <c r="C9" s="21">
        <v>3309</v>
      </c>
      <c r="D9" s="21">
        <v>3379</v>
      </c>
      <c r="E9" s="21">
        <v>3321</v>
      </c>
      <c r="F9" s="21">
        <v>3325</v>
      </c>
      <c r="G9" s="21">
        <v>3176</v>
      </c>
      <c r="H9" s="21">
        <v>3023</v>
      </c>
      <c r="I9" s="21">
        <v>3147</v>
      </c>
      <c r="J9" s="21">
        <v>3582</v>
      </c>
      <c r="K9" s="21">
        <v>3942</v>
      </c>
      <c r="L9" s="21">
        <v>3804</v>
      </c>
      <c r="M9" s="21">
        <v>4056</v>
      </c>
      <c r="N9" s="21">
        <v>4085</v>
      </c>
      <c r="O9" s="21">
        <v>4359</v>
      </c>
      <c r="P9" s="21">
        <v>4125</v>
      </c>
      <c r="Q9" s="21">
        <v>4363</v>
      </c>
      <c r="R9" s="21">
        <v>4433</v>
      </c>
      <c r="S9" s="21">
        <v>4422</v>
      </c>
      <c r="T9" s="21">
        <v>4821</v>
      </c>
      <c r="U9" s="21">
        <v>5044</v>
      </c>
      <c r="V9" s="21">
        <v>4941</v>
      </c>
      <c r="W9" s="21">
        <v>4921</v>
      </c>
      <c r="X9" s="21">
        <v>5015</v>
      </c>
      <c r="Y9" s="21">
        <v>5286</v>
      </c>
      <c r="Z9" s="21">
        <v>5685</v>
      </c>
      <c r="AA9" s="21">
        <v>6292</v>
      </c>
      <c r="AB9" s="21">
        <v>6576</v>
      </c>
      <c r="AC9" s="21">
        <v>7191</v>
      </c>
      <c r="AD9" s="21">
        <v>7375</v>
      </c>
      <c r="AE9" s="21">
        <v>7121</v>
      </c>
      <c r="AF9" s="21">
        <v>7036</v>
      </c>
      <c r="AG9" s="21">
        <v>7270</v>
      </c>
      <c r="AH9" s="21">
        <v>7230</v>
      </c>
      <c r="AI9" s="21">
        <v>7561</v>
      </c>
      <c r="AJ9" s="21">
        <v>8477</v>
      </c>
      <c r="AK9" s="21">
        <v>8470</v>
      </c>
      <c r="AL9" s="21">
        <v>8633</v>
      </c>
      <c r="AM9" s="21">
        <v>7917</v>
      </c>
      <c r="AN9" s="21">
        <v>8454</v>
      </c>
      <c r="AO9" s="21">
        <v>8631</v>
      </c>
      <c r="AP9" s="21">
        <v>8602</v>
      </c>
      <c r="AQ9" s="21">
        <v>8344</v>
      </c>
      <c r="AR9" s="21">
        <v>8719</v>
      </c>
      <c r="AS9" s="21">
        <v>8946</v>
      </c>
      <c r="AT9" s="21">
        <v>8622</v>
      </c>
      <c r="AU9" s="21">
        <v>9257</v>
      </c>
      <c r="AV9" s="21">
        <v>7992</v>
      </c>
      <c r="AW9" s="21">
        <v>8365</v>
      </c>
      <c r="AX9" s="21">
        <v>7397</v>
      </c>
      <c r="AY9" s="23">
        <v>8122</v>
      </c>
      <c r="AZ9" s="13"/>
    </row>
    <row r="10" spans="1:190" s="11" customFormat="1" ht="13" x14ac:dyDescent="0.3">
      <c r="A10" s="12" t="s">
        <v>9</v>
      </c>
      <c r="B10" s="21">
        <v>2539</v>
      </c>
      <c r="C10" s="21">
        <v>2482</v>
      </c>
      <c r="D10" s="21">
        <v>2711</v>
      </c>
      <c r="E10" s="21">
        <v>2838</v>
      </c>
      <c r="F10" s="21">
        <v>2605</v>
      </c>
      <c r="G10" s="21">
        <v>2711</v>
      </c>
      <c r="H10" s="21">
        <v>2576</v>
      </c>
      <c r="I10" s="21">
        <v>2631</v>
      </c>
      <c r="J10" s="21">
        <v>2802</v>
      </c>
      <c r="K10" s="21">
        <v>2784</v>
      </c>
      <c r="L10" s="21">
        <v>2608</v>
      </c>
      <c r="M10" s="21">
        <v>2901</v>
      </c>
      <c r="N10" s="21">
        <v>2875</v>
      </c>
      <c r="O10" s="21">
        <v>2818</v>
      </c>
      <c r="P10" s="21">
        <v>2919</v>
      </c>
      <c r="Q10" s="21">
        <v>3206</v>
      </c>
      <c r="R10" s="21">
        <v>3416</v>
      </c>
      <c r="S10" s="21">
        <v>3221</v>
      </c>
      <c r="T10" s="21">
        <v>3285</v>
      </c>
      <c r="U10" s="21">
        <v>3129</v>
      </c>
      <c r="V10" s="21">
        <v>3073</v>
      </c>
      <c r="W10" s="21">
        <v>3160</v>
      </c>
      <c r="X10" s="21">
        <v>3129</v>
      </c>
      <c r="Y10" s="21">
        <v>3256</v>
      </c>
      <c r="Z10" s="21">
        <v>3444</v>
      </c>
      <c r="AA10" s="21">
        <v>4134</v>
      </c>
      <c r="AB10" s="21">
        <v>3939</v>
      </c>
      <c r="AC10" s="21">
        <v>4290</v>
      </c>
      <c r="AD10" s="21">
        <v>3975</v>
      </c>
      <c r="AE10" s="21">
        <v>4198</v>
      </c>
      <c r="AF10" s="21">
        <v>4102</v>
      </c>
      <c r="AG10" s="21">
        <v>3726</v>
      </c>
      <c r="AH10" s="21">
        <v>3741</v>
      </c>
      <c r="AI10" s="21">
        <v>3865</v>
      </c>
      <c r="AJ10" s="21">
        <v>4106</v>
      </c>
      <c r="AK10" s="21">
        <v>3646</v>
      </c>
      <c r="AL10" s="21">
        <v>3527</v>
      </c>
      <c r="AM10" s="21">
        <v>3144</v>
      </c>
      <c r="AN10" s="21">
        <v>3469</v>
      </c>
      <c r="AO10" s="21">
        <v>3537</v>
      </c>
      <c r="AP10" s="21">
        <v>3795</v>
      </c>
      <c r="AQ10" s="21">
        <v>3627</v>
      </c>
      <c r="AR10" s="21">
        <v>3590</v>
      </c>
      <c r="AS10" s="21">
        <v>4070</v>
      </c>
      <c r="AT10" s="21">
        <v>3825</v>
      </c>
      <c r="AU10" s="21">
        <v>5049</v>
      </c>
      <c r="AV10" s="21">
        <v>3556</v>
      </c>
      <c r="AW10" s="21">
        <v>3541</v>
      </c>
      <c r="AX10" s="21">
        <v>3522</v>
      </c>
      <c r="AY10" s="23">
        <v>3284</v>
      </c>
      <c r="AZ10" s="13"/>
    </row>
    <row r="11" spans="1:190" s="11" customFormat="1" ht="13" x14ac:dyDescent="0.3">
      <c r="A11" s="12" t="s">
        <v>10</v>
      </c>
      <c r="B11" s="21">
        <v>1593</v>
      </c>
      <c r="C11" s="21">
        <v>1494</v>
      </c>
      <c r="D11" s="21">
        <v>1555</v>
      </c>
      <c r="E11" s="21">
        <v>1625</v>
      </c>
      <c r="F11" s="21">
        <v>1494</v>
      </c>
      <c r="G11" s="21">
        <v>1367</v>
      </c>
      <c r="H11" s="21">
        <v>1194</v>
      </c>
      <c r="I11" s="21">
        <v>1152</v>
      </c>
      <c r="J11" s="21">
        <v>1043</v>
      </c>
      <c r="K11" s="21">
        <v>1079</v>
      </c>
      <c r="L11" s="21">
        <v>1041</v>
      </c>
      <c r="M11" s="21">
        <v>1084</v>
      </c>
      <c r="N11" s="21">
        <v>1095</v>
      </c>
      <c r="O11" s="21">
        <v>1186</v>
      </c>
      <c r="P11" s="21">
        <v>1266</v>
      </c>
      <c r="Q11" s="21">
        <v>1429</v>
      </c>
      <c r="R11" s="21">
        <v>1446</v>
      </c>
      <c r="S11" s="21">
        <v>1426</v>
      </c>
      <c r="T11" s="21">
        <v>1521</v>
      </c>
      <c r="U11" s="21">
        <v>1407</v>
      </c>
      <c r="V11" s="21">
        <v>1179</v>
      </c>
      <c r="W11" s="21">
        <v>1201</v>
      </c>
      <c r="X11" s="21">
        <v>1074</v>
      </c>
      <c r="Y11" s="21">
        <v>988</v>
      </c>
      <c r="Z11" s="21">
        <v>1200</v>
      </c>
      <c r="AA11" s="21">
        <v>1176</v>
      </c>
      <c r="AB11" s="21">
        <v>1163</v>
      </c>
      <c r="AC11" s="21">
        <v>1178</v>
      </c>
      <c r="AD11" s="21">
        <v>1121</v>
      </c>
      <c r="AE11" s="21">
        <v>1078</v>
      </c>
      <c r="AF11" s="21">
        <v>1075</v>
      </c>
      <c r="AG11" s="21">
        <v>1059</v>
      </c>
      <c r="AH11" s="21">
        <v>1096</v>
      </c>
      <c r="AI11" s="21">
        <v>1114</v>
      </c>
      <c r="AJ11" s="21">
        <v>1221</v>
      </c>
      <c r="AK11" s="21">
        <v>1168</v>
      </c>
      <c r="AL11" s="21">
        <v>1240</v>
      </c>
      <c r="AM11" s="21">
        <v>1167</v>
      </c>
      <c r="AN11" s="21">
        <v>1226</v>
      </c>
      <c r="AO11" s="21">
        <v>1244</v>
      </c>
      <c r="AP11" s="21">
        <v>1390</v>
      </c>
      <c r="AQ11" s="21">
        <v>1321</v>
      </c>
      <c r="AR11" s="21">
        <v>1196</v>
      </c>
      <c r="AS11" s="21">
        <v>1288</v>
      </c>
      <c r="AT11" s="21">
        <v>1335</v>
      </c>
      <c r="AU11" s="21">
        <v>1243</v>
      </c>
      <c r="AV11" s="21">
        <v>1354</v>
      </c>
      <c r="AW11" s="21">
        <v>1357</v>
      </c>
      <c r="AX11" s="21">
        <v>1261</v>
      </c>
      <c r="AY11" s="23">
        <v>1330</v>
      </c>
      <c r="AZ11" s="13"/>
    </row>
    <row r="12" spans="1:190" s="11" customFormat="1" ht="13" x14ac:dyDescent="0.3">
      <c r="A12" s="12" t="s">
        <v>11</v>
      </c>
      <c r="B12" s="21">
        <v>1578</v>
      </c>
      <c r="C12" s="21">
        <v>1513</v>
      </c>
      <c r="D12" s="21">
        <v>1598</v>
      </c>
      <c r="E12" s="21">
        <v>1387</v>
      </c>
      <c r="F12" s="21">
        <v>1447</v>
      </c>
      <c r="G12" s="21">
        <v>1351</v>
      </c>
      <c r="H12" s="21">
        <v>968</v>
      </c>
      <c r="I12" s="21">
        <v>1104</v>
      </c>
      <c r="J12" s="21">
        <v>1404</v>
      </c>
      <c r="K12" s="21">
        <v>1220</v>
      </c>
      <c r="L12" s="21">
        <v>1029</v>
      </c>
      <c r="M12" s="21">
        <v>820</v>
      </c>
      <c r="N12" s="21">
        <v>809</v>
      </c>
      <c r="O12" s="21">
        <v>807</v>
      </c>
      <c r="P12" s="21">
        <v>844</v>
      </c>
      <c r="Q12" s="21">
        <v>947</v>
      </c>
      <c r="R12" s="21">
        <v>1396</v>
      </c>
      <c r="S12" s="21">
        <v>1364</v>
      </c>
      <c r="T12" s="21">
        <v>1377</v>
      </c>
      <c r="U12" s="21">
        <v>1402</v>
      </c>
      <c r="V12" s="21">
        <v>1242</v>
      </c>
      <c r="W12" s="21">
        <v>1243</v>
      </c>
      <c r="X12" s="21">
        <v>1183</v>
      </c>
      <c r="Y12" s="21">
        <v>1202</v>
      </c>
      <c r="Z12" s="21">
        <v>1178</v>
      </c>
      <c r="AA12" s="21">
        <v>1361</v>
      </c>
      <c r="AB12" s="21">
        <v>1451</v>
      </c>
      <c r="AC12" s="21">
        <v>1281</v>
      </c>
      <c r="AD12" s="21">
        <v>1189</v>
      </c>
      <c r="AE12" s="21">
        <v>1227</v>
      </c>
      <c r="AF12" s="21">
        <v>1375</v>
      </c>
      <c r="AG12" s="21">
        <v>1256</v>
      </c>
      <c r="AH12" s="21">
        <v>1404</v>
      </c>
      <c r="AI12" s="21">
        <v>1467</v>
      </c>
      <c r="AJ12" s="21">
        <v>1688</v>
      </c>
      <c r="AK12" s="21">
        <v>1471</v>
      </c>
      <c r="AL12" s="21">
        <v>1391</v>
      </c>
      <c r="AM12" s="21">
        <v>1215</v>
      </c>
      <c r="AN12" s="21">
        <v>1163</v>
      </c>
      <c r="AO12" s="21">
        <v>1277</v>
      </c>
      <c r="AP12" s="21">
        <v>1259</v>
      </c>
      <c r="AQ12" s="21">
        <v>1293</v>
      </c>
      <c r="AR12" s="21">
        <v>1387</v>
      </c>
      <c r="AS12" s="21">
        <v>1390</v>
      </c>
      <c r="AT12" s="21">
        <v>1402</v>
      </c>
      <c r="AU12" s="21">
        <v>1319</v>
      </c>
      <c r="AV12" s="21">
        <v>1414</v>
      </c>
      <c r="AW12" s="21">
        <v>1478</v>
      </c>
      <c r="AX12" s="21">
        <v>1187</v>
      </c>
      <c r="AY12" s="23">
        <v>1520</v>
      </c>
      <c r="AZ12" s="13"/>
    </row>
    <row r="13" spans="1:190" s="11" customFormat="1" ht="13" x14ac:dyDescent="0.3">
      <c r="A13" s="12" t="s">
        <v>12</v>
      </c>
      <c r="B13" s="21">
        <v>1338</v>
      </c>
      <c r="C13" s="21">
        <v>1335</v>
      </c>
      <c r="D13" s="21">
        <v>1622</v>
      </c>
      <c r="E13" s="21">
        <v>1521</v>
      </c>
      <c r="F13" s="21">
        <v>1247</v>
      </c>
      <c r="G13" s="21">
        <v>1244</v>
      </c>
      <c r="H13" s="21">
        <v>884</v>
      </c>
      <c r="I13" s="21">
        <v>690</v>
      </c>
      <c r="J13" s="21">
        <v>713</v>
      </c>
      <c r="K13" s="21">
        <v>849</v>
      </c>
      <c r="L13" s="21">
        <v>878</v>
      </c>
      <c r="M13" s="21">
        <v>915</v>
      </c>
      <c r="N13" s="21">
        <v>962</v>
      </c>
      <c r="O13" s="21">
        <v>983</v>
      </c>
      <c r="P13" s="21">
        <v>1011</v>
      </c>
      <c r="Q13" s="21">
        <v>1058</v>
      </c>
      <c r="R13" s="21">
        <v>1107</v>
      </c>
      <c r="S13" s="21">
        <v>1091</v>
      </c>
      <c r="T13" s="21">
        <v>1264</v>
      </c>
      <c r="U13" s="21">
        <v>1167</v>
      </c>
      <c r="V13" s="21">
        <v>998</v>
      </c>
      <c r="W13" s="21">
        <v>1208</v>
      </c>
      <c r="X13" s="21">
        <v>1277</v>
      </c>
      <c r="Y13" s="21">
        <v>1324</v>
      </c>
      <c r="Z13" s="21">
        <v>1082</v>
      </c>
      <c r="AA13" s="21">
        <v>1088</v>
      </c>
      <c r="AB13" s="21">
        <v>1104</v>
      </c>
      <c r="AC13" s="21">
        <v>1038</v>
      </c>
      <c r="AD13" s="21">
        <v>1184</v>
      </c>
      <c r="AE13" s="21">
        <v>1112</v>
      </c>
      <c r="AF13" s="21">
        <v>1045</v>
      </c>
      <c r="AG13" s="21">
        <v>912</v>
      </c>
      <c r="AH13" s="21">
        <v>878</v>
      </c>
      <c r="AI13" s="21">
        <v>892</v>
      </c>
      <c r="AJ13" s="21">
        <v>937</v>
      </c>
      <c r="AK13" s="21">
        <v>897</v>
      </c>
      <c r="AL13" s="21">
        <v>859</v>
      </c>
      <c r="AM13" s="21">
        <v>786</v>
      </c>
      <c r="AN13" s="21">
        <v>783</v>
      </c>
      <c r="AO13" s="21">
        <v>750</v>
      </c>
      <c r="AP13" s="21">
        <v>733</v>
      </c>
      <c r="AQ13" s="21">
        <v>700</v>
      </c>
      <c r="AR13" s="21">
        <v>675</v>
      </c>
      <c r="AS13" s="21">
        <v>660</v>
      </c>
      <c r="AT13" s="21">
        <v>665</v>
      </c>
      <c r="AU13" s="21">
        <v>648</v>
      </c>
      <c r="AV13" s="21">
        <v>539</v>
      </c>
      <c r="AW13" s="21">
        <v>595</v>
      </c>
      <c r="AX13" s="21">
        <v>514</v>
      </c>
      <c r="AY13" s="23">
        <v>614</v>
      </c>
      <c r="AZ13" s="13"/>
    </row>
    <row r="14" spans="1:190" s="11" customFormat="1" ht="13" x14ac:dyDescent="0.3">
      <c r="A14" s="12" t="s">
        <v>13</v>
      </c>
      <c r="B14" s="21">
        <v>1132</v>
      </c>
      <c r="C14" s="21">
        <v>1157</v>
      </c>
      <c r="D14" s="21">
        <v>1203</v>
      </c>
      <c r="E14" s="21">
        <v>1316</v>
      </c>
      <c r="F14" s="21">
        <v>1305</v>
      </c>
      <c r="G14" s="21">
        <v>1146</v>
      </c>
      <c r="H14" s="21">
        <v>955</v>
      </c>
      <c r="I14" s="21">
        <v>966</v>
      </c>
      <c r="J14" s="21">
        <v>1042</v>
      </c>
      <c r="K14" s="21">
        <v>1088</v>
      </c>
      <c r="L14" s="21">
        <v>1073</v>
      </c>
      <c r="M14" s="21">
        <v>1109</v>
      </c>
      <c r="N14" s="21">
        <v>1054</v>
      </c>
      <c r="O14" s="21">
        <v>1056</v>
      </c>
      <c r="P14" s="21">
        <v>1080</v>
      </c>
      <c r="Q14" s="21">
        <v>1238</v>
      </c>
      <c r="R14" s="21">
        <v>1312</v>
      </c>
      <c r="S14" s="21">
        <v>1743</v>
      </c>
      <c r="T14" s="21">
        <v>2196</v>
      </c>
      <c r="U14" s="21">
        <v>2354</v>
      </c>
      <c r="V14" s="21">
        <v>2049</v>
      </c>
      <c r="W14" s="21">
        <v>1956</v>
      </c>
      <c r="X14" s="21">
        <v>2188</v>
      </c>
      <c r="Y14" s="21">
        <v>2145</v>
      </c>
      <c r="Z14" s="21">
        <v>2278</v>
      </c>
      <c r="AA14" s="21">
        <v>1951</v>
      </c>
      <c r="AB14" s="21">
        <v>2288</v>
      </c>
      <c r="AC14" s="21">
        <v>2193</v>
      </c>
      <c r="AD14" s="21">
        <v>2004</v>
      </c>
      <c r="AE14" s="21">
        <v>1948</v>
      </c>
      <c r="AF14" s="21">
        <v>1786</v>
      </c>
      <c r="AG14" s="21">
        <v>1757</v>
      </c>
      <c r="AH14" s="21">
        <v>1906</v>
      </c>
      <c r="AI14" s="21">
        <v>2203</v>
      </c>
      <c r="AJ14" s="21">
        <v>2102</v>
      </c>
      <c r="AK14" s="21">
        <v>1876</v>
      </c>
      <c r="AL14" s="21">
        <v>1897</v>
      </c>
      <c r="AM14" s="21">
        <v>1928</v>
      </c>
      <c r="AN14" s="21">
        <v>2263</v>
      </c>
      <c r="AO14" s="21">
        <v>2200</v>
      </c>
      <c r="AP14" s="21">
        <v>2392</v>
      </c>
      <c r="AQ14" s="21">
        <v>2520</v>
      </c>
      <c r="AR14" s="21">
        <v>2831</v>
      </c>
      <c r="AS14" s="21">
        <v>2634</v>
      </c>
      <c r="AT14" s="21">
        <v>2507</v>
      </c>
      <c r="AU14" s="21">
        <v>2599</v>
      </c>
      <c r="AV14" s="21">
        <v>2612</v>
      </c>
      <c r="AW14" s="21">
        <v>5384</v>
      </c>
      <c r="AX14" s="21">
        <v>3850</v>
      </c>
      <c r="AY14" s="23">
        <v>3921</v>
      </c>
      <c r="AZ14" s="13"/>
    </row>
    <row r="15" spans="1:190" s="11" customFormat="1" ht="13" x14ac:dyDescent="0.3">
      <c r="A15" s="12" t="s">
        <v>14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>
        <v>496</v>
      </c>
      <c r="AC15" s="21">
        <v>1350</v>
      </c>
      <c r="AD15" s="21">
        <v>1839</v>
      </c>
      <c r="AE15" s="21">
        <v>2153</v>
      </c>
      <c r="AF15" s="21">
        <v>2186</v>
      </c>
      <c r="AG15" s="21">
        <v>1631</v>
      </c>
      <c r="AH15" s="21">
        <v>1596</v>
      </c>
      <c r="AI15" s="21">
        <v>1738</v>
      </c>
      <c r="AJ15" s="21">
        <v>1394</v>
      </c>
      <c r="AK15" s="21">
        <v>1171</v>
      </c>
      <c r="AL15" s="21">
        <v>728</v>
      </c>
      <c r="AM15" s="21">
        <v>1016</v>
      </c>
      <c r="AN15" s="21">
        <v>1504</v>
      </c>
      <c r="AO15" s="21">
        <v>1324</v>
      </c>
      <c r="AP15" s="21">
        <v>831</v>
      </c>
      <c r="AQ15" s="21">
        <v>1016</v>
      </c>
      <c r="AR15" s="21">
        <v>992</v>
      </c>
      <c r="AS15" s="21">
        <v>807</v>
      </c>
      <c r="AT15" s="21">
        <v>682</v>
      </c>
      <c r="AU15" s="21">
        <v>727</v>
      </c>
      <c r="AV15" s="21">
        <v>755</v>
      </c>
      <c r="AW15" s="21">
        <v>664</v>
      </c>
      <c r="AX15" s="21">
        <v>375</v>
      </c>
      <c r="AY15" s="23">
        <v>544</v>
      </c>
      <c r="AZ15" s="13"/>
    </row>
    <row r="16" spans="1:190" s="11" customFormat="1" ht="13" x14ac:dyDescent="0.3">
      <c r="A16" s="12" t="s">
        <v>15</v>
      </c>
      <c r="B16" s="21">
        <v>559</v>
      </c>
      <c r="C16" s="21">
        <v>517</v>
      </c>
      <c r="D16" s="21">
        <v>492</v>
      </c>
      <c r="E16" s="21">
        <v>487</v>
      </c>
      <c r="F16" s="21">
        <v>496</v>
      </c>
      <c r="G16" s="21">
        <v>527</v>
      </c>
      <c r="H16" s="21">
        <v>431</v>
      </c>
      <c r="I16" s="21">
        <v>479</v>
      </c>
      <c r="J16" s="21">
        <v>565</v>
      </c>
      <c r="K16" s="21">
        <v>595</v>
      </c>
      <c r="L16" s="21">
        <v>503</v>
      </c>
      <c r="M16" s="21">
        <v>593</v>
      </c>
      <c r="N16" s="21">
        <v>508</v>
      </c>
      <c r="O16" s="21">
        <v>540</v>
      </c>
      <c r="P16" s="21">
        <v>521</v>
      </c>
      <c r="Q16" s="21">
        <v>517</v>
      </c>
      <c r="R16" s="21">
        <v>560</v>
      </c>
      <c r="S16" s="21">
        <v>556</v>
      </c>
      <c r="T16" s="21">
        <v>595</v>
      </c>
      <c r="U16" s="21">
        <v>554</v>
      </c>
      <c r="V16" s="21">
        <v>543</v>
      </c>
      <c r="W16" s="21">
        <v>1194</v>
      </c>
      <c r="X16" s="21">
        <v>1176</v>
      </c>
      <c r="Y16" s="21">
        <v>1275</v>
      </c>
      <c r="Z16" s="21">
        <v>1250</v>
      </c>
      <c r="AA16" s="21">
        <v>1362</v>
      </c>
      <c r="AB16" s="21">
        <v>1410</v>
      </c>
      <c r="AC16" s="21">
        <v>1497</v>
      </c>
      <c r="AD16" s="21">
        <v>1548</v>
      </c>
      <c r="AE16" s="21">
        <v>1287</v>
      </c>
      <c r="AF16" s="21">
        <v>1295</v>
      </c>
      <c r="AG16" s="21">
        <v>1341</v>
      </c>
      <c r="AH16" s="21">
        <v>1420</v>
      </c>
      <c r="AI16" s="21">
        <v>1497</v>
      </c>
      <c r="AJ16" s="21">
        <v>1625</v>
      </c>
      <c r="AK16" s="21">
        <v>1789</v>
      </c>
      <c r="AL16" s="21">
        <v>1754</v>
      </c>
      <c r="AM16" s="21">
        <v>1729</v>
      </c>
      <c r="AN16" s="21">
        <v>1604</v>
      </c>
      <c r="AO16" s="21">
        <v>1697</v>
      </c>
      <c r="AP16" s="21">
        <v>1746</v>
      </c>
      <c r="AQ16" s="21">
        <v>1890</v>
      </c>
      <c r="AR16" s="21">
        <v>1764</v>
      </c>
      <c r="AS16" s="21">
        <v>1843</v>
      </c>
      <c r="AT16" s="21">
        <v>1748</v>
      </c>
      <c r="AU16" s="21">
        <v>1780</v>
      </c>
      <c r="AV16" s="21">
        <v>1673</v>
      </c>
      <c r="AW16" s="21">
        <v>1764</v>
      </c>
      <c r="AX16" s="21">
        <v>1699</v>
      </c>
      <c r="AY16" s="23">
        <v>1709</v>
      </c>
      <c r="AZ16" s="13"/>
    </row>
    <row r="17" spans="1:52" s="11" customFormat="1" ht="13" x14ac:dyDescent="0.3">
      <c r="A17" s="12" t="s">
        <v>16</v>
      </c>
      <c r="B17" s="21">
        <v>1647</v>
      </c>
      <c r="C17" s="21">
        <v>1769</v>
      </c>
      <c r="D17" s="21">
        <v>1709</v>
      </c>
      <c r="E17" s="21">
        <v>3206</v>
      </c>
      <c r="F17" s="21">
        <v>3407</v>
      </c>
      <c r="G17" s="21">
        <v>2658</v>
      </c>
      <c r="H17" s="21">
        <v>2243</v>
      </c>
      <c r="I17" s="21">
        <v>2010</v>
      </c>
      <c r="J17" s="21">
        <v>1956</v>
      </c>
      <c r="K17" s="21">
        <v>1540</v>
      </c>
      <c r="L17" s="21">
        <v>1828</v>
      </c>
      <c r="M17" s="21">
        <v>2033</v>
      </c>
      <c r="N17" s="21">
        <v>1944</v>
      </c>
      <c r="O17" s="21">
        <v>2025</v>
      </c>
      <c r="P17" s="21">
        <v>2416</v>
      </c>
      <c r="Q17" s="21">
        <v>2243</v>
      </c>
      <c r="R17" s="21">
        <v>2752</v>
      </c>
      <c r="S17" s="21">
        <v>2318</v>
      </c>
      <c r="T17" s="21">
        <v>2274</v>
      </c>
      <c r="U17" s="21">
        <v>2221</v>
      </c>
      <c r="V17" s="21">
        <v>1851</v>
      </c>
      <c r="W17" s="21">
        <v>1794</v>
      </c>
      <c r="X17" s="21">
        <v>1860</v>
      </c>
      <c r="Y17" s="21">
        <v>1896</v>
      </c>
      <c r="Z17" s="21">
        <v>1685</v>
      </c>
      <c r="AA17" s="21">
        <v>1831</v>
      </c>
      <c r="AB17" s="21">
        <v>1912</v>
      </c>
      <c r="AC17" s="21">
        <v>1949</v>
      </c>
      <c r="AD17" s="21">
        <v>1831</v>
      </c>
      <c r="AE17" s="21">
        <v>1800</v>
      </c>
      <c r="AF17" s="21">
        <v>1831</v>
      </c>
      <c r="AG17" s="21">
        <v>1822</v>
      </c>
      <c r="AH17" s="21">
        <v>1711</v>
      </c>
      <c r="AI17" s="21">
        <v>1828</v>
      </c>
      <c r="AJ17" s="21">
        <v>1779</v>
      </c>
      <c r="AK17" s="21">
        <v>1561</v>
      </c>
      <c r="AL17" s="21">
        <v>2000</v>
      </c>
      <c r="AM17" s="21">
        <v>2546</v>
      </c>
      <c r="AN17" s="21">
        <v>2338</v>
      </c>
      <c r="AO17" s="21">
        <v>2148</v>
      </c>
      <c r="AP17" s="21">
        <v>2285</v>
      </c>
      <c r="AQ17" s="21">
        <v>2145</v>
      </c>
      <c r="AR17" s="21">
        <v>2462</v>
      </c>
      <c r="AS17" s="21">
        <v>2398</v>
      </c>
      <c r="AT17" s="21">
        <v>1478</v>
      </c>
      <c r="AU17" s="21">
        <v>1423</v>
      </c>
      <c r="AV17" s="21">
        <v>1485</v>
      </c>
      <c r="AW17" s="21">
        <v>1505</v>
      </c>
      <c r="AX17" s="21">
        <f>AX18-SUM(AX4:AX16)+AX8</f>
        <v>1187</v>
      </c>
      <c r="AY17" s="23">
        <f>AY18-SUM(AY4:AY16)+AY8</f>
        <v>1629</v>
      </c>
      <c r="AZ17" s="13"/>
    </row>
    <row r="18" spans="1:52" s="18" customFormat="1" ht="13" x14ac:dyDescent="0.3">
      <c r="A18" s="20" t="s">
        <v>1</v>
      </c>
      <c r="B18" s="24">
        <v>108096</v>
      </c>
      <c r="C18" s="24">
        <v>115512</v>
      </c>
      <c r="D18" s="24">
        <v>118902</v>
      </c>
      <c r="E18" s="24">
        <v>120671</v>
      </c>
      <c r="F18" s="24">
        <v>120442</v>
      </c>
      <c r="G18" s="24">
        <v>123878</v>
      </c>
      <c r="H18" s="24">
        <v>120202</v>
      </c>
      <c r="I18" s="24">
        <v>119045</v>
      </c>
      <c r="J18" s="24">
        <v>132060</v>
      </c>
      <c r="K18" s="24">
        <v>143700</v>
      </c>
      <c r="L18" s="24">
        <v>148394</v>
      </c>
      <c r="M18" s="24">
        <v>155830</v>
      </c>
      <c r="N18" s="24">
        <v>157098</v>
      </c>
      <c r="O18" s="24">
        <v>159028</v>
      </c>
      <c r="P18" s="24">
        <v>158567</v>
      </c>
      <c r="Q18" s="24">
        <v>158412</v>
      </c>
      <c r="R18" s="24">
        <v>161732</v>
      </c>
      <c r="S18" s="24">
        <v>160191</v>
      </c>
      <c r="T18" s="24">
        <v>152791</v>
      </c>
      <c r="U18" s="24">
        <v>149337</v>
      </c>
      <c r="V18" s="24">
        <v>147118</v>
      </c>
      <c r="W18" s="24">
        <v>150087</v>
      </c>
      <c r="X18" s="24">
        <v>152267</v>
      </c>
      <c r="Y18" s="24">
        <v>158705</v>
      </c>
      <c r="Z18" s="24">
        <v>162490</v>
      </c>
      <c r="AA18" s="24">
        <v>173460</v>
      </c>
      <c r="AB18" s="24">
        <v>192295</v>
      </c>
      <c r="AC18" s="24">
        <v>216362</v>
      </c>
      <c r="AD18" s="24">
        <v>225967</v>
      </c>
      <c r="AE18" s="24">
        <v>227934</v>
      </c>
      <c r="AF18" s="24">
        <v>228863</v>
      </c>
      <c r="AG18" s="24">
        <v>232407</v>
      </c>
      <c r="AH18" s="24">
        <v>231734</v>
      </c>
      <c r="AI18" s="24">
        <v>230923</v>
      </c>
      <c r="AJ18" s="24">
        <v>235228</v>
      </c>
      <c r="AK18" s="24">
        <v>222567</v>
      </c>
      <c r="AL18" s="24">
        <v>215634</v>
      </c>
      <c r="AM18" s="24">
        <v>195338</v>
      </c>
      <c r="AN18" s="24">
        <v>199059</v>
      </c>
      <c r="AO18" s="24">
        <v>199324</v>
      </c>
      <c r="AP18" s="24">
        <v>213197</v>
      </c>
      <c r="AQ18" s="24">
        <v>178702</v>
      </c>
      <c r="AR18" s="24">
        <v>197985</v>
      </c>
      <c r="AS18" s="24">
        <v>201773</v>
      </c>
      <c r="AT18" s="24">
        <v>217471</v>
      </c>
      <c r="AU18" s="24">
        <v>201683</v>
      </c>
      <c r="AV18" s="24">
        <v>197590</v>
      </c>
      <c r="AW18" s="24">
        <v>213166</v>
      </c>
      <c r="AX18" s="24">
        <v>200298</v>
      </c>
      <c r="AY18" s="25">
        <v>203680</v>
      </c>
    </row>
    <row r="19" spans="1:52" s="18" customFormat="1" ht="13" x14ac:dyDescent="0.3">
      <c r="A19" s="12" t="s">
        <v>22</v>
      </c>
      <c r="B19" s="26">
        <v>7847</v>
      </c>
      <c r="C19" s="26">
        <v>7785</v>
      </c>
      <c r="D19" s="26">
        <v>8178</v>
      </c>
      <c r="E19" s="26">
        <v>9542</v>
      </c>
      <c r="F19" s="26">
        <v>9396</v>
      </c>
      <c r="G19" s="26">
        <v>8294</v>
      </c>
      <c r="H19" s="26">
        <v>6675</v>
      </c>
      <c r="I19" s="26">
        <v>6401</v>
      </c>
      <c r="J19" s="26">
        <v>6725</v>
      </c>
      <c r="K19" s="26">
        <v>6370</v>
      </c>
      <c r="L19" s="26">
        <v>6351</v>
      </c>
      <c r="M19" s="26">
        <v>6553</v>
      </c>
      <c r="N19" s="26">
        <v>6372</v>
      </c>
      <c r="O19" s="26">
        <v>6596</v>
      </c>
      <c r="P19" s="26">
        <v>7138</v>
      </c>
      <c r="Q19" s="26">
        <v>7433</v>
      </c>
      <c r="R19" s="26">
        <v>8574</v>
      </c>
      <c r="S19" s="26">
        <v>8498</v>
      </c>
      <c r="T19" s="26">
        <v>9228</v>
      </c>
      <c r="U19" s="26">
        <v>9104</v>
      </c>
      <c r="V19" s="26">
        <v>7862</v>
      </c>
      <c r="W19" s="26">
        <v>8596</v>
      </c>
      <c r="X19" s="26">
        <v>8758</v>
      </c>
      <c r="Y19" s="26">
        <v>8830</v>
      </c>
      <c r="Z19" s="26">
        <v>8672</v>
      </c>
      <c r="AA19" s="26">
        <v>8769</v>
      </c>
      <c r="AB19" s="26">
        <v>9824</v>
      </c>
      <c r="AC19" s="26">
        <v>10485</v>
      </c>
      <c r="AD19" s="26">
        <v>10716</v>
      </c>
      <c r="AE19" s="26">
        <v>10605</v>
      </c>
      <c r="AF19" s="26">
        <v>10593</v>
      </c>
      <c r="AG19" s="26">
        <v>9778</v>
      </c>
      <c r="AH19" s="26">
        <v>10012</v>
      </c>
      <c r="AI19" s="26">
        <v>10738</v>
      </c>
      <c r="AJ19" s="26">
        <v>10745</v>
      </c>
      <c r="AK19" s="26">
        <v>9932</v>
      </c>
      <c r="AL19" s="26">
        <v>9869</v>
      </c>
      <c r="AM19" s="26">
        <v>10387</v>
      </c>
      <c r="AN19" s="26">
        <v>10881</v>
      </c>
      <c r="AO19" s="26">
        <v>10642</v>
      </c>
      <c r="AP19" s="26">
        <v>10636</v>
      </c>
      <c r="AQ19" s="26">
        <v>10884</v>
      </c>
      <c r="AR19" s="26">
        <v>11307</v>
      </c>
      <c r="AS19" s="26">
        <v>11020</v>
      </c>
      <c r="AT19" s="26">
        <v>9818</v>
      </c>
      <c r="AU19" s="26">
        <v>9739</v>
      </c>
      <c r="AV19" s="26">
        <v>9831</v>
      </c>
      <c r="AW19" s="26">
        <v>12746</v>
      </c>
      <c r="AX19" s="26">
        <f t="shared" ref="C19:AY19" si="0">SUM(AX11:AX17)</f>
        <v>10073</v>
      </c>
      <c r="AY19" s="33">
        <f t="shared" si="0"/>
        <v>11267</v>
      </c>
    </row>
    <row r="20" spans="1:52" s="11" customFormat="1" ht="13" x14ac:dyDescent="0.3">
      <c r="A20" s="12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9"/>
      <c r="AZ20" s="14"/>
    </row>
    <row r="21" spans="1:52" s="11" customFormat="1" ht="13" x14ac:dyDescent="0.3">
      <c r="A21" s="17" t="s">
        <v>0</v>
      </c>
      <c r="B21" s="21">
        <v>54231</v>
      </c>
      <c r="C21" s="21">
        <v>57036</v>
      </c>
      <c r="D21" s="21">
        <v>56775</v>
      </c>
      <c r="E21" s="21">
        <v>56667</v>
      </c>
      <c r="F21" s="21">
        <v>56242</v>
      </c>
      <c r="G21" s="21">
        <v>63128</v>
      </c>
      <c r="H21" s="21">
        <v>71052</v>
      </c>
      <c r="I21" s="21">
        <v>76254</v>
      </c>
      <c r="J21" s="21">
        <v>87540</v>
      </c>
      <c r="K21" s="21">
        <v>96425</v>
      </c>
      <c r="L21" s="21">
        <v>102270</v>
      </c>
      <c r="M21" s="21">
        <v>105844</v>
      </c>
      <c r="N21" s="21">
        <v>105461</v>
      </c>
      <c r="O21" s="21">
        <v>102860</v>
      </c>
      <c r="P21" s="21">
        <v>97791</v>
      </c>
      <c r="Q21" s="21">
        <v>93035</v>
      </c>
      <c r="R21" s="21">
        <v>92694</v>
      </c>
      <c r="S21" s="21">
        <v>92506</v>
      </c>
      <c r="T21" s="21">
        <v>82333</v>
      </c>
      <c r="U21" s="21">
        <v>79634</v>
      </c>
      <c r="V21" s="21">
        <v>79472</v>
      </c>
      <c r="W21" s="21">
        <v>81297</v>
      </c>
      <c r="X21" s="21">
        <v>81346</v>
      </c>
      <c r="Y21" s="21">
        <v>83311</v>
      </c>
      <c r="Z21" s="21">
        <v>83720</v>
      </c>
      <c r="AA21" s="21">
        <v>87554</v>
      </c>
      <c r="AB21" s="21">
        <v>100217</v>
      </c>
      <c r="AC21" s="21">
        <v>116694</v>
      </c>
      <c r="AD21" s="21">
        <v>125833</v>
      </c>
      <c r="AE21" s="21">
        <v>129568</v>
      </c>
      <c r="AF21" s="21">
        <v>132439</v>
      </c>
      <c r="AG21" s="21">
        <v>135347</v>
      </c>
      <c r="AH21" s="21">
        <v>136572</v>
      </c>
      <c r="AI21" s="21">
        <v>135294</v>
      </c>
      <c r="AJ21" s="21">
        <v>136418</v>
      </c>
      <c r="AK21" s="21">
        <v>128256</v>
      </c>
      <c r="AL21" s="21">
        <v>119098</v>
      </c>
      <c r="AM21" s="21">
        <v>103650</v>
      </c>
      <c r="AN21" s="21">
        <v>104173</v>
      </c>
      <c r="AO21" s="21">
        <v>104787</v>
      </c>
      <c r="AP21" s="21">
        <v>112990</v>
      </c>
      <c r="AQ21" s="21">
        <v>79770</v>
      </c>
      <c r="AR21" s="21">
        <v>94511</v>
      </c>
      <c r="AS21" s="21">
        <v>96871</v>
      </c>
      <c r="AT21" s="21">
        <v>101769</v>
      </c>
      <c r="AU21" s="21">
        <v>100855</v>
      </c>
      <c r="AV21" s="21">
        <v>87516</v>
      </c>
      <c r="AW21" s="21">
        <v>110575</v>
      </c>
      <c r="AX21" s="21">
        <v>109221</v>
      </c>
      <c r="AY21" s="23">
        <v>101128</v>
      </c>
    </row>
    <row r="22" spans="1:52" s="11" customFormat="1" ht="13" x14ac:dyDescent="0.3">
      <c r="A22" s="17" t="s">
        <v>17</v>
      </c>
      <c r="B22" s="21">
        <v>53864</v>
      </c>
      <c r="C22" s="21">
        <v>58476</v>
      </c>
      <c r="D22" s="21">
        <v>62126</v>
      </c>
      <c r="E22" s="21">
        <v>64003</v>
      </c>
      <c r="F22" s="21">
        <v>64201</v>
      </c>
      <c r="G22" s="21">
        <v>60749</v>
      </c>
      <c r="H22" s="21">
        <v>49150</v>
      </c>
      <c r="I22" s="21">
        <v>42793</v>
      </c>
      <c r="J22" s="21">
        <v>44520</v>
      </c>
      <c r="K22" s="21">
        <v>47275</v>
      </c>
      <c r="L22" s="21">
        <v>46123</v>
      </c>
      <c r="M22" s="21">
        <v>49986</v>
      </c>
      <c r="N22" s="21">
        <v>51637</v>
      </c>
      <c r="O22" s="21">
        <v>56168</v>
      </c>
      <c r="P22" s="21">
        <v>60776</v>
      </c>
      <c r="Q22" s="21">
        <v>65376</v>
      </c>
      <c r="R22" s="21">
        <v>69038</v>
      </c>
      <c r="S22" s="21">
        <v>67687</v>
      </c>
      <c r="T22" s="21">
        <v>70458</v>
      </c>
      <c r="U22" s="21">
        <v>69703</v>
      </c>
      <c r="V22" s="21">
        <v>67645</v>
      </c>
      <c r="W22" s="21">
        <v>68790</v>
      </c>
      <c r="X22" s="21">
        <v>70920</v>
      </c>
      <c r="Y22" s="21">
        <v>75395</v>
      </c>
      <c r="Z22" s="21">
        <v>78769</v>
      </c>
      <c r="AA22" s="21">
        <v>85905</v>
      </c>
      <c r="AB22" s="21">
        <v>92078</v>
      </c>
      <c r="AC22" s="21">
        <v>99669</v>
      </c>
      <c r="AD22" s="21">
        <v>100134</v>
      </c>
      <c r="AE22" s="21">
        <v>98367</v>
      </c>
      <c r="AF22" s="21">
        <v>96424</v>
      </c>
      <c r="AG22" s="21">
        <v>97060</v>
      </c>
      <c r="AH22" s="21">
        <v>95163</v>
      </c>
      <c r="AI22" s="21">
        <v>95628</v>
      </c>
      <c r="AJ22" s="21">
        <v>98810</v>
      </c>
      <c r="AK22" s="21">
        <v>94311</v>
      </c>
      <c r="AL22" s="21">
        <v>96536</v>
      </c>
      <c r="AM22" s="21">
        <v>91689</v>
      </c>
      <c r="AN22" s="21">
        <v>94885</v>
      </c>
      <c r="AO22" s="21">
        <v>94537</v>
      </c>
      <c r="AP22" s="21">
        <v>100206</v>
      </c>
      <c r="AQ22" s="21">
        <v>98932</v>
      </c>
      <c r="AR22" s="21">
        <v>103473</v>
      </c>
      <c r="AS22" s="21">
        <v>104901</v>
      </c>
      <c r="AT22" s="21">
        <v>115702</v>
      </c>
      <c r="AU22" s="21">
        <v>100827</v>
      </c>
      <c r="AV22" s="21">
        <v>110075</v>
      </c>
      <c r="AW22" s="21">
        <v>102591</v>
      </c>
      <c r="AX22" s="21">
        <v>91077</v>
      </c>
      <c r="AY22" s="23">
        <v>102552</v>
      </c>
    </row>
    <row r="23" spans="1:52" s="11" customFormat="1" ht="13" x14ac:dyDescent="0.3">
      <c r="A23" s="1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2"/>
    </row>
    <row r="24" spans="1:52" x14ac:dyDescent="0.25">
      <c r="A24" s="2" t="s">
        <v>18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spans="1:52" ht="12.5" x14ac:dyDescent="0.25">
      <c r="A25" s="2" t="s">
        <v>19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4"/>
      <c r="AZ25" s="34"/>
    </row>
    <row r="26" spans="1:52" x14ac:dyDescent="0.25">
      <c r="A26" s="2" t="s">
        <v>21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</row>
    <row r="27" spans="1:52" x14ac:dyDescent="0.25">
      <c r="A27" s="2" t="s">
        <v>20</v>
      </c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7"/>
      <c r="AU27" s="34"/>
      <c r="AV27" s="34"/>
      <c r="AW27" s="34"/>
      <c r="AX27" s="34"/>
      <c r="AY27" s="34"/>
      <c r="AZ27" s="34"/>
    </row>
    <row r="28" spans="1:52" x14ac:dyDescent="0.25">
      <c r="A28" s="2" t="s">
        <v>24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8"/>
      <c r="AW28" s="38"/>
      <c r="AX28" s="38"/>
      <c r="AY28" s="34"/>
      <c r="AZ28" s="34"/>
    </row>
    <row r="29" spans="1:52" x14ac:dyDescent="0.25"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 x14ac:dyDescent="0.25"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</row>
    <row r="31" spans="1:52" x14ac:dyDescent="0.25"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</row>
    <row r="32" spans="1:52" x14ac:dyDescent="0.25"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8"/>
      <c r="AY32" s="34"/>
      <c r="AZ32" s="34"/>
    </row>
    <row r="33" spans="2:52" x14ac:dyDescent="0.25"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</row>
    <row r="34" spans="2:52" x14ac:dyDescent="0.25"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</row>
    <row r="35" spans="2:52" x14ac:dyDescent="0.25"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</row>
    <row r="36" spans="2:52" x14ac:dyDescent="0.25"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</row>
    <row r="37" spans="2:52" x14ac:dyDescent="0.25"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</row>
    <row r="38" spans="2:52" x14ac:dyDescent="0.25"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</row>
    <row r="39" spans="2:52" x14ac:dyDescent="0.25"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</row>
    <row r="40" spans="2:52" x14ac:dyDescent="0.25"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</row>
    <row r="41" spans="2:52" x14ac:dyDescent="0.25"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</row>
    <row r="42" spans="2:52" x14ac:dyDescent="0.25"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</row>
    <row r="43" spans="2:52" x14ac:dyDescent="0.25"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</row>
    <row r="44" spans="2:52" x14ac:dyDescent="0.25"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</row>
    <row r="45" spans="2:52" x14ac:dyDescent="0.25"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</row>
    <row r="46" spans="2:52" x14ac:dyDescent="0.25"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</row>
    <row r="47" spans="2:52" x14ac:dyDescent="0.25"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</row>
    <row r="48" spans="2:52" x14ac:dyDescent="0.25"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</row>
    <row r="49" spans="2:52" x14ac:dyDescent="0.25"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</row>
    <row r="50" spans="2:52" x14ac:dyDescent="0.25"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</row>
    <row r="51" spans="2:52" x14ac:dyDescent="0.25"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</row>
    <row r="52" spans="2:52" x14ac:dyDescent="0.25"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</row>
    <row r="53" spans="2:52" x14ac:dyDescent="0.25"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</row>
    <row r="54" spans="2:52" x14ac:dyDescent="0.25"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</row>
    <row r="55" spans="2:52" x14ac:dyDescent="0.25"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</row>
    <row r="56" spans="2:52" x14ac:dyDescent="0.25"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</row>
    <row r="57" spans="2:52" x14ac:dyDescent="0.25"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</row>
    <row r="58" spans="2:52" x14ac:dyDescent="0.25"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</row>
    <row r="59" spans="2:52" x14ac:dyDescent="0.25"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</row>
    <row r="60" spans="2:52" x14ac:dyDescent="0.25"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</row>
    <row r="61" spans="2:52" x14ac:dyDescent="0.25"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</row>
    <row r="62" spans="2:52" x14ac:dyDescent="0.25"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</row>
    <row r="63" spans="2:52" x14ac:dyDescent="0.25"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</row>
  </sheetData>
  <pageMargins left="0.7" right="0.7" top="0.75" bottom="0.75" header="0.3" footer="0.3"/>
  <pageSetup scale="110" fitToWidth="0" fitToHeight="0" orientation="landscape" r:id="rId1"/>
  <headerFooter alignWithMargins="0">
    <oddHeader>&amp;CTable. Historical Data on Federal Research and Development</oddHeader>
    <oddFooter>&amp;CAAAS - APRIL 2012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Data!Print_Area</vt:lpstr>
      <vt:lpstr>Data!Print_Titles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Hourihan</dc:creator>
  <cp:lastModifiedBy>Alessandra C. Zimmermann</cp:lastModifiedBy>
  <dcterms:created xsi:type="dcterms:W3CDTF">2014-05-05T20:48:21Z</dcterms:created>
  <dcterms:modified xsi:type="dcterms:W3CDTF">2025-02-06T15:53:34Z</dcterms:modified>
</cp:coreProperties>
</file>