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I:\RDBudget\Historical Tables\Hist Wesbite Files\"/>
    </mc:Choice>
  </mc:AlternateContent>
  <xr:revisionPtr revIDLastSave="0" documentId="13_ncr:1_{F99E61E1-8F67-4A9A-9227-4534FC9A8C3B}" xr6:coauthVersionLast="47" xr6:coauthVersionMax="47" xr10:uidLastSave="{00000000-0000-0000-0000-000000000000}"/>
  <bookViews>
    <workbookView xWindow="22932" yWindow="-108" windowWidth="30936" windowHeight="16776" xr2:uid="{00000000-000D-0000-FFFF-FFFF00000000}"/>
  </bookViews>
  <sheets>
    <sheet name="Data" sheetId="1" r:id="rId1"/>
  </sheets>
  <definedNames>
    <definedName name="HTML_CodePage" hidden="1">1252</definedName>
    <definedName name="HTML_Control" localSheetId="0" hidden="1">{"'preview'!$A$11:$F$42"}</definedName>
    <definedName name="HTML_Control" hidden="1">{"'preview'!$A$11:$F$42"}</definedName>
    <definedName name="HTML_Description" hidden="1">""</definedName>
    <definedName name="HTML_Email" hidden="1">""</definedName>
    <definedName name="HTML_Header" hidden="1">"preview"</definedName>
    <definedName name="HTML_LastUpdate" hidden="1">"12/19/2000"</definedName>
    <definedName name="HTML_LineAfter" hidden="1">FALSE</definedName>
    <definedName name="HTML_LineBefore" hidden="1">FALSE</definedName>
    <definedName name="HTML_Name" hidden="1">"Kei Koizumi"</definedName>
    <definedName name="HTML_OBDlg2" hidden="1">TRUE</definedName>
    <definedName name="HTML_OBDlg4" hidden="1">TRUE</definedName>
    <definedName name="HTML_OS" hidden="1">0</definedName>
    <definedName name="HTML_PathFile" hidden="1">"H:\www\capre015.htm"</definedName>
    <definedName name="HTML_Title" hidden="1">"natpt01p"</definedName>
    <definedName name="HTML1_1" hidden="1">"'[TOTAL97C.XLS]Tbl 1'!$A$10:$H$46"</definedName>
    <definedName name="HTML1_10" hidden="1">""</definedName>
    <definedName name="HTML1_11" hidden="1">1</definedName>
    <definedName name="HTML1_12" hidden="1">"h:\spp\www\dspp\rd\congact1.htm"</definedName>
    <definedName name="HTML1_2" hidden="1">1</definedName>
    <definedName name="HTML1_3" hidden="1">"Table 1. Total R&amp;D by Agency"</definedName>
    <definedName name="HTML1_4" hidden="1">"Congressional Action on R&amp;D in the FY 1997 Budget "</definedName>
    <definedName name="HTML1_5" hidden="1">"(budget authority in millions of dollars)*"</definedName>
    <definedName name="HTML1_6" hidden="1">1</definedName>
    <definedName name="HTML1_7" hidden="1">1</definedName>
    <definedName name="HTML1_8" hidden="1">""</definedName>
    <definedName name="HTML1_9" hidden="1">" "</definedName>
    <definedName name="HTML2_1" hidden="1">"'[TOTAL97C.XLS]FY 94-97'!$A$9:$O$28"</definedName>
    <definedName name="HTML2_10" hidden="1">""</definedName>
    <definedName name="HTML2_11" hidden="1">1</definedName>
    <definedName name="HTML2_12" hidden="1">"H:\SPP\WWW\DSPP\RD\CONGACTB.HTM"</definedName>
    <definedName name="HTML2_2" hidden="1">1</definedName>
    <definedName name="HTML2_3" hidden="1">"Special Table. R&amp;D by Agency, FYs 1994-97"</definedName>
    <definedName name="HTML2_4" hidden="1">"Final - Nov. 1, 1996"</definedName>
    <definedName name="HTML2_5" hidden="1">"(budget authority in millions of dollars)"</definedName>
    <definedName name="HTML2_6" hidden="1">1</definedName>
    <definedName name="HTML2_7" hidden="1">1</definedName>
    <definedName name="HTML2_8" hidden="1">""</definedName>
    <definedName name="HTML2_9" hidden="1">" "</definedName>
    <definedName name="HTML3_1" hidden="1">"[TOTAL97C.XLS]bdgres!$A$10:$I$22"</definedName>
    <definedName name="HTML3_10" hidden="1">""</definedName>
    <definedName name="HTML3_11" hidden="1">1</definedName>
    <definedName name="HTML3_12" hidden="1">"H:\SPP\WWW\DSPP\RD\CONGACTA.HTM"</definedName>
    <definedName name="HTML3_2" hidden="1">1</definedName>
    <definedName name="HTML3_3" hidden="1">"Table A. Nondefense R&amp;D: Comparisons between Budget Resolution Projections"</definedName>
    <definedName name="HTML3_4" hidden="1">"and Appropriations, FY 1996 and 1997"</definedName>
    <definedName name="HTML3_5" hidden="1">"(budget authority in millions of dollars)"</definedName>
    <definedName name="HTML3_6" hidden="1">1</definedName>
    <definedName name="HTML3_7" hidden="1">1</definedName>
    <definedName name="HTML3_8" hidden="1">""</definedName>
    <definedName name="HTML3_9" hidden="1">" "</definedName>
    <definedName name="HTML4_1" hidden="1">"[HIST297.XLS]Sheet1!$A$1:$E$21"</definedName>
    <definedName name="HTML4_10" hidden="1">""</definedName>
    <definedName name="HTML4_11" hidden="1">1</definedName>
    <definedName name="HTML4_12" hidden="1">"H:\SPP\KKOIZUMI\98P\anlytbl2.htm"</definedName>
    <definedName name="HTML4_2" hidden="1">1</definedName>
    <definedName name="HTML4_3" hidden="1">"Table 2. Trends in R&amp;D, FY 1994-1998"</definedName>
    <definedName name="HTML4_4" hidden="1">"Table 2. Trends in R&amp;D, FY 1994-1998"</definedName>
    <definedName name="HTML4_5" hidden="1">"(budget authority in millions of dollars)"</definedName>
    <definedName name="HTML4_6" hidden="1">1</definedName>
    <definedName name="HTML4_7" hidden="1">1</definedName>
    <definedName name="HTML4_8" hidden="1">""</definedName>
    <definedName name="HTML4_9" hidden="1">""</definedName>
    <definedName name="HTML5_1" hidden="1">"[HIST297.XLS]Sheet1!$A$4:$F$23"</definedName>
    <definedName name="HTML5_10" hidden="1">""</definedName>
    <definedName name="HTML5_11" hidden="1">1</definedName>
    <definedName name="HTML5_12" hidden="1">"h:\spp\WWW\DSPP\RD\anlytbl2.htm"</definedName>
    <definedName name="HTML5_2" hidden="1">1</definedName>
    <definedName name="HTML5_3" hidden="1">"Table 2. Trends in R&amp;D, FY 1994-1998"</definedName>
    <definedName name="HTML5_4" hidden="1">"Table 2. Trends in R&amp;D, FY 1994-1998"</definedName>
    <definedName name="HTML5_5" hidden="1">"Change in constant dollars"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Count" hidden="1">5</definedName>
    <definedName name="Pie" hidden="1">"Table 1. R&amp;D in the FY 1998 Budget by Agency"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20" i="1" l="1"/>
  <c r="BC21" i="1"/>
  <c r="BC22" i="1"/>
  <c r="BC23" i="1"/>
  <c r="BC24" i="1"/>
  <c r="BC25" i="1"/>
  <c r="BC26" i="1"/>
  <c r="BC27" i="1"/>
  <c r="BC19" i="1"/>
  <c r="BA9" i="1"/>
  <c r="BA5" i="1"/>
  <c r="BB5" i="1"/>
  <c r="BC5" i="1" s="1"/>
  <c r="BB9" i="1"/>
  <c r="BC9" i="1" s="1"/>
  <c r="BB19" i="1"/>
  <c r="BB20" i="1"/>
  <c r="BB21" i="1"/>
  <c r="BB22" i="1"/>
  <c r="BB23" i="1"/>
  <c r="BB25" i="1"/>
  <c r="BB26" i="1"/>
  <c r="BB27" i="1"/>
  <c r="BC6" i="1"/>
  <c r="BC7" i="1"/>
  <c r="BC8" i="1"/>
  <c r="BC10" i="1"/>
  <c r="BC11" i="1"/>
  <c r="BC12" i="1"/>
  <c r="BC4" i="1"/>
  <c r="BC14" i="1"/>
  <c r="AY19" i="1"/>
  <c r="AZ19" i="1"/>
  <c r="BA19" i="1"/>
  <c r="AY20" i="1"/>
  <c r="AZ20" i="1"/>
  <c r="BA20" i="1"/>
  <c r="AY21" i="1"/>
  <c r="AZ21" i="1"/>
  <c r="BA21" i="1"/>
  <c r="AY22" i="1"/>
  <c r="AZ22" i="1"/>
  <c r="BA22" i="1"/>
  <c r="AY23" i="1"/>
  <c r="AZ23" i="1"/>
  <c r="BA23" i="1"/>
  <c r="AY24" i="1"/>
  <c r="AZ24" i="1"/>
  <c r="BA24" i="1"/>
  <c r="AY25" i="1"/>
  <c r="AZ25" i="1"/>
  <c r="BA25" i="1"/>
  <c r="AY26" i="1"/>
  <c r="AZ26" i="1"/>
  <c r="BA26" i="1"/>
  <c r="AY27" i="1"/>
  <c r="AZ27" i="1"/>
  <c r="BA27" i="1"/>
  <c r="AX20" i="1"/>
  <c r="AX21" i="1"/>
  <c r="AX22" i="1"/>
  <c r="AX23" i="1"/>
  <c r="AX24" i="1"/>
  <c r="AX25" i="1"/>
  <c r="AX26" i="1"/>
  <c r="AX27" i="1"/>
  <c r="AX19" i="1"/>
  <c r="BB24" i="1" l="1"/>
</calcChain>
</file>

<file path=xl/sharedStrings.xml><?xml version="1.0" encoding="utf-8"?>
<sst xmlns="http://schemas.openxmlformats.org/spreadsheetml/2006/main" count="50" uniqueCount="18">
  <si>
    <t>Discipline</t>
  </si>
  <si>
    <t>NIH Life Science</t>
  </si>
  <si>
    <t>Other Life Science</t>
  </si>
  <si>
    <t>Psychology</t>
  </si>
  <si>
    <t>Physical Science</t>
  </si>
  <si>
    <t>Environmental Science</t>
  </si>
  <si>
    <t>Math / Computer Science</t>
  </si>
  <si>
    <t>Engineering</t>
  </si>
  <si>
    <t>Social Science</t>
  </si>
  <si>
    <t>Total</t>
  </si>
  <si>
    <t>* - Includes research not elsewhere classified.</t>
  </si>
  <si>
    <t>Basic and applied research only. Development and R&amp;D facilities are not classified by discipline.</t>
  </si>
  <si>
    <t>Other*</t>
  </si>
  <si>
    <t>Federal Research Funding By Discipline as Share of Total Research, 1970-2017</t>
  </si>
  <si>
    <t>(budget authority in billions of constant FY 2022 dollars)</t>
  </si>
  <si>
    <t>Federal Research Funding By Discipline, 1970-2021</t>
  </si>
  <si>
    <t>12 - '22</t>
  </si>
  <si>
    <t>Source: National Science Foundation, Federal Funds for R&amp;D survey data series, available at http://www.nsf.gov/fedfunds/.   Constant-dollar conversions based on GDP deflators from Budget of the U.S. Government FY 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</si>
</sst>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2"/>
      <name val="Arial Narrow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4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u/>
      <sz val="10"/>
      <color rgb="FF000000"/>
      <name val="Verdana"/>
      <family val="2"/>
    </font>
    <font>
      <u/>
      <sz val="10"/>
      <color rgb="FF000000"/>
      <name val="Arial"/>
      <family val="2"/>
    </font>
    <font>
      <u/>
      <sz val="11"/>
      <color rgb="FF000000"/>
      <name val="Calibri"/>
      <family val="2"/>
      <scheme val="minor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theme="1"/>
      <name val="Verdana"/>
      <family val="2"/>
    </font>
    <font>
      <sz val="10"/>
      <color theme="1"/>
      <name val="Arial"/>
      <family val="2"/>
    </font>
    <font>
      <b/>
      <sz val="11"/>
      <color indexed="63"/>
      <name val="Calibri"/>
      <family val="2"/>
    </font>
    <font>
      <i/>
      <sz val="8"/>
      <name val="Arial"/>
      <family val="2"/>
    </font>
    <font>
      <sz val="9"/>
      <name val="Arial"/>
      <family val="2"/>
    </font>
    <font>
      <b/>
      <sz val="18"/>
      <color indexed="62"/>
      <name val="Cambria"/>
      <family val="2"/>
    </font>
    <font>
      <b/>
      <sz val="9"/>
      <name val="Arial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9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42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99">
    <xf numFmtId="0" fontId="0" fillId="0" borderId="0"/>
    <xf numFmtId="9" fontId="5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6" fillId="0" borderId="0"/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6" fillId="0" borderId="0"/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/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6" fillId="0" borderId="0"/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1" fillId="2" borderId="8" applyNumberFormat="0" applyAlignment="0" applyProtection="0"/>
    <xf numFmtId="0" fontId="11" fillId="2" borderId="8" applyNumberFormat="0" applyAlignment="0" applyProtection="0"/>
    <xf numFmtId="0" fontId="11" fillId="2" borderId="8" applyNumberFormat="0" applyAlignment="0" applyProtection="0"/>
    <xf numFmtId="0" fontId="11" fillId="2" borderId="8" applyNumberFormat="0" applyAlignment="0" applyProtection="0"/>
    <xf numFmtId="0" fontId="11" fillId="2" borderId="8" applyNumberFormat="0" applyAlignment="0" applyProtection="0"/>
    <xf numFmtId="0" fontId="11" fillId="2" borderId="8" applyNumberFormat="0" applyAlignment="0" applyProtection="0"/>
    <xf numFmtId="0" fontId="11" fillId="2" borderId="8" applyNumberFormat="0" applyAlignment="0" applyProtection="0"/>
    <xf numFmtId="0" fontId="12" fillId="15" borderId="9" applyNumberFormat="0" applyAlignment="0" applyProtection="0"/>
    <xf numFmtId="0" fontId="12" fillId="15" borderId="9" applyNumberFormat="0" applyAlignment="0" applyProtection="0"/>
    <xf numFmtId="0" fontId="12" fillId="15" borderId="9" applyNumberFormat="0" applyAlignment="0" applyProtection="0"/>
    <xf numFmtId="0" fontId="12" fillId="15" borderId="9" applyNumberFormat="0" applyAlignment="0" applyProtection="0"/>
    <xf numFmtId="0" fontId="12" fillId="15" borderId="9" applyNumberFormat="0" applyAlignment="0" applyProtection="0"/>
    <xf numFmtId="0" fontId="12" fillId="15" borderId="9" applyNumberFormat="0" applyAlignment="0" applyProtection="0"/>
    <xf numFmtId="0" fontId="12" fillId="15" borderId="9" applyNumberFormat="0" applyAlignment="0" applyProtection="0"/>
    <xf numFmtId="3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21" fillId="3" borderId="8" applyNumberFormat="0" applyAlignment="0" applyProtection="0"/>
    <xf numFmtId="0" fontId="21" fillId="3" borderId="8" applyNumberFormat="0" applyAlignment="0" applyProtection="0"/>
    <xf numFmtId="0" fontId="21" fillId="3" borderId="8" applyNumberFormat="0" applyAlignment="0" applyProtection="0"/>
    <xf numFmtId="0" fontId="21" fillId="3" borderId="8" applyNumberFormat="0" applyAlignment="0" applyProtection="0"/>
    <xf numFmtId="0" fontId="21" fillId="3" borderId="8" applyNumberFormat="0" applyAlignment="0" applyProtection="0"/>
    <xf numFmtId="0" fontId="21" fillId="3" borderId="8" applyNumberFormat="0" applyAlignment="0" applyProtection="0"/>
    <xf numFmtId="0" fontId="21" fillId="3" borderId="8" applyNumberFormat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1" fillId="0" borderId="0"/>
    <xf numFmtId="0" fontId="24" fillId="0" borderId="0"/>
    <xf numFmtId="0" fontId="24" fillId="0" borderId="0"/>
    <xf numFmtId="0" fontId="25" fillId="0" borderId="0"/>
    <xf numFmtId="0" fontId="1" fillId="0" borderId="0"/>
    <xf numFmtId="0" fontId="1" fillId="0" borderId="0"/>
    <xf numFmtId="0" fontId="2" fillId="4" borderId="14" applyNumberFormat="0" applyFont="0" applyAlignment="0" applyProtection="0"/>
    <xf numFmtId="0" fontId="2" fillId="4" borderId="14" applyNumberFormat="0" applyFont="0" applyAlignment="0" applyProtection="0"/>
    <xf numFmtId="0" fontId="2" fillId="4" borderId="14" applyNumberFormat="0" applyFont="0" applyAlignment="0" applyProtection="0"/>
    <xf numFmtId="0" fontId="2" fillId="4" borderId="14" applyNumberFormat="0" applyFont="0" applyAlignment="0" applyProtection="0"/>
    <xf numFmtId="0" fontId="2" fillId="4" borderId="14" applyNumberFormat="0" applyFont="0" applyAlignment="0" applyProtection="0"/>
    <xf numFmtId="0" fontId="2" fillId="4" borderId="14" applyNumberFormat="0" applyFont="0" applyAlignment="0" applyProtection="0"/>
    <xf numFmtId="0" fontId="2" fillId="4" borderId="14" applyNumberFormat="0" applyFont="0" applyAlignment="0" applyProtection="0"/>
    <xf numFmtId="0" fontId="26" fillId="2" borderId="15" applyNumberFormat="0" applyAlignment="0" applyProtection="0"/>
    <xf numFmtId="0" fontId="26" fillId="2" borderId="15" applyNumberFormat="0" applyAlignment="0" applyProtection="0"/>
    <xf numFmtId="0" fontId="26" fillId="2" borderId="15" applyNumberFormat="0" applyAlignment="0" applyProtection="0"/>
    <xf numFmtId="0" fontId="26" fillId="2" borderId="15" applyNumberFormat="0" applyAlignment="0" applyProtection="0"/>
    <xf numFmtId="0" fontId="26" fillId="2" borderId="15" applyNumberFormat="0" applyAlignment="0" applyProtection="0"/>
    <xf numFmtId="0" fontId="26" fillId="2" borderId="15" applyNumberFormat="0" applyAlignment="0" applyProtection="0"/>
    <xf numFmtId="0" fontId="26" fillId="2" borderId="15" applyNumberFormat="0" applyAlignment="0" applyProtection="0"/>
    <xf numFmtId="0" fontId="5" fillId="0" borderId="0">
      <alignment horizontal="left" wrapText="1"/>
    </xf>
    <xf numFmtId="0" fontId="27" fillId="0" borderId="0">
      <alignment horizontal="left" vertical="top"/>
    </xf>
    <xf numFmtId="0" fontId="27" fillId="0" borderId="0">
      <alignment horizontal="left" vertical="top"/>
    </xf>
    <xf numFmtId="0" fontId="27" fillId="0" borderId="0">
      <alignment horizontal="left" vertical="top"/>
    </xf>
    <xf numFmtId="0" fontId="27" fillId="0" borderId="0">
      <alignment horizontal="left" vertical="top"/>
    </xf>
    <xf numFmtId="0" fontId="27" fillId="0" borderId="0">
      <alignment horizontal="left" vertical="top"/>
    </xf>
    <xf numFmtId="0" fontId="27" fillId="0" borderId="0">
      <alignment horizontal="left" vertical="top"/>
    </xf>
    <xf numFmtId="0" fontId="27" fillId="0" borderId="0">
      <alignment horizontal="left" vertical="top"/>
    </xf>
    <xf numFmtId="0" fontId="28" fillId="0" borderId="0">
      <alignment vertical="top"/>
    </xf>
    <xf numFmtId="0" fontId="28" fillId="0" borderId="0">
      <alignment vertical="top"/>
    </xf>
    <xf numFmtId="0" fontId="28" fillId="0" borderId="0">
      <alignment vertical="top"/>
    </xf>
    <xf numFmtId="0" fontId="28" fillId="0" borderId="0">
      <alignment vertical="top"/>
    </xf>
    <xf numFmtId="0" fontId="28" fillId="0" borderId="0">
      <alignment vertical="top"/>
    </xf>
    <xf numFmtId="0" fontId="28" fillId="0" borderId="0">
      <alignment vertical="top"/>
    </xf>
    <xf numFmtId="0" fontId="28" fillId="0" borderId="0">
      <alignment vertical="top"/>
    </xf>
    <xf numFmtId="0" fontId="29" fillId="0" borderId="0" applyNumberFormat="0" applyFill="0" applyBorder="0" applyAlignment="0" applyProtection="0"/>
    <xf numFmtId="0" fontId="30" fillId="0" borderId="0">
      <alignment vertical="top"/>
    </xf>
    <xf numFmtId="0" fontId="30" fillId="0" borderId="0">
      <alignment vertical="top"/>
    </xf>
    <xf numFmtId="0" fontId="30" fillId="0" borderId="0">
      <alignment vertical="top"/>
    </xf>
    <xf numFmtId="0" fontId="30" fillId="0" borderId="0">
      <alignment vertical="top"/>
    </xf>
    <xf numFmtId="0" fontId="30" fillId="0" borderId="0">
      <alignment vertical="top"/>
    </xf>
    <xf numFmtId="0" fontId="30" fillId="0" borderId="0">
      <alignment vertical="top"/>
    </xf>
    <xf numFmtId="0" fontId="30" fillId="0" borderId="0">
      <alignment vertical="top"/>
    </xf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2">
    <xf numFmtId="0" fontId="0" fillId="0" borderId="0" xfId="0"/>
    <xf numFmtId="0" fontId="3" fillId="0" borderId="0" xfId="2" applyFont="1" applyAlignment="1">
      <alignment horizontal="left"/>
    </xf>
    <xf numFmtId="0" fontId="4" fillId="0" borderId="0" xfId="2" applyFont="1" applyAlignment="1">
      <alignment horizontal="left"/>
    </xf>
    <xf numFmtId="0" fontId="4" fillId="0" borderId="0" xfId="3" applyFont="1" applyAlignment="1">
      <alignment vertical="center"/>
    </xf>
    <xf numFmtId="2" fontId="3" fillId="0" borderId="4" xfId="2" applyNumberFormat="1" applyFont="1" applyBorder="1" applyAlignment="1">
      <alignment horizontal="right"/>
    </xf>
    <xf numFmtId="0" fontId="4" fillId="0" borderId="0" xfId="0" applyFont="1"/>
    <xf numFmtId="0" fontId="33" fillId="0" borderId="0" xfId="2" applyFont="1" applyAlignment="1">
      <alignment horizontal="left"/>
    </xf>
    <xf numFmtId="0" fontId="3" fillId="0" borderId="1" xfId="2" applyFont="1" applyBorder="1" applyAlignment="1">
      <alignment horizontal="left"/>
    </xf>
    <xf numFmtId="0" fontId="3" fillId="0" borderId="2" xfId="2" applyFont="1" applyBorder="1" applyAlignment="1">
      <alignment horizontal="right"/>
    </xf>
    <xf numFmtId="0" fontId="4" fillId="0" borderId="7" xfId="2" applyFont="1" applyBorder="1" applyAlignment="1">
      <alignment horizontal="left"/>
    </xf>
    <xf numFmtId="0" fontId="3" fillId="0" borderId="4" xfId="2" applyFont="1" applyBorder="1" applyAlignment="1">
      <alignment horizontal="left"/>
    </xf>
    <xf numFmtId="2" fontId="4" fillId="0" borderId="0" xfId="2" applyNumberFormat="1" applyFont="1"/>
    <xf numFmtId="0" fontId="4" fillId="0" borderId="0" xfId="2" applyFont="1"/>
    <xf numFmtId="2" fontId="3" fillId="0" borderId="0" xfId="2" applyNumberFormat="1" applyFont="1"/>
    <xf numFmtId="2" fontId="3" fillId="0" borderId="4" xfId="2" applyNumberFormat="1" applyFont="1" applyBorder="1"/>
    <xf numFmtId="0" fontId="4" fillId="0" borderId="7" xfId="2" applyFont="1" applyBorder="1"/>
    <xf numFmtId="0" fontId="3" fillId="0" borderId="2" xfId="2" applyFont="1" applyBorder="1"/>
    <xf numFmtId="164" fontId="4" fillId="0" borderId="0" xfId="1" applyNumberFormat="1" applyFont="1" applyFill="1" applyBorder="1" applyAlignment="1" applyProtection="1"/>
    <xf numFmtId="0" fontId="3" fillId="0" borderId="17" xfId="2" applyFont="1" applyBorder="1" applyAlignment="1">
      <alignment horizontal="left"/>
    </xf>
    <xf numFmtId="0" fontId="4" fillId="0" borderId="18" xfId="2" applyFont="1" applyBorder="1" applyAlignment="1">
      <alignment horizontal="left"/>
    </xf>
    <xf numFmtId="0" fontId="4" fillId="0" borderId="19" xfId="2" applyFont="1" applyBorder="1" applyAlignment="1">
      <alignment horizontal="left"/>
    </xf>
    <xf numFmtId="0" fontId="3" fillId="0" borderId="5" xfId="2" applyFont="1" applyBorder="1" applyAlignment="1">
      <alignment horizontal="left"/>
    </xf>
    <xf numFmtId="2" fontId="4" fillId="0" borderId="22" xfId="4" applyNumberFormat="1" applyFont="1" applyFill="1" applyBorder="1" applyAlignment="1" applyProtection="1"/>
    <xf numFmtId="2" fontId="4" fillId="0" borderId="0" xfId="4" applyNumberFormat="1" applyFont="1" applyFill="1" applyBorder="1" applyAlignment="1" applyProtection="1"/>
    <xf numFmtId="0" fontId="4" fillId="0" borderId="0" xfId="4" applyNumberFormat="1" applyFont="1" applyFill="1" applyBorder="1" applyAlignment="1" applyProtection="1"/>
    <xf numFmtId="2" fontId="3" fillId="0" borderId="4" xfId="4" applyNumberFormat="1" applyFont="1" applyFill="1" applyBorder="1" applyAlignment="1" applyProtection="1"/>
    <xf numFmtId="164" fontId="4" fillId="0" borderId="22" xfId="4" applyNumberFormat="1" applyFont="1" applyFill="1" applyBorder="1" applyAlignment="1" applyProtection="1"/>
    <xf numFmtId="164" fontId="4" fillId="0" borderId="0" xfId="4" applyNumberFormat="1" applyFont="1" applyFill="1" applyBorder="1" applyAlignment="1" applyProtection="1"/>
    <xf numFmtId="2" fontId="3" fillId="0" borderId="4" xfId="4" applyNumberFormat="1" applyFont="1" applyFill="1" applyBorder="1" applyAlignment="1" applyProtection="1">
      <alignment horizontal="right"/>
    </xf>
    <xf numFmtId="0" fontId="3" fillId="0" borderId="20" xfId="2" quotePrefix="1" applyFont="1" applyBorder="1" applyAlignment="1">
      <alignment horizontal="right"/>
    </xf>
    <xf numFmtId="0" fontId="3" fillId="0" borderId="20" xfId="2" quotePrefix="1" applyFont="1" applyBorder="1"/>
    <xf numFmtId="164" fontId="4" fillId="0" borderId="21" xfId="2" applyNumberFormat="1" applyFont="1" applyBorder="1" applyAlignment="1">
      <alignment horizontal="right"/>
    </xf>
    <xf numFmtId="164" fontId="4" fillId="0" borderId="3" xfId="2" applyNumberFormat="1" applyFont="1" applyBorder="1" applyAlignment="1">
      <alignment horizontal="right"/>
    </xf>
    <xf numFmtId="164" fontId="3" fillId="0" borderId="6" xfId="2" applyNumberFormat="1" applyFont="1" applyBorder="1" applyAlignment="1">
      <alignment horizontal="right"/>
    </xf>
    <xf numFmtId="0" fontId="4" fillId="0" borderId="0" xfId="2" applyFont="1" applyAlignment="1">
      <alignment horizontal="right"/>
    </xf>
    <xf numFmtId="0" fontId="3" fillId="0" borderId="21" xfId="2" quotePrefix="1" applyFont="1" applyBorder="1" applyAlignment="1">
      <alignment horizontal="right"/>
    </xf>
    <xf numFmtId="164" fontId="4" fillId="0" borderId="6" xfId="2" applyNumberFormat="1" applyFont="1" applyBorder="1" applyAlignment="1">
      <alignment horizontal="right"/>
    </xf>
    <xf numFmtId="0" fontId="3" fillId="0" borderId="22" xfId="2" quotePrefix="1" applyFont="1" applyBorder="1" applyAlignment="1">
      <alignment horizontal="right"/>
    </xf>
    <xf numFmtId="0" fontId="3" fillId="0" borderId="18" xfId="2" quotePrefix="1" applyFont="1" applyBorder="1" applyAlignment="1">
      <alignment horizontal="right"/>
    </xf>
    <xf numFmtId="0" fontId="3" fillId="0" borderId="23" xfId="2" quotePrefix="1" applyFont="1" applyBorder="1" applyAlignment="1">
      <alignment horizontal="right"/>
    </xf>
    <xf numFmtId="0" fontId="4" fillId="0" borderId="22" xfId="2" applyFont="1" applyBorder="1" applyAlignment="1">
      <alignment horizontal="left" wrapText="1"/>
    </xf>
    <xf numFmtId="0" fontId="4" fillId="0" borderId="0" xfId="2" applyFont="1" applyAlignment="1">
      <alignment horizontal="left" wrapText="1"/>
    </xf>
  </cellXfs>
  <cellStyles count="399">
    <cellStyle name="_10 I+D (formula)" xfId="5" xr:uid="{00000000-0005-0000-0000-000000000000}"/>
    <cellStyle name="_12" xfId="6" xr:uid="{00000000-0005-0000-0000-000001000000}"/>
    <cellStyle name="_12 EJC (formula)" xfId="7" xr:uid="{00000000-0005-0000-0000-000002000000}"/>
    <cellStyle name="_12 PF (formula)" xfId="8" xr:uid="{00000000-0005-0000-0000-000003000000}"/>
    <cellStyle name="_14 (formula)" xfId="9" xr:uid="{00000000-0005-0000-0000-000004000000}"/>
    <cellStyle name="_15 EJC (formula)" xfId="10" xr:uid="{00000000-0005-0000-0000-000005000000}"/>
    <cellStyle name="_15xSec_PF (cocina)" xfId="11" xr:uid="{00000000-0005-0000-0000-000006000000}"/>
    <cellStyle name="_18Grado" xfId="12" xr:uid="{00000000-0005-0000-0000-000007000000}"/>
    <cellStyle name="_18Grado (cocina)" xfId="13" xr:uid="{00000000-0005-0000-0000-000008000000}"/>
    <cellStyle name="_20Doctorados (br ok" xfId="14" xr:uid="{00000000-0005-0000-0000-000009000000}"/>
    <cellStyle name="_29b" xfId="15" xr:uid="{00000000-0005-0000-0000-00000A000000}"/>
    <cellStyle name="_29c" xfId="16" xr:uid="{00000000-0005-0000-0000-00000B000000}"/>
    <cellStyle name="_29e" xfId="17" xr:uid="{00000000-0005-0000-0000-00000C000000}"/>
    <cellStyle name="_29g" xfId="18" xr:uid="{00000000-0005-0000-0000-00000D000000}"/>
    <cellStyle name="_29i" xfId="19" xr:uid="{00000000-0005-0000-0000-00000E000000}"/>
    <cellStyle name="_4ACT (br ok" xfId="20" xr:uid="{00000000-0005-0000-0000-00000F000000}"/>
    <cellStyle name="_4ACT (br ok sv ok" xfId="21" xr:uid="{00000000-0005-0000-0000-000010000000}"/>
    <cellStyle name="_4I+D" xfId="22" xr:uid="{00000000-0005-0000-0000-000011000000}"/>
    <cellStyle name="_8 (formula)" xfId="23" xr:uid="{00000000-0005-0000-0000-000012000000}"/>
    <cellStyle name="_9 I+D (formula)" xfId="24" xr:uid="{00000000-0005-0000-0000-000013000000}"/>
    <cellStyle name="_aaca07p" xfId="25" xr:uid="{00000000-0005-0000-0000-000014000000}"/>
    <cellStyle name="_ACAD-b22" xfId="26" xr:uid="{00000000-0005-0000-0000-000015000000}"/>
    <cellStyle name="_ACAD-b29" xfId="27" xr:uid="{00000000-0005-0000-0000-000016000000}"/>
    <cellStyle name="_ACAD-b74" xfId="28" xr:uid="{00000000-0005-0000-0000-000017000000}"/>
    <cellStyle name="_Appendix-29 tables -- May 19" xfId="29" xr:uid="{00000000-0005-0000-0000-000018000000}"/>
    <cellStyle name="_Appendix-29 tables -- May 19 2" xfId="30" xr:uid="{00000000-0005-0000-0000-000019000000}"/>
    <cellStyle name="_Appendix-29 tables -- May 19 3" xfId="31" xr:uid="{00000000-0005-0000-0000-00001A000000}"/>
    <cellStyle name="_Appendix-29 tables -- May 19 4" xfId="32" xr:uid="{00000000-0005-0000-0000-00001B000000}"/>
    <cellStyle name="_Appendix-29 tables -- May 19 5" xfId="33" xr:uid="{00000000-0005-0000-0000-00001C000000}"/>
    <cellStyle name="_Appendix-29 tables -- May 19 6" xfId="34" xr:uid="{00000000-0005-0000-0000-00001D000000}"/>
    <cellStyle name="_Appendix-29 tables -- May 19 7" xfId="35" xr:uid="{00000000-0005-0000-0000-00001E000000}"/>
    <cellStyle name="_B16" xfId="36" xr:uid="{00000000-0005-0000-0000-00001F000000}"/>
    <cellStyle name="_B27" xfId="37" xr:uid="{00000000-0005-0000-0000-000020000000}"/>
    <cellStyle name="_comparativos2" xfId="38" xr:uid="{00000000-0005-0000-0000-000021000000}"/>
    <cellStyle name="_Data Generation for 1998, August 17" xfId="39" xr:uid="{00000000-0005-0000-0000-000022000000}"/>
    <cellStyle name="_Fdper01p" xfId="40" xr:uid="{00000000-0005-0000-0000-000023000000}"/>
    <cellStyle name="_FFSC107" xfId="41" xr:uid="{00000000-0005-0000-0000-000024000000}"/>
    <cellStyle name="_FF-tabc14" xfId="42" xr:uid="{00000000-0005-0000-0000-000025000000}"/>
    <cellStyle name="_FF-tabc83" xfId="43" xr:uid="{00000000-0005-0000-0000-000026000000}"/>
    <cellStyle name="_FF-tabc85" xfId="44" xr:uid="{00000000-0005-0000-0000-000027000000}"/>
    <cellStyle name="_fig04-01_JJ" xfId="45" xr:uid="{00000000-0005-0000-0000-000028000000}"/>
    <cellStyle name="_hist7" xfId="46" xr:uid="{00000000-0005-0000-0000-000029000000}"/>
    <cellStyle name="_Information Generator for 1999 Indicators, May 25" xfId="47" xr:uid="{00000000-0005-0000-0000-00002A000000}"/>
    <cellStyle name="_NAT-OBJ Revised" xfId="48" xr:uid="{00000000-0005-0000-0000-00002B000000}"/>
    <cellStyle name="_New State Table for 1998, March 12, 2001" xfId="49" xr:uid="{00000000-0005-0000-0000-00002C000000}"/>
    <cellStyle name="_pbi" xfId="50" xr:uid="{00000000-0005-0000-0000-00002D000000}"/>
    <cellStyle name="_PUBLICACIONES" xfId="51" xr:uid="{00000000-0005-0000-0000-00002E000000}"/>
    <cellStyle name="_sed5" xfId="52" xr:uid="{00000000-0005-0000-0000-00002F000000}"/>
    <cellStyle name="_SEI Tables, May 17" xfId="53" xr:uid="{00000000-0005-0000-0000-000030000000}"/>
    <cellStyle name="_SEI Tables, May 19" xfId="54" xr:uid="{00000000-0005-0000-0000-000031000000}"/>
    <cellStyle name="_SEI Tables, May 19 b" xfId="55" xr:uid="{00000000-0005-0000-0000-000032000000}"/>
    <cellStyle name="_SEI Tables, May 3" xfId="56" xr:uid="{00000000-0005-0000-0000-000033000000}"/>
    <cellStyle name="_Sept. 19, Tables and Database for NP98.xls Chart 12" xfId="57" xr:uid="{00000000-0005-0000-0000-000034000000}"/>
    <cellStyle name="_Sept. 19, Tables and Database for NP98.xls Chart 4" xfId="58" xr:uid="{00000000-0005-0000-0000-000035000000}"/>
    <cellStyle name="_Sept. 19, Tables and Database for NP98.xls Chart 6" xfId="59" xr:uid="{00000000-0005-0000-0000-000036000000}"/>
    <cellStyle name="_Sept. 19, Tables and Database for NP98.xls Chart 8" xfId="60" xr:uid="{00000000-0005-0000-0000-000037000000}"/>
    <cellStyle name="_Tab Fig Array_ SEI 2010 Ch 4_fed RD" xfId="61" xr:uid="{00000000-0005-0000-0000-000038000000}"/>
    <cellStyle name="_Tab Fig Array_SEI2010 Ch 4_Intl comps" xfId="62" xr:uid="{00000000-0005-0000-0000-000039000000}"/>
    <cellStyle name="_tabc102" xfId="63" xr:uid="{00000000-0005-0000-0000-00003A000000}"/>
    <cellStyle name="_tabc14" xfId="64" xr:uid="{00000000-0005-0000-0000-00003B000000}"/>
    <cellStyle name="_table1" xfId="65" xr:uid="{00000000-0005-0000-0000-00003C000000}"/>
    <cellStyle name="_table2" xfId="66" xr:uid="{00000000-0005-0000-0000-00003D000000}"/>
    <cellStyle name="_table3" xfId="67" xr:uid="{00000000-0005-0000-0000-00003E000000}"/>
    <cellStyle name="_table5" xfId="68" xr:uid="{00000000-0005-0000-0000-00003F000000}"/>
    <cellStyle name="_tbl i-8" xfId="69" xr:uid="{00000000-0005-0000-0000-000040000000}"/>
    <cellStyle name="_Text Table 3" xfId="70" xr:uid="{00000000-0005-0000-0000-000041000000}"/>
    <cellStyle name="_Total, all agencies" xfId="71" xr:uid="{00000000-0005-0000-0000-000042000000}"/>
    <cellStyle name="_UNESCO_R&amp;DTables" xfId="72" xr:uid="{00000000-0005-0000-0000-000043000000}"/>
    <cellStyle name="_workbook for indicators text tables" xfId="73" xr:uid="{00000000-0005-0000-0000-000044000000}"/>
    <cellStyle name="20% - Accent1 2" xfId="74" xr:uid="{00000000-0005-0000-0000-000045000000}"/>
    <cellStyle name="20% - Accent1 3" xfId="75" xr:uid="{00000000-0005-0000-0000-000046000000}"/>
    <cellStyle name="20% - Accent1 4" xfId="76" xr:uid="{00000000-0005-0000-0000-000047000000}"/>
    <cellStyle name="20% - Accent1 5" xfId="77" xr:uid="{00000000-0005-0000-0000-000048000000}"/>
    <cellStyle name="20% - Accent1 6" xfId="78" xr:uid="{00000000-0005-0000-0000-000049000000}"/>
    <cellStyle name="20% - Accent1 7" xfId="79" xr:uid="{00000000-0005-0000-0000-00004A000000}"/>
    <cellStyle name="20% - Accent1 8" xfId="80" xr:uid="{00000000-0005-0000-0000-00004B000000}"/>
    <cellStyle name="20% - Accent2 2" xfId="81" xr:uid="{00000000-0005-0000-0000-00004C000000}"/>
    <cellStyle name="20% - Accent2 3" xfId="82" xr:uid="{00000000-0005-0000-0000-00004D000000}"/>
    <cellStyle name="20% - Accent2 4" xfId="83" xr:uid="{00000000-0005-0000-0000-00004E000000}"/>
    <cellStyle name="20% - Accent2 5" xfId="84" xr:uid="{00000000-0005-0000-0000-00004F000000}"/>
    <cellStyle name="20% - Accent2 6" xfId="85" xr:uid="{00000000-0005-0000-0000-000050000000}"/>
    <cellStyle name="20% - Accent2 7" xfId="86" xr:uid="{00000000-0005-0000-0000-000051000000}"/>
    <cellStyle name="20% - Accent2 8" xfId="87" xr:uid="{00000000-0005-0000-0000-000052000000}"/>
    <cellStyle name="20% - Accent3 2" xfId="88" xr:uid="{00000000-0005-0000-0000-000053000000}"/>
    <cellStyle name="20% - Accent3 3" xfId="89" xr:uid="{00000000-0005-0000-0000-000054000000}"/>
    <cellStyle name="20% - Accent3 4" xfId="90" xr:uid="{00000000-0005-0000-0000-000055000000}"/>
    <cellStyle name="20% - Accent3 5" xfId="91" xr:uid="{00000000-0005-0000-0000-000056000000}"/>
    <cellStyle name="20% - Accent3 6" xfId="92" xr:uid="{00000000-0005-0000-0000-000057000000}"/>
    <cellStyle name="20% - Accent3 7" xfId="93" xr:uid="{00000000-0005-0000-0000-000058000000}"/>
    <cellStyle name="20% - Accent3 8" xfId="94" xr:uid="{00000000-0005-0000-0000-000059000000}"/>
    <cellStyle name="20% - Accent4 2" xfId="95" xr:uid="{00000000-0005-0000-0000-00005A000000}"/>
    <cellStyle name="20% - Accent4 3" xfId="96" xr:uid="{00000000-0005-0000-0000-00005B000000}"/>
    <cellStyle name="20% - Accent4 4" xfId="97" xr:uid="{00000000-0005-0000-0000-00005C000000}"/>
    <cellStyle name="20% - Accent4 5" xfId="98" xr:uid="{00000000-0005-0000-0000-00005D000000}"/>
    <cellStyle name="20% - Accent4 6" xfId="99" xr:uid="{00000000-0005-0000-0000-00005E000000}"/>
    <cellStyle name="20% - Accent4 7" xfId="100" xr:uid="{00000000-0005-0000-0000-00005F000000}"/>
    <cellStyle name="20% - Accent4 8" xfId="101" xr:uid="{00000000-0005-0000-0000-000060000000}"/>
    <cellStyle name="20% - Accent5 2" xfId="102" xr:uid="{00000000-0005-0000-0000-000061000000}"/>
    <cellStyle name="20% - Accent5 3" xfId="103" xr:uid="{00000000-0005-0000-0000-000062000000}"/>
    <cellStyle name="20% - Accent5 4" xfId="104" xr:uid="{00000000-0005-0000-0000-000063000000}"/>
    <cellStyle name="20% - Accent5 5" xfId="105" xr:uid="{00000000-0005-0000-0000-000064000000}"/>
    <cellStyle name="20% - Accent5 6" xfId="106" xr:uid="{00000000-0005-0000-0000-000065000000}"/>
    <cellStyle name="20% - Accent5 7" xfId="107" xr:uid="{00000000-0005-0000-0000-000066000000}"/>
    <cellStyle name="20% - Accent5 8" xfId="108" xr:uid="{00000000-0005-0000-0000-000067000000}"/>
    <cellStyle name="20% - Accent6 2" xfId="109" xr:uid="{00000000-0005-0000-0000-000068000000}"/>
    <cellStyle name="20% - Accent6 3" xfId="110" xr:uid="{00000000-0005-0000-0000-000069000000}"/>
    <cellStyle name="20% - Accent6 4" xfId="111" xr:uid="{00000000-0005-0000-0000-00006A000000}"/>
    <cellStyle name="20% - Accent6 5" xfId="112" xr:uid="{00000000-0005-0000-0000-00006B000000}"/>
    <cellStyle name="20% - Accent6 6" xfId="113" xr:uid="{00000000-0005-0000-0000-00006C000000}"/>
    <cellStyle name="20% - Accent6 7" xfId="114" xr:uid="{00000000-0005-0000-0000-00006D000000}"/>
    <cellStyle name="20% - Accent6 8" xfId="115" xr:uid="{00000000-0005-0000-0000-00006E000000}"/>
    <cellStyle name="40% - Accent1 2" xfId="116" xr:uid="{00000000-0005-0000-0000-00006F000000}"/>
    <cellStyle name="40% - Accent1 3" xfId="117" xr:uid="{00000000-0005-0000-0000-000070000000}"/>
    <cellStyle name="40% - Accent1 4" xfId="118" xr:uid="{00000000-0005-0000-0000-000071000000}"/>
    <cellStyle name="40% - Accent1 5" xfId="119" xr:uid="{00000000-0005-0000-0000-000072000000}"/>
    <cellStyle name="40% - Accent1 6" xfId="120" xr:uid="{00000000-0005-0000-0000-000073000000}"/>
    <cellStyle name="40% - Accent1 7" xfId="121" xr:uid="{00000000-0005-0000-0000-000074000000}"/>
    <cellStyle name="40% - Accent1 8" xfId="122" xr:uid="{00000000-0005-0000-0000-000075000000}"/>
    <cellStyle name="40% - Accent2 2" xfId="123" xr:uid="{00000000-0005-0000-0000-000076000000}"/>
    <cellStyle name="40% - Accent2 3" xfId="124" xr:uid="{00000000-0005-0000-0000-000077000000}"/>
    <cellStyle name="40% - Accent2 4" xfId="125" xr:uid="{00000000-0005-0000-0000-000078000000}"/>
    <cellStyle name="40% - Accent2 5" xfId="126" xr:uid="{00000000-0005-0000-0000-000079000000}"/>
    <cellStyle name="40% - Accent2 6" xfId="127" xr:uid="{00000000-0005-0000-0000-00007A000000}"/>
    <cellStyle name="40% - Accent2 7" xfId="128" xr:uid="{00000000-0005-0000-0000-00007B000000}"/>
    <cellStyle name="40% - Accent2 8" xfId="129" xr:uid="{00000000-0005-0000-0000-00007C000000}"/>
    <cellStyle name="40% - Accent3 2" xfId="130" xr:uid="{00000000-0005-0000-0000-00007D000000}"/>
    <cellStyle name="40% - Accent3 3" xfId="131" xr:uid="{00000000-0005-0000-0000-00007E000000}"/>
    <cellStyle name="40% - Accent3 4" xfId="132" xr:uid="{00000000-0005-0000-0000-00007F000000}"/>
    <cellStyle name="40% - Accent3 5" xfId="133" xr:uid="{00000000-0005-0000-0000-000080000000}"/>
    <cellStyle name="40% - Accent3 6" xfId="134" xr:uid="{00000000-0005-0000-0000-000081000000}"/>
    <cellStyle name="40% - Accent3 7" xfId="135" xr:uid="{00000000-0005-0000-0000-000082000000}"/>
    <cellStyle name="40% - Accent3 8" xfId="136" xr:uid="{00000000-0005-0000-0000-000083000000}"/>
    <cellStyle name="40% - Accent4 2" xfId="137" xr:uid="{00000000-0005-0000-0000-000084000000}"/>
    <cellStyle name="40% - Accent4 3" xfId="138" xr:uid="{00000000-0005-0000-0000-000085000000}"/>
    <cellStyle name="40% - Accent4 4" xfId="139" xr:uid="{00000000-0005-0000-0000-000086000000}"/>
    <cellStyle name="40% - Accent4 5" xfId="140" xr:uid="{00000000-0005-0000-0000-000087000000}"/>
    <cellStyle name="40% - Accent4 6" xfId="141" xr:uid="{00000000-0005-0000-0000-000088000000}"/>
    <cellStyle name="40% - Accent4 7" xfId="142" xr:uid="{00000000-0005-0000-0000-000089000000}"/>
    <cellStyle name="40% - Accent4 8" xfId="143" xr:uid="{00000000-0005-0000-0000-00008A000000}"/>
    <cellStyle name="40% - Accent5 2" xfId="144" xr:uid="{00000000-0005-0000-0000-00008B000000}"/>
    <cellStyle name="40% - Accent5 3" xfId="145" xr:uid="{00000000-0005-0000-0000-00008C000000}"/>
    <cellStyle name="40% - Accent5 4" xfId="146" xr:uid="{00000000-0005-0000-0000-00008D000000}"/>
    <cellStyle name="40% - Accent5 5" xfId="147" xr:uid="{00000000-0005-0000-0000-00008E000000}"/>
    <cellStyle name="40% - Accent5 6" xfId="148" xr:uid="{00000000-0005-0000-0000-00008F000000}"/>
    <cellStyle name="40% - Accent5 7" xfId="149" xr:uid="{00000000-0005-0000-0000-000090000000}"/>
    <cellStyle name="40% - Accent5 8" xfId="150" xr:uid="{00000000-0005-0000-0000-000091000000}"/>
    <cellStyle name="40% - Accent6 2" xfId="151" xr:uid="{00000000-0005-0000-0000-000092000000}"/>
    <cellStyle name="40% - Accent6 3" xfId="152" xr:uid="{00000000-0005-0000-0000-000093000000}"/>
    <cellStyle name="40% - Accent6 4" xfId="153" xr:uid="{00000000-0005-0000-0000-000094000000}"/>
    <cellStyle name="40% - Accent6 5" xfId="154" xr:uid="{00000000-0005-0000-0000-000095000000}"/>
    <cellStyle name="40% - Accent6 6" xfId="155" xr:uid="{00000000-0005-0000-0000-000096000000}"/>
    <cellStyle name="40% - Accent6 7" xfId="156" xr:uid="{00000000-0005-0000-0000-000097000000}"/>
    <cellStyle name="40% - Accent6 8" xfId="157" xr:uid="{00000000-0005-0000-0000-000098000000}"/>
    <cellStyle name="60% - Accent1 2" xfId="158" xr:uid="{00000000-0005-0000-0000-000099000000}"/>
    <cellStyle name="60% - Accent1 3" xfId="159" xr:uid="{00000000-0005-0000-0000-00009A000000}"/>
    <cellStyle name="60% - Accent1 4" xfId="160" xr:uid="{00000000-0005-0000-0000-00009B000000}"/>
    <cellStyle name="60% - Accent1 5" xfId="161" xr:uid="{00000000-0005-0000-0000-00009C000000}"/>
    <cellStyle name="60% - Accent1 6" xfId="162" xr:uid="{00000000-0005-0000-0000-00009D000000}"/>
    <cellStyle name="60% - Accent1 7" xfId="163" xr:uid="{00000000-0005-0000-0000-00009E000000}"/>
    <cellStyle name="60% - Accent1 8" xfId="164" xr:uid="{00000000-0005-0000-0000-00009F000000}"/>
    <cellStyle name="60% - Accent2 2" xfId="165" xr:uid="{00000000-0005-0000-0000-0000A0000000}"/>
    <cellStyle name="60% - Accent2 3" xfId="166" xr:uid="{00000000-0005-0000-0000-0000A1000000}"/>
    <cellStyle name="60% - Accent2 4" xfId="167" xr:uid="{00000000-0005-0000-0000-0000A2000000}"/>
    <cellStyle name="60% - Accent2 5" xfId="168" xr:uid="{00000000-0005-0000-0000-0000A3000000}"/>
    <cellStyle name="60% - Accent2 6" xfId="169" xr:uid="{00000000-0005-0000-0000-0000A4000000}"/>
    <cellStyle name="60% - Accent2 7" xfId="170" xr:uid="{00000000-0005-0000-0000-0000A5000000}"/>
    <cellStyle name="60% - Accent2 8" xfId="171" xr:uid="{00000000-0005-0000-0000-0000A6000000}"/>
    <cellStyle name="60% - Accent3 2" xfId="172" xr:uid="{00000000-0005-0000-0000-0000A7000000}"/>
    <cellStyle name="60% - Accent3 3" xfId="173" xr:uid="{00000000-0005-0000-0000-0000A8000000}"/>
    <cellStyle name="60% - Accent3 4" xfId="174" xr:uid="{00000000-0005-0000-0000-0000A9000000}"/>
    <cellStyle name="60% - Accent3 5" xfId="175" xr:uid="{00000000-0005-0000-0000-0000AA000000}"/>
    <cellStyle name="60% - Accent3 6" xfId="176" xr:uid="{00000000-0005-0000-0000-0000AB000000}"/>
    <cellStyle name="60% - Accent3 7" xfId="177" xr:uid="{00000000-0005-0000-0000-0000AC000000}"/>
    <cellStyle name="60% - Accent3 8" xfId="178" xr:uid="{00000000-0005-0000-0000-0000AD000000}"/>
    <cellStyle name="60% - Accent4 2" xfId="179" xr:uid="{00000000-0005-0000-0000-0000AE000000}"/>
    <cellStyle name="60% - Accent4 3" xfId="180" xr:uid="{00000000-0005-0000-0000-0000AF000000}"/>
    <cellStyle name="60% - Accent4 4" xfId="181" xr:uid="{00000000-0005-0000-0000-0000B0000000}"/>
    <cellStyle name="60% - Accent4 5" xfId="182" xr:uid="{00000000-0005-0000-0000-0000B1000000}"/>
    <cellStyle name="60% - Accent4 6" xfId="183" xr:uid="{00000000-0005-0000-0000-0000B2000000}"/>
    <cellStyle name="60% - Accent4 7" xfId="184" xr:uid="{00000000-0005-0000-0000-0000B3000000}"/>
    <cellStyle name="60% - Accent4 8" xfId="185" xr:uid="{00000000-0005-0000-0000-0000B4000000}"/>
    <cellStyle name="60% - Accent5 2" xfId="186" xr:uid="{00000000-0005-0000-0000-0000B5000000}"/>
    <cellStyle name="60% - Accent5 3" xfId="187" xr:uid="{00000000-0005-0000-0000-0000B6000000}"/>
    <cellStyle name="60% - Accent5 4" xfId="188" xr:uid="{00000000-0005-0000-0000-0000B7000000}"/>
    <cellStyle name="60% - Accent5 5" xfId="189" xr:uid="{00000000-0005-0000-0000-0000B8000000}"/>
    <cellStyle name="60% - Accent5 6" xfId="190" xr:uid="{00000000-0005-0000-0000-0000B9000000}"/>
    <cellStyle name="60% - Accent5 7" xfId="191" xr:uid="{00000000-0005-0000-0000-0000BA000000}"/>
    <cellStyle name="60% - Accent5 8" xfId="192" xr:uid="{00000000-0005-0000-0000-0000BB000000}"/>
    <cellStyle name="60% - Accent6 2" xfId="193" xr:uid="{00000000-0005-0000-0000-0000BC000000}"/>
    <cellStyle name="60% - Accent6 3" xfId="194" xr:uid="{00000000-0005-0000-0000-0000BD000000}"/>
    <cellStyle name="60% - Accent6 4" xfId="195" xr:uid="{00000000-0005-0000-0000-0000BE000000}"/>
    <cellStyle name="60% - Accent6 5" xfId="196" xr:uid="{00000000-0005-0000-0000-0000BF000000}"/>
    <cellStyle name="60% - Accent6 6" xfId="197" xr:uid="{00000000-0005-0000-0000-0000C0000000}"/>
    <cellStyle name="60% - Accent6 7" xfId="198" xr:uid="{00000000-0005-0000-0000-0000C1000000}"/>
    <cellStyle name="60% - Accent6 8" xfId="199" xr:uid="{00000000-0005-0000-0000-0000C2000000}"/>
    <cellStyle name="Accent1 2" xfId="200" xr:uid="{00000000-0005-0000-0000-0000C3000000}"/>
    <cellStyle name="Accent1 3" xfId="201" xr:uid="{00000000-0005-0000-0000-0000C4000000}"/>
    <cellStyle name="Accent1 4" xfId="202" xr:uid="{00000000-0005-0000-0000-0000C5000000}"/>
    <cellStyle name="Accent1 5" xfId="203" xr:uid="{00000000-0005-0000-0000-0000C6000000}"/>
    <cellStyle name="Accent1 6" xfId="204" xr:uid="{00000000-0005-0000-0000-0000C7000000}"/>
    <cellStyle name="Accent1 7" xfId="205" xr:uid="{00000000-0005-0000-0000-0000C8000000}"/>
    <cellStyle name="Accent1 8" xfId="206" xr:uid="{00000000-0005-0000-0000-0000C9000000}"/>
    <cellStyle name="Accent2 2" xfId="207" xr:uid="{00000000-0005-0000-0000-0000CA000000}"/>
    <cellStyle name="Accent2 3" xfId="208" xr:uid="{00000000-0005-0000-0000-0000CB000000}"/>
    <cellStyle name="Accent2 4" xfId="209" xr:uid="{00000000-0005-0000-0000-0000CC000000}"/>
    <cellStyle name="Accent2 5" xfId="210" xr:uid="{00000000-0005-0000-0000-0000CD000000}"/>
    <cellStyle name="Accent2 6" xfId="211" xr:uid="{00000000-0005-0000-0000-0000CE000000}"/>
    <cellStyle name="Accent2 7" xfId="212" xr:uid="{00000000-0005-0000-0000-0000CF000000}"/>
    <cellStyle name="Accent2 8" xfId="213" xr:uid="{00000000-0005-0000-0000-0000D0000000}"/>
    <cellStyle name="Accent3 2" xfId="214" xr:uid="{00000000-0005-0000-0000-0000D1000000}"/>
    <cellStyle name="Accent3 3" xfId="215" xr:uid="{00000000-0005-0000-0000-0000D2000000}"/>
    <cellStyle name="Accent3 4" xfId="216" xr:uid="{00000000-0005-0000-0000-0000D3000000}"/>
    <cellStyle name="Accent3 5" xfId="217" xr:uid="{00000000-0005-0000-0000-0000D4000000}"/>
    <cellStyle name="Accent3 6" xfId="218" xr:uid="{00000000-0005-0000-0000-0000D5000000}"/>
    <cellStyle name="Accent3 7" xfId="219" xr:uid="{00000000-0005-0000-0000-0000D6000000}"/>
    <cellStyle name="Accent3 8" xfId="220" xr:uid="{00000000-0005-0000-0000-0000D7000000}"/>
    <cellStyle name="Accent4 2" xfId="221" xr:uid="{00000000-0005-0000-0000-0000D8000000}"/>
    <cellStyle name="Accent4 3" xfId="222" xr:uid="{00000000-0005-0000-0000-0000D9000000}"/>
    <cellStyle name="Accent4 4" xfId="223" xr:uid="{00000000-0005-0000-0000-0000DA000000}"/>
    <cellStyle name="Accent4 5" xfId="224" xr:uid="{00000000-0005-0000-0000-0000DB000000}"/>
    <cellStyle name="Accent4 6" xfId="225" xr:uid="{00000000-0005-0000-0000-0000DC000000}"/>
    <cellStyle name="Accent4 7" xfId="226" xr:uid="{00000000-0005-0000-0000-0000DD000000}"/>
    <cellStyle name="Accent4 8" xfId="227" xr:uid="{00000000-0005-0000-0000-0000DE000000}"/>
    <cellStyle name="Accent5 2" xfId="228" xr:uid="{00000000-0005-0000-0000-0000DF000000}"/>
    <cellStyle name="Accent5 3" xfId="229" xr:uid="{00000000-0005-0000-0000-0000E0000000}"/>
    <cellStyle name="Accent5 4" xfId="230" xr:uid="{00000000-0005-0000-0000-0000E1000000}"/>
    <cellStyle name="Accent5 5" xfId="231" xr:uid="{00000000-0005-0000-0000-0000E2000000}"/>
    <cellStyle name="Accent5 6" xfId="232" xr:uid="{00000000-0005-0000-0000-0000E3000000}"/>
    <cellStyle name="Accent5 7" xfId="233" xr:uid="{00000000-0005-0000-0000-0000E4000000}"/>
    <cellStyle name="Accent5 8" xfId="234" xr:uid="{00000000-0005-0000-0000-0000E5000000}"/>
    <cellStyle name="Accent6 2" xfId="235" xr:uid="{00000000-0005-0000-0000-0000E6000000}"/>
    <cellStyle name="Accent6 3" xfId="236" xr:uid="{00000000-0005-0000-0000-0000E7000000}"/>
    <cellStyle name="Accent6 4" xfId="237" xr:uid="{00000000-0005-0000-0000-0000E8000000}"/>
    <cellStyle name="Accent6 5" xfId="238" xr:uid="{00000000-0005-0000-0000-0000E9000000}"/>
    <cellStyle name="Accent6 6" xfId="239" xr:uid="{00000000-0005-0000-0000-0000EA000000}"/>
    <cellStyle name="Accent6 7" xfId="240" xr:uid="{00000000-0005-0000-0000-0000EB000000}"/>
    <cellStyle name="Accent6 8" xfId="241" xr:uid="{00000000-0005-0000-0000-0000EC000000}"/>
    <cellStyle name="Bad 2" xfId="242" xr:uid="{00000000-0005-0000-0000-0000ED000000}"/>
    <cellStyle name="Bad 3" xfId="243" xr:uid="{00000000-0005-0000-0000-0000EE000000}"/>
    <cellStyle name="Bad 4" xfId="244" xr:uid="{00000000-0005-0000-0000-0000EF000000}"/>
    <cellStyle name="Bad 5" xfId="245" xr:uid="{00000000-0005-0000-0000-0000F0000000}"/>
    <cellStyle name="Bad 6" xfId="246" xr:uid="{00000000-0005-0000-0000-0000F1000000}"/>
    <cellStyle name="Bad 7" xfId="247" xr:uid="{00000000-0005-0000-0000-0000F2000000}"/>
    <cellStyle name="Bad 8" xfId="248" xr:uid="{00000000-0005-0000-0000-0000F3000000}"/>
    <cellStyle name="Calculation 2" xfId="249" xr:uid="{00000000-0005-0000-0000-0000F4000000}"/>
    <cellStyle name="Calculation 3" xfId="250" xr:uid="{00000000-0005-0000-0000-0000F5000000}"/>
    <cellStyle name="Calculation 4" xfId="251" xr:uid="{00000000-0005-0000-0000-0000F6000000}"/>
    <cellStyle name="Calculation 5" xfId="252" xr:uid="{00000000-0005-0000-0000-0000F7000000}"/>
    <cellStyle name="Calculation 6" xfId="253" xr:uid="{00000000-0005-0000-0000-0000F8000000}"/>
    <cellStyle name="Calculation 7" xfId="254" xr:uid="{00000000-0005-0000-0000-0000F9000000}"/>
    <cellStyle name="Calculation 8" xfId="255" xr:uid="{00000000-0005-0000-0000-0000FA000000}"/>
    <cellStyle name="Check Cell 2" xfId="256" xr:uid="{00000000-0005-0000-0000-0000FB000000}"/>
    <cellStyle name="Check Cell 3" xfId="257" xr:uid="{00000000-0005-0000-0000-0000FC000000}"/>
    <cellStyle name="Check Cell 4" xfId="258" xr:uid="{00000000-0005-0000-0000-0000FD000000}"/>
    <cellStyle name="Check Cell 5" xfId="259" xr:uid="{00000000-0005-0000-0000-0000FE000000}"/>
    <cellStyle name="Check Cell 6" xfId="260" xr:uid="{00000000-0005-0000-0000-0000FF000000}"/>
    <cellStyle name="Check Cell 7" xfId="261" xr:uid="{00000000-0005-0000-0000-000000010000}"/>
    <cellStyle name="Check Cell 8" xfId="262" xr:uid="{00000000-0005-0000-0000-000001010000}"/>
    <cellStyle name="Comma0" xfId="263" xr:uid="{00000000-0005-0000-0000-000002010000}"/>
    <cellStyle name="Currency0" xfId="264" xr:uid="{00000000-0005-0000-0000-000003010000}"/>
    <cellStyle name="Explanatory Text 2" xfId="265" xr:uid="{00000000-0005-0000-0000-000004010000}"/>
    <cellStyle name="Explanatory Text 3" xfId="266" xr:uid="{00000000-0005-0000-0000-000005010000}"/>
    <cellStyle name="Explanatory Text 4" xfId="267" xr:uid="{00000000-0005-0000-0000-000006010000}"/>
    <cellStyle name="Explanatory Text 5" xfId="268" xr:uid="{00000000-0005-0000-0000-000007010000}"/>
    <cellStyle name="Explanatory Text 6" xfId="269" xr:uid="{00000000-0005-0000-0000-000008010000}"/>
    <cellStyle name="Explanatory Text 7" xfId="270" xr:uid="{00000000-0005-0000-0000-000009010000}"/>
    <cellStyle name="Explanatory Text 8" xfId="271" xr:uid="{00000000-0005-0000-0000-00000A010000}"/>
    <cellStyle name="Followed Hyperlink 2" xfId="272" xr:uid="{00000000-0005-0000-0000-00000B010000}"/>
    <cellStyle name="Followed Hyperlink 3" xfId="273" xr:uid="{00000000-0005-0000-0000-00000C010000}"/>
    <cellStyle name="Followed Hyperlink 4" xfId="274" xr:uid="{00000000-0005-0000-0000-00000D010000}"/>
    <cellStyle name="Followed Hyperlink 5" xfId="275" xr:uid="{00000000-0005-0000-0000-00000E010000}"/>
    <cellStyle name="Good 2" xfId="276" xr:uid="{00000000-0005-0000-0000-00000F010000}"/>
    <cellStyle name="Good 3" xfId="277" xr:uid="{00000000-0005-0000-0000-000010010000}"/>
    <cellStyle name="Good 4" xfId="278" xr:uid="{00000000-0005-0000-0000-000011010000}"/>
    <cellStyle name="Good 5" xfId="279" xr:uid="{00000000-0005-0000-0000-000012010000}"/>
    <cellStyle name="Good 6" xfId="280" xr:uid="{00000000-0005-0000-0000-000013010000}"/>
    <cellStyle name="Good 7" xfId="281" xr:uid="{00000000-0005-0000-0000-000014010000}"/>
    <cellStyle name="Good 8" xfId="282" xr:uid="{00000000-0005-0000-0000-000015010000}"/>
    <cellStyle name="Heading 1 2" xfId="283" xr:uid="{00000000-0005-0000-0000-000016010000}"/>
    <cellStyle name="Heading 1 3" xfId="284" xr:uid="{00000000-0005-0000-0000-000017010000}"/>
    <cellStyle name="Heading 1 4" xfId="285" xr:uid="{00000000-0005-0000-0000-000018010000}"/>
    <cellStyle name="Heading 1 5" xfId="286" xr:uid="{00000000-0005-0000-0000-000019010000}"/>
    <cellStyle name="Heading 1 6" xfId="287" xr:uid="{00000000-0005-0000-0000-00001A010000}"/>
    <cellStyle name="Heading 1 7" xfId="288" xr:uid="{00000000-0005-0000-0000-00001B010000}"/>
    <cellStyle name="Heading 1 8" xfId="289" xr:uid="{00000000-0005-0000-0000-00001C010000}"/>
    <cellStyle name="Heading 2 2" xfId="290" xr:uid="{00000000-0005-0000-0000-00001D010000}"/>
    <cellStyle name="Heading 2 3" xfId="291" xr:uid="{00000000-0005-0000-0000-00001E010000}"/>
    <cellStyle name="Heading 2 4" xfId="292" xr:uid="{00000000-0005-0000-0000-00001F010000}"/>
    <cellStyle name="Heading 2 5" xfId="293" xr:uid="{00000000-0005-0000-0000-000020010000}"/>
    <cellStyle name="Heading 2 6" xfId="294" xr:uid="{00000000-0005-0000-0000-000021010000}"/>
    <cellStyle name="Heading 2 7" xfId="295" xr:uid="{00000000-0005-0000-0000-000022010000}"/>
    <cellStyle name="Heading 2 8" xfId="296" xr:uid="{00000000-0005-0000-0000-000023010000}"/>
    <cellStyle name="Heading 3 2" xfId="297" xr:uid="{00000000-0005-0000-0000-000024010000}"/>
    <cellStyle name="Heading 3 3" xfId="298" xr:uid="{00000000-0005-0000-0000-000025010000}"/>
    <cellStyle name="Heading 3 4" xfId="299" xr:uid="{00000000-0005-0000-0000-000026010000}"/>
    <cellStyle name="Heading 3 5" xfId="300" xr:uid="{00000000-0005-0000-0000-000027010000}"/>
    <cellStyle name="Heading 3 6" xfId="301" xr:uid="{00000000-0005-0000-0000-000028010000}"/>
    <cellStyle name="Heading 3 7" xfId="302" xr:uid="{00000000-0005-0000-0000-000029010000}"/>
    <cellStyle name="Heading 3 8" xfId="303" xr:uid="{00000000-0005-0000-0000-00002A010000}"/>
    <cellStyle name="Heading 4 2" xfId="304" xr:uid="{00000000-0005-0000-0000-00002B010000}"/>
    <cellStyle name="Heading 4 3" xfId="305" xr:uid="{00000000-0005-0000-0000-00002C010000}"/>
    <cellStyle name="Heading 4 4" xfId="306" xr:uid="{00000000-0005-0000-0000-00002D010000}"/>
    <cellStyle name="Heading 4 5" xfId="307" xr:uid="{00000000-0005-0000-0000-00002E010000}"/>
    <cellStyle name="Heading 4 6" xfId="308" xr:uid="{00000000-0005-0000-0000-00002F010000}"/>
    <cellStyle name="Heading 4 7" xfId="309" xr:uid="{00000000-0005-0000-0000-000030010000}"/>
    <cellStyle name="Heading 4 8" xfId="310" xr:uid="{00000000-0005-0000-0000-000031010000}"/>
    <cellStyle name="Hyperlink 2" xfId="311" xr:uid="{00000000-0005-0000-0000-000032010000}"/>
    <cellStyle name="Hyperlink 3" xfId="312" xr:uid="{00000000-0005-0000-0000-000033010000}"/>
    <cellStyle name="Hyperlink 4" xfId="313" xr:uid="{00000000-0005-0000-0000-000034010000}"/>
    <cellStyle name="Hyperlink 5" xfId="314" xr:uid="{00000000-0005-0000-0000-000035010000}"/>
    <cellStyle name="Input 2" xfId="315" xr:uid="{00000000-0005-0000-0000-000036010000}"/>
    <cellStyle name="Input 3" xfId="316" xr:uid="{00000000-0005-0000-0000-000037010000}"/>
    <cellStyle name="Input 4" xfId="317" xr:uid="{00000000-0005-0000-0000-000038010000}"/>
    <cellStyle name="Input 5" xfId="318" xr:uid="{00000000-0005-0000-0000-000039010000}"/>
    <cellStyle name="Input 6" xfId="319" xr:uid="{00000000-0005-0000-0000-00003A010000}"/>
    <cellStyle name="Input 7" xfId="320" xr:uid="{00000000-0005-0000-0000-00003B010000}"/>
    <cellStyle name="Input 8" xfId="321" xr:uid="{00000000-0005-0000-0000-00003C010000}"/>
    <cellStyle name="Linked Cell 2" xfId="322" xr:uid="{00000000-0005-0000-0000-00003D010000}"/>
    <cellStyle name="Linked Cell 3" xfId="323" xr:uid="{00000000-0005-0000-0000-00003E010000}"/>
    <cellStyle name="Linked Cell 4" xfId="324" xr:uid="{00000000-0005-0000-0000-00003F010000}"/>
    <cellStyle name="Linked Cell 5" xfId="325" xr:uid="{00000000-0005-0000-0000-000040010000}"/>
    <cellStyle name="Linked Cell 6" xfId="326" xr:uid="{00000000-0005-0000-0000-000041010000}"/>
    <cellStyle name="Linked Cell 7" xfId="327" xr:uid="{00000000-0005-0000-0000-000042010000}"/>
    <cellStyle name="Linked Cell 8" xfId="328" xr:uid="{00000000-0005-0000-0000-000043010000}"/>
    <cellStyle name="Neutral 2" xfId="329" xr:uid="{00000000-0005-0000-0000-000044010000}"/>
    <cellStyle name="Neutral 3" xfId="330" xr:uid="{00000000-0005-0000-0000-000045010000}"/>
    <cellStyle name="Neutral 4" xfId="331" xr:uid="{00000000-0005-0000-0000-000046010000}"/>
    <cellStyle name="Neutral 5" xfId="332" xr:uid="{00000000-0005-0000-0000-000047010000}"/>
    <cellStyle name="Neutral 6" xfId="333" xr:uid="{00000000-0005-0000-0000-000048010000}"/>
    <cellStyle name="Neutral 7" xfId="334" xr:uid="{00000000-0005-0000-0000-000049010000}"/>
    <cellStyle name="Neutral 8" xfId="335" xr:uid="{00000000-0005-0000-0000-00004A010000}"/>
    <cellStyle name="Normal" xfId="0" builtinId="0"/>
    <cellStyle name="Normal 2" xfId="336" xr:uid="{00000000-0005-0000-0000-00004C010000}"/>
    <cellStyle name="Normal 2 2" xfId="337" xr:uid="{00000000-0005-0000-0000-00004D010000}"/>
    <cellStyle name="Normal 2 3" xfId="338" xr:uid="{00000000-0005-0000-0000-00004E010000}"/>
    <cellStyle name="Normal 3" xfId="2" xr:uid="{00000000-0005-0000-0000-00004F010000}"/>
    <cellStyle name="Normal 4" xfId="339" xr:uid="{00000000-0005-0000-0000-000050010000}"/>
    <cellStyle name="Normal 5" xfId="340" xr:uid="{00000000-0005-0000-0000-000051010000}"/>
    <cellStyle name="Normal 6" xfId="341" xr:uid="{00000000-0005-0000-0000-000052010000}"/>
    <cellStyle name="Normal_tbl II-1" xfId="3" xr:uid="{00000000-0005-0000-0000-000053010000}"/>
    <cellStyle name="Note 2" xfId="342" xr:uid="{00000000-0005-0000-0000-000054010000}"/>
    <cellStyle name="Note 3" xfId="343" xr:uid="{00000000-0005-0000-0000-000055010000}"/>
    <cellStyle name="Note 4" xfId="344" xr:uid="{00000000-0005-0000-0000-000056010000}"/>
    <cellStyle name="Note 5" xfId="345" xr:uid="{00000000-0005-0000-0000-000057010000}"/>
    <cellStyle name="Note 6" xfId="346" xr:uid="{00000000-0005-0000-0000-000058010000}"/>
    <cellStyle name="Note 7" xfId="347" xr:uid="{00000000-0005-0000-0000-000059010000}"/>
    <cellStyle name="Note 8" xfId="348" xr:uid="{00000000-0005-0000-0000-00005A010000}"/>
    <cellStyle name="Output 2" xfId="349" xr:uid="{00000000-0005-0000-0000-00005B010000}"/>
    <cellStyle name="Output 3" xfId="350" xr:uid="{00000000-0005-0000-0000-00005C010000}"/>
    <cellStyle name="Output 4" xfId="351" xr:uid="{00000000-0005-0000-0000-00005D010000}"/>
    <cellStyle name="Output 5" xfId="352" xr:uid="{00000000-0005-0000-0000-00005E010000}"/>
    <cellStyle name="Output 6" xfId="353" xr:uid="{00000000-0005-0000-0000-00005F010000}"/>
    <cellStyle name="Output 7" xfId="354" xr:uid="{00000000-0005-0000-0000-000060010000}"/>
    <cellStyle name="Output 8" xfId="355" xr:uid="{00000000-0005-0000-0000-000061010000}"/>
    <cellStyle name="Percent" xfId="1" builtinId="5"/>
    <cellStyle name="Percent 2" xfId="4" xr:uid="{00000000-0005-0000-0000-000063010000}"/>
    <cellStyle name="Style 1" xfId="356" xr:uid="{00000000-0005-0000-0000-000064010000}"/>
    <cellStyle name="Tagline" xfId="357" xr:uid="{00000000-0005-0000-0000-000065010000}"/>
    <cellStyle name="Tagline 2" xfId="358" xr:uid="{00000000-0005-0000-0000-000066010000}"/>
    <cellStyle name="Tagline 3" xfId="359" xr:uid="{00000000-0005-0000-0000-000067010000}"/>
    <cellStyle name="Tagline 4" xfId="360" xr:uid="{00000000-0005-0000-0000-000068010000}"/>
    <cellStyle name="Tagline 5" xfId="361" xr:uid="{00000000-0005-0000-0000-000069010000}"/>
    <cellStyle name="Tagline 6" xfId="362" xr:uid="{00000000-0005-0000-0000-00006A010000}"/>
    <cellStyle name="Tagline 7" xfId="363" xr:uid="{00000000-0005-0000-0000-00006B010000}"/>
    <cellStyle name="Title 1" xfId="364" xr:uid="{00000000-0005-0000-0000-00006C010000}"/>
    <cellStyle name="Title 1 2" xfId="365" xr:uid="{00000000-0005-0000-0000-00006D010000}"/>
    <cellStyle name="Title 1 3" xfId="366" xr:uid="{00000000-0005-0000-0000-00006E010000}"/>
    <cellStyle name="Title 1 4" xfId="367" xr:uid="{00000000-0005-0000-0000-00006F010000}"/>
    <cellStyle name="Title 1 5" xfId="368" xr:uid="{00000000-0005-0000-0000-000070010000}"/>
    <cellStyle name="Title 1 6" xfId="369" xr:uid="{00000000-0005-0000-0000-000071010000}"/>
    <cellStyle name="Title 1 7" xfId="370" xr:uid="{00000000-0005-0000-0000-000072010000}"/>
    <cellStyle name="Title 2" xfId="371" xr:uid="{00000000-0005-0000-0000-000073010000}"/>
    <cellStyle name="Title 2 2" xfId="372" xr:uid="{00000000-0005-0000-0000-000074010000}"/>
    <cellStyle name="Title 2 3" xfId="373" xr:uid="{00000000-0005-0000-0000-000075010000}"/>
    <cellStyle name="Title 2 4" xfId="374" xr:uid="{00000000-0005-0000-0000-000076010000}"/>
    <cellStyle name="Title 2 5" xfId="375" xr:uid="{00000000-0005-0000-0000-000077010000}"/>
    <cellStyle name="Title 2 6" xfId="376" xr:uid="{00000000-0005-0000-0000-000078010000}"/>
    <cellStyle name="Title 2 7" xfId="377" xr:uid="{00000000-0005-0000-0000-000079010000}"/>
    <cellStyle name="Title 2 8" xfId="378" xr:uid="{00000000-0005-0000-0000-00007A010000}"/>
    <cellStyle name="Title 3" xfId="379" xr:uid="{00000000-0005-0000-0000-00007B010000}"/>
    <cellStyle name="Title 4" xfId="380" xr:uid="{00000000-0005-0000-0000-00007C010000}"/>
    <cellStyle name="Title 5" xfId="381" xr:uid="{00000000-0005-0000-0000-00007D010000}"/>
    <cellStyle name="Title 6" xfId="382" xr:uid="{00000000-0005-0000-0000-00007E010000}"/>
    <cellStyle name="Title 7" xfId="383" xr:uid="{00000000-0005-0000-0000-00007F010000}"/>
    <cellStyle name="Title 8" xfId="384" xr:uid="{00000000-0005-0000-0000-000080010000}"/>
    <cellStyle name="Total 2" xfId="385" xr:uid="{00000000-0005-0000-0000-000081010000}"/>
    <cellStyle name="Total 3" xfId="386" xr:uid="{00000000-0005-0000-0000-000082010000}"/>
    <cellStyle name="Total 4" xfId="387" xr:uid="{00000000-0005-0000-0000-000083010000}"/>
    <cellStyle name="Total 5" xfId="388" xr:uid="{00000000-0005-0000-0000-000084010000}"/>
    <cellStyle name="Total 6" xfId="389" xr:uid="{00000000-0005-0000-0000-000085010000}"/>
    <cellStyle name="Total 7" xfId="390" xr:uid="{00000000-0005-0000-0000-000086010000}"/>
    <cellStyle name="Total 8" xfId="391" xr:uid="{00000000-0005-0000-0000-000087010000}"/>
    <cellStyle name="Warning Text 2" xfId="392" xr:uid="{00000000-0005-0000-0000-000088010000}"/>
    <cellStyle name="Warning Text 3" xfId="393" xr:uid="{00000000-0005-0000-0000-000089010000}"/>
    <cellStyle name="Warning Text 4" xfId="394" xr:uid="{00000000-0005-0000-0000-00008A010000}"/>
    <cellStyle name="Warning Text 5" xfId="395" xr:uid="{00000000-0005-0000-0000-00008B010000}"/>
    <cellStyle name="Warning Text 6" xfId="396" xr:uid="{00000000-0005-0000-0000-00008C010000}"/>
    <cellStyle name="Warning Text 7" xfId="397" xr:uid="{00000000-0005-0000-0000-00008D010000}"/>
    <cellStyle name="Warning Text 8" xfId="398" xr:uid="{00000000-0005-0000-0000-00008E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AAAS Official">
      <a:dk1>
        <a:sysClr val="windowText" lastClr="000000"/>
      </a:dk1>
      <a:lt1>
        <a:srgbClr val="FFFFFF"/>
      </a:lt1>
      <a:dk2>
        <a:srgbClr val="A8D08D"/>
      </a:dk2>
      <a:lt2>
        <a:srgbClr val="F16F6F"/>
      </a:lt2>
      <a:accent1>
        <a:srgbClr val="005699"/>
      </a:accent1>
      <a:accent2>
        <a:srgbClr val="66C3C8"/>
      </a:accent2>
      <a:accent3>
        <a:srgbClr val="C00000"/>
      </a:accent3>
      <a:accent4>
        <a:srgbClr val="895C93"/>
      </a:accent4>
      <a:accent5>
        <a:srgbClr val="E7BC47"/>
      </a:accent5>
      <a:accent6>
        <a:srgbClr val="DA8451"/>
      </a:accent6>
      <a:hlink>
        <a:srgbClr val="005699"/>
      </a:hlink>
      <a:folHlink>
        <a:srgbClr val="66C3C8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32"/>
  <sheetViews>
    <sheetView showGridLines="0" tabSelected="1" zoomScale="115" zoomScaleNormal="115" workbookViewId="0">
      <pane xSplit="1" topLeftCell="AF1" activePane="topRight" state="frozen"/>
      <selection pane="topRight" activeCell="G46" sqref="G46"/>
    </sheetView>
  </sheetViews>
  <sheetFormatPr defaultColWidth="9.1796875" defaultRowHeight="10.5" x14ac:dyDescent="0.25"/>
  <cols>
    <col min="1" max="1" width="21.453125" style="2" customWidth="1"/>
    <col min="2" max="55" width="7.7265625" style="2" customWidth="1"/>
    <col min="56" max="56" width="21.7265625" style="2" customWidth="1"/>
    <col min="57" max="16384" width="9.1796875" style="2"/>
  </cols>
  <sheetData>
    <row r="1" spans="1:56" ht="12" x14ac:dyDescent="0.3">
      <c r="A1" s="6" t="s">
        <v>15</v>
      </c>
    </row>
    <row r="2" spans="1:56" x14ac:dyDescent="0.25">
      <c r="A2" s="3" t="s">
        <v>14</v>
      </c>
    </row>
    <row r="3" spans="1:56" s="1" customFormat="1" x14ac:dyDescent="0.25">
      <c r="A3" s="7" t="s">
        <v>0</v>
      </c>
      <c r="B3" s="8">
        <v>1970</v>
      </c>
      <c r="C3" s="8">
        <v>1971</v>
      </c>
      <c r="D3" s="8">
        <v>1972</v>
      </c>
      <c r="E3" s="8">
        <v>1973</v>
      </c>
      <c r="F3" s="8">
        <v>1974</v>
      </c>
      <c r="G3" s="8">
        <v>1975</v>
      </c>
      <c r="H3" s="8">
        <v>1976</v>
      </c>
      <c r="I3" s="8">
        <v>1977</v>
      </c>
      <c r="J3" s="8">
        <v>1978</v>
      </c>
      <c r="K3" s="8">
        <v>1979</v>
      </c>
      <c r="L3" s="8">
        <v>1980</v>
      </c>
      <c r="M3" s="8">
        <v>1981</v>
      </c>
      <c r="N3" s="8">
        <v>1982</v>
      </c>
      <c r="O3" s="8">
        <v>1983</v>
      </c>
      <c r="P3" s="8">
        <v>1984</v>
      </c>
      <c r="Q3" s="8">
        <v>1985</v>
      </c>
      <c r="R3" s="8">
        <v>1986</v>
      </c>
      <c r="S3" s="8">
        <v>1987</v>
      </c>
      <c r="T3" s="8">
        <v>1988</v>
      </c>
      <c r="U3" s="8">
        <v>1989</v>
      </c>
      <c r="V3" s="8">
        <v>1990</v>
      </c>
      <c r="W3" s="8">
        <v>1991</v>
      </c>
      <c r="X3" s="8">
        <v>1992</v>
      </c>
      <c r="Y3" s="8">
        <v>1993</v>
      </c>
      <c r="Z3" s="8">
        <v>1994</v>
      </c>
      <c r="AA3" s="8">
        <v>1995</v>
      </c>
      <c r="AB3" s="8">
        <v>1996</v>
      </c>
      <c r="AC3" s="8">
        <v>1997</v>
      </c>
      <c r="AD3" s="8">
        <v>1998</v>
      </c>
      <c r="AE3" s="8">
        <v>1999</v>
      </c>
      <c r="AF3" s="8">
        <v>2000</v>
      </c>
      <c r="AG3" s="8">
        <v>2001</v>
      </c>
      <c r="AH3" s="8">
        <v>2002</v>
      </c>
      <c r="AI3" s="8">
        <v>2003</v>
      </c>
      <c r="AJ3" s="8">
        <v>2004</v>
      </c>
      <c r="AK3" s="8">
        <v>2005</v>
      </c>
      <c r="AL3" s="8">
        <v>2006</v>
      </c>
      <c r="AM3" s="8">
        <v>2007</v>
      </c>
      <c r="AN3" s="8">
        <v>2008</v>
      </c>
      <c r="AO3" s="8">
        <v>2009</v>
      </c>
      <c r="AP3" s="8">
        <v>2010</v>
      </c>
      <c r="AQ3" s="8">
        <v>2011</v>
      </c>
      <c r="AR3" s="8">
        <v>2012</v>
      </c>
      <c r="AS3" s="8">
        <v>2013</v>
      </c>
      <c r="AT3" s="8">
        <v>2014</v>
      </c>
      <c r="AU3" s="8">
        <v>2015</v>
      </c>
      <c r="AV3" s="29">
        <v>2016</v>
      </c>
      <c r="AW3" s="29">
        <v>2017</v>
      </c>
      <c r="AX3" s="29">
        <v>2018</v>
      </c>
      <c r="AY3" s="29">
        <v>2019</v>
      </c>
      <c r="AZ3" s="29">
        <v>2020</v>
      </c>
      <c r="BA3" s="29">
        <v>2021</v>
      </c>
      <c r="BB3" s="37">
        <v>2022</v>
      </c>
      <c r="BC3" s="35" t="s">
        <v>16</v>
      </c>
      <c r="BD3" s="18" t="s">
        <v>0</v>
      </c>
    </row>
    <row r="4" spans="1:56" x14ac:dyDescent="0.25">
      <c r="A4" s="2" t="s">
        <v>1</v>
      </c>
      <c r="B4" s="11">
        <v>4.01</v>
      </c>
      <c r="C4" s="11">
        <v>4.46</v>
      </c>
      <c r="D4" s="11">
        <v>5.1100000000000003</v>
      </c>
      <c r="E4" s="11">
        <v>5.05</v>
      </c>
      <c r="F4" s="11">
        <v>6.2</v>
      </c>
      <c r="G4" s="11">
        <v>6.05</v>
      </c>
      <c r="H4" s="11">
        <v>6.23</v>
      </c>
      <c r="I4" s="11">
        <v>6.47</v>
      </c>
      <c r="J4" s="11">
        <v>6.88</v>
      </c>
      <c r="K4" s="11">
        <v>7.12</v>
      </c>
      <c r="L4" s="11">
        <v>7.23</v>
      </c>
      <c r="M4" s="11">
        <v>7</v>
      </c>
      <c r="N4" s="11">
        <v>6.98</v>
      </c>
      <c r="O4" s="11">
        <v>7.44</v>
      </c>
      <c r="P4" s="11">
        <v>8.08</v>
      </c>
      <c r="Q4" s="11">
        <v>8.86</v>
      </c>
      <c r="R4" s="11">
        <v>8.93</v>
      </c>
      <c r="S4" s="11">
        <v>10.24</v>
      </c>
      <c r="T4" s="11">
        <v>10.4</v>
      </c>
      <c r="U4" s="11">
        <v>10.7</v>
      </c>
      <c r="V4" s="11">
        <v>10.84</v>
      </c>
      <c r="W4" s="11">
        <v>10.99</v>
      </c>
      <c r="X4" s="11">
        <v>11.99</v>
      </c>
      <c r="Y4" s="11">
        <v>12.96</v>
      </c>
      <c r="Z4" s="11">
        <v>13.28</v>
      </c>
      <c r="AA4" s="11">
        <v>13.43</v>
      </c>
      <c r="AB4" s="11">
        <v>14.13</v>
      </c>
      <c r="AC4" s="11">
        <v>14.76</v>
      </c>
      <c r="AD4" s="11">
        <v>15.64</v>
      </c>
      <c r="AE4" s="11">
        <v>17.61</v>
      </c>
      <c r="AF4" s="11">
        <v>20.55</v>
      </c>
      <c r="AG4" s="11">
        <v>26.45</v>
      </c>
      <c r="AH4" s="11">
        <v>29.28</v>
      </c>
      <c r="AI4" s="11">
        <v>32.590000000000003</v>
      </c>
      <c r="AJ4" s="11">
        <v>31.32</v>
      </c>
      <c r="AK4" s="11">
        <v>31.15</v>
      </c>
      <c r="AL4" s="11">
        <v>30.26</v>
      </c>
      <c r="AM4" s="11">
        <v>30.97</v>
      </c>
      <c r="AN4" s="11">
        <v>29.84</v>
      </c>
      <c r="AO4" s="11">
        <v>34.49</v>
      </c>
      <c r="AP4" s="11">
        <v>34.96</v>
      </c>
      <c r="AQ4" s="11">
        <v>29.78</v>
      </c>
      <c r="AR4" s="11">
        <v>30.2</v>
      </c>
      <c r="AS4" s="11">
        <v>28.11</v>
      </c>
      <c r="AT4" s="11">
        <v>28.72</v>
      </c>
      <c r="AU4" s="11">
        <v>27.82</v>
      </c>
      <c r="AV4" s="22">
        <v>29.21</v>
      </c>
      <c r="AW4" s="22">
        <v>30.39</v>
      </c>
      <c r="AX4" s="22">
        <v>31.65</v>
      </c>
      <c r="AY4" s="22">
        <v>32.770000000000003</v>
      </c>
      <c r="AZ4" s="22">
        <v>34.409999999999997</v>
      </c>
      <c r="BA4" s="22">
        <v>29.23</v>
      </c>
      <c r="BB4" s="22">
        <v>29.71</v>
      </c>
      <c r="BC4" s="31">
        <f>BB4/AR4-1</f>
        <v>-1.6E-2</v>
      </c>
      <c r="BD4" s="19" t="s">
        <v>1</v>
      </c>
    </row>
    <row r="5" spans="1:56" x14ac:dyDescent="0.25">
      <c r="A5" s="2" t="s">
        <v>2</v>
      </c>
      <c r="B5" s="11">
        <v>4.1500000000000004</v>
      </c>
      <c r="C5" s="11">
        <v>4.0999999999999996</v>
      </c>
      <c r="D5" s="11">
        <v>4.4000000000000004</v>
      </c>
      <c r="E5" s="11">
        <v>4.47</v>
      </c>
      <c r="F5" s="11">
        <v>4.2300000000000004</v>
      </c>
      <c r="G5" s="11">
        <v>4.1900000000000004</v>
      </c>
      <c r="H5" s="11">
        <v>4.1100000000000003</v>
      </c>
      <c r="I5" s="11">
        <v>4.47</v>
      </c>
      <c r="J5" s="11">
        <v>4.8</v>
      </c>
      <c r="K5" s="11">
        <v>5.03</v>
      </c>
      <c r="L5" s="11">
        <v>4.93</v>
      </c>
      <c r="M5" s="11">
        <v>4.72</v>
      </c>
      <c r="N5" s="11">
        <v>4.75</v>
      </c>
      <c r="O5" s="11">
        <v>4.83</v>
      </c>
      <c r="P5" s="11">
        <v>4.79</v>
      </c>
      <c r="Q5" s="11">
        <v>5.2</v>
      </c>
      <c r="R5" s="11">
        <v>5.04</v>
      </c>
      <c r="S5" s="11">
        <v>5.29</v>
      </c>
      <c r="T5" s="11">
        <v>5.41</v>
      </c>
      <c r="U5" s="11">
        <v>6.02</v>
      </c>
      <c r="V5" s="11">
        <v>5.93</v>
      </c>
      <c r="W5" s="11">
        <v>6.66</v>
      </c>
      <c r="X5" s="11">
        <v>5.74</v>
      </c>
      <c r="Y5" s="11">
        <v>5.87</v>
      </c>
      <c r="Z5" s="11">
        <v>6.02</v>
      </c>
      <c r="AA5" s="11">
        <v>6.36</v>
      </c>
      <c r="AB5" s="11">
        <v>5.7</v>
      </c>
      <c r="AC5" s="11">
        <v>5.7</v>
      </c>
      <c r="AD5" s="11">
        <v>5.99</v>
      </c>
      <c r="AE5" s="11">
        <v>6.69</v>
      </c>
      <c r="AF5" s="11">
        <v>7.18</v>
      </c>
      <c r="AG5" s="11">
        <v>8.32</v>
      </c>
      <c r="AH5" s="11">
        <v>8.5399999999999991</v>
      </c>
      <c r="AI5" s="11">
        <v>7.9</v>
      </c>
      <c r="AJ5" s="11">
        <v>8.16</v>
      </c>
      <c r="AK5" s="11">
        <v>7.7</v>
      </c>
      <c r="AL5" s="11">
        <v>7.13</v>
      </c>
      <c r="AM5" s="11">
        <v>7.44</v>
      </c>
      <c r="AN5" s="11">
        <v>7.08</v>
      </c>
      <c r="AO5" s="11">
        <v>7.5</v>
      </c>
      <c r="AP5" s="11">
        <v>7.48</v>
      </c>
      <c r="AQ5" s="11">
        <v>6.36</v>
      </c>
      <c r="AR5" s="11">
        <v>7.09</v>
      </c>
      <c r="AS5" s="11">
        <v>6.97</v>
      </c>
      <c r="AT5" s="11">
        <v>7.18</v>
      </c>
      <c r="AU5" s="11">
        <v>7.28</v>
      </c>
      <c r="AV5" s="23">
        <v>7.18</v>
      </c>
      <c r="AW5" s="23">
        <v>7.63</v>
      </c>
      <c r="AX5" s="23">
        <v>7.93</v>
      </c>
      <c r="AY5" s="23">
        <v>8.2100000000000009</v>
      </c>
      <c r="AZ5" s="23">
        <v>8.11</v>
      </c>
      <c r="BA5" s="23">
        <f>38.117-BA4</f>
        <v>8.89</v>
      </c>
      <c r="BB5" s="23">
        <f>41.609-BB4</f>
        <v>11.9</v>
      </c>
      <c r="BC5" s="32">
        <f t="shared" ref="BC5:BC12" si="0">BB5/AR5-1</f>
        <v>0.67800000000000005</v>
      </c>
      <c r="BD5" s="20" t="s">
        <v>2</v>
      </c>
    </row>
    <row r="6" spans="1:56" x14ac:dyDescent="0.25">
      <c r="A6" s="2" t="s">
        <v>3</v>
      </c>
      <c r="B6" s="11">
        <v>0.61</v>
      </c>
      <c r="C6" s="11">
        <v>0.57999999999999996</v>
      </c>
      <c r="D6" s="11">
        <v>0.6</v>
      </c>
      <c r="E6" s="11">
        <v>0.55000000000000004</v>
      </c>
      <c r="F6" s="11">
        <v>0.61</v>
      </c>
      <c r="G6" s="11">
        <v>0.57999999999999996</v>
      </c>
      <c r="H6" s="11">
        <v>0.56000000000000005</v>
      </c>
      <c r="I6" s="11">
        <v>0.56999999999999995</v>
      </c>
      <c r="J6" s="11">
        <v>0.6</v>
      </c>
      <c r="K6" s="11">
        <v>0.62</v>
      </c>
      <c r="L6" s="11">
        <v>0.57999999999999996</v>
      </c>
      <c r="M6" s="11">
        <v>0.56000000000000005</v>
      </c>
      <c r="N6" s="11">
        <v>0.54</v>
      </c>
      <c r="O6" s="11">
        <v>0.56999999999999995</v>
      </c>
      <c r="P6" s="11">
        <v>0.61</v>
      </c>
      <c r="Q6" s="11">
        <v>0.73</v>
      </c>
      <c r="R6" s="11">
        <v>0.72</v>
      </c>
      <c r="S6" s="11">
        <v>0.78</v>
      </c>
      <c r="T6" s="11">
        <v>0.8</v>
      </c>
      <c r="U6" s="11">
        <v>0.83</v>
      </c>
      <c r="V6" s="11">
        <v>0.86</v>
      </c>
      <c r="W6" s="11">
        <v>0.89</v>
      </c>
      <c r="X6" s="11">
        <v>0.54</v>
      </c>
      <c r="Y6" s="11">
        <v>0.96</v>
      </c>
      <c r="Z6" s="11">
        <v>0.94</v>
      </c>
      <c r="AA6" s="11">
        <v>1.04</v>
      </c>
      <c r="AB6" s="11">
        <v>0.87</v>
      </c>
      <c r="AC6" s="11">
        <v>0.88</v>
      </c>
      <c r="AD6" s="11">
        <v>0.94</v>
      </c>
      <c r="AE6" s="11">
        <v>1</v>
      </c>
      <c r="AF6" s="11">
        <v>2.5099999999999998</v>
      </c>
      <c r="AG6" s="11">
        <v>1.1200000000000001</v>
      </c>
      <c r="AH6" s="11">
        <v>1.35</v>
      </c>
      <c r="AI6" s="11">
        <v>1.61</v>
      </c>
      <c r="AJ6" s="11">
        <v>2.64</v>
      </c>
      <c r="AK6" s="11">
        <v>2.61</v>
      </c>
      <c r="AL6" s="11">
        <v>2.34</v>
      </c>
      <c r="AM6" s="11">
        <v>2.4</v>
      </c>
      <c r="AN6" s="11">
        <v>2.23</v>
      </c>
      <c r="AO6" s="11">
        <v>2.63</v>
      </c>
      <c r="AP6" s="11">
        <v>2.7</v>
      </c>
      <c r="AQ6" s="11">
        <v>2.31</v>
      </c>
      <c r="AR6" s="11">
        <v>2.5099999999999998</v>
      </c>
      <c r="AS6" s="11">
        <v>2.29</v>
      </c>
      <c r="AT6" s="11">
        <v>2.2799999999999998</v>
      </c>
      <c r="AU6" s="11">
        <v>2.29</v>
      </c>
      <c r="AV6" s="23">
        <v>2.2999999999999998</v>
      </c>
      <c r="AW6" s="23">
        <v>2.3199999999999998</v>
      </c>
      <c r="AX6" s="23">
        <v>2.4900000000000002</v>
      </c>
      <c r="AY6" s="23">
        <v>2.94</v>
      </c>
      <c r="AZ6" s="23">
        <v>3.28</v>
      </c>
      <c r="BA6" s="23">
        <v>3.77</v>
      </c>
      <c r="BB6" s="23">
        <v>4.59</v>
      </c>
      <c r="BC6" s="32">
        <f t="shared" si="0"/>
        <v>0.82899999999999996</v>
      </c>
      <c r="BD6" s="20" t="s">
        <v>3</v>
      </c>
    </row>
    <row r="7" spans="1:56" x14ac:dyDescent="0.25">
      <c r="A7" s="2" t="s">
        <v>4</v>
      </c>
      <c r="B7" s="11">
        <v>5.36</v>
      </c>
      <c r="C7" s="11">
        <v>4.88</v>
      </c>
      <c r="D7" s="11">
        <v>5.25</v>
      </c>
      <c r="E7" s="11">
        <v>4.84</v>
      </c>
      <c r="F7" s="11">
        <v>4.68</v>
      </c>
      <c r="G7" s="11">
        <v>4.58</v>
      </c>
      <c r="H7" s="11">
        <v>4.91</v>
      </c>
      <c r="I7" s="11">
        <v>5.56</v>
      </c>
      <c r="J7" s="11">
        <v>5.61</v>
      </c>
      <c r="K7" s="11">
        <v>5.65</v>
      </c>
      <c r="L7" s="11">
        <v>5.8</v>
      </c>
      <c r="M7" s="11">
        <v>5.86</v>
      </c>
      <c r="N7" s="11">
        <v>6.17</v>
      </c>
      <c r="O7" s="11">
        <v>6.84</v>
      </c>
      <c r="P7" s="11">
        <v>6.78</v>
      </c>
      <c r="Q7" s="11">
        <v>6.73</v>
      </c>
      <c r="R7" s="11">
        <v>6.63</v>
      </c>
      <c r="S7" s="11">
        <v>6.88</v>
      </c>
      <c r="T7" s="11">
        <v>6.79</v>
      </c>
      <c r="U7" s="11">
        <v>7.3</v>
      </c>
      <c r="V7" s="11">
        <v>7.23</v>
      </c>
      <c r="W7" s="11">
        <v>7.77</v>
      </c>
      <c r="X7" s="11">
        <v>7.94</v>
      </c>
      <c r="Y7" s="11">
        <v>7.74</v>
      </c>
      <c r="Z7" s="11">
        <v>7.28</v>
      </c>
      <c r="AA7" s="11">
        <v>7.17</v>
      </c>
      <c r="AB7" s="11">
        <v>6.45</v>
      </c>
      <c r="AC7" s="11">
        <v>6.71</v>
      </c>
      <c r="AD7" s="11">
        <v>6.72</v>
      </c>
      <c r="AE7" s="11">
        <v>6.41</v>
      </c>
      <c r="AF7" s="11">
        <v>7.39</v>
      </c>
      <c r="AG7" s="11">
        <v>6.94</v>
      </c>
      <c r="AH7" s="11">
        <v>7.39</v>
      </c>
      <c r="AI7" s="11">
        <v>7.32</v>
      </c>
      <c r="AJ7" s="11">
        <v>7.42</v>
      </c>
      <c r="AK7" s="11">
        <v>7.59</v>
      </c>
      <c r="AL7" s="11">
        <v>7.16</v>
      </c>
      <c r="AM7" s="11">
        <v>6.7</v>
      </c>
      <c r="AN7" s="11">
        <v>6.47</v>
      </c>
      <c r="AO7" s="11">
        <v>7.35</v>
      </c>
      <c r="AP7" s="11">
        <v>7.35</v>
      </c>
      <c r="AQ7" s="11">
        <v>6.66</v>
      </c>
      <c r="AR7" s="11">
        <v>7.71</v>
      </c>
      <c r="AS7" s="11">
        <v>7.43</v>
      </c>
      <c r="AT7" s="11">
        <v>7.52</v>
      </c>
      <c r="AU7" s="11">
        <v>7.46</v>
      </c>
      <c r="AV7" s="23">
        <v>7.58</v>
      </c>
      <c r="AW7" s="23">
        <v>7.34</v>
      </c>
      <c r="AX7" s="23">
        <v>8.43</v>
      </c>
      <c r="AY7" s="23">
        <v>10.51</v>
      </c>
      <c r="AZ7" s="23">
        <v>8.42</v>
      </c>
      <c r="BA7" s="23">
        <v>8.0399999999999991</v>
      </c>
      <c r="BB7" s="23">
        <v>12.1</v>
      </c>
      <c r="BC7" s="32">
        <f t="shared" si="0"/>
        <v>0.56899999999999995</v>
      </c>
      <c r="BD7" s="20" t="s">
        <v>4</v>
      </c>
    </row>
    <row r="8" spans="1:56" x14ac:dyDescent="0.25">
      <c r="A8" s="2" t="s">
        <v>5</v>
      </c>
      <c r="B8" s="11">
        <v>2.75</v>
      </c>
      <c r="C8" s="11">
        <v>2.88</v>
      </c>
      <c r="D8" s="11">
        <v>2.92</v>
      </c>
      <c r="E8" s="11">
        <v>2.87</v>
      </c>
      <c r="F8" s="11">
        <v>2.93</v>
      </c>
      <c r="G8" s="11">
        <v>3.04</v>
      </c>
      <c r="H8" s="11">
        <v>3</v>
      </c>
      <c r="I8" s="11">
        <v>3.3</v>
      </c>
      <c r="J8" s="11">
        <v>3.49</v>
      </c>
      <c r="K8" s="11">
        <v>3.48</v>
      </c>
      <c r="L8" s="11">
        <v>3.66</v>
      </c>
      <c r="M8" s="11">
        <v>2.96</v>
      </c>
      <c r="N8" s="11">
        <v>2.84</v>
      </c>
      <c r="O8" s="11">
        <v>2.96</v>
      </c>
      <c r="P8" s="11">
        <v>2.91</v>
      </c>
      <c r="Q8" s="11">
        <v>3.1</v>
      </c>
      <c r="R8" s="11">
        <v>3.2</v>
      </c>
      <c r="S8" s="11">
        <v>3.2</v>
      </c>
      <c r="T8" s="11">
        <v>3.3</v>
      </c>
      <c r="U8" s="11">
        <v>3.49</v>
      </c>
      <c r="V8" s="11">
        <v>4.13</v>
      </c>
      <c r="W8" s="11">
        <v>3.94</v>
      </c>
      <c r="X8" s="11">
        <v>3.95</v>
      </c>
      <c r="Y8" s="11">
        <v>4.5599999999999996</v>
      </c>
      <c r="Z8" s="11">
        <v>4.8600000000000003</v>
      </c>
      <c r="AA8" s="11">
        <v>4.78</v>
      </c>
      <c r="AB8" s="11">
        <v>4.96</v>
      </c>
      <c r="AC8" s="11">
        <v>4.92</v>
      </c>
      <c r="AD8" s="11">
        <v>4.8899999999999997</v>
      </c>
      <c r="AE8" s="11">
        <v>4.88</v>
      </c>
      <c r="AF8" s="11">
        <v>5.14</v>
      </c>
      <c r="AG8" s="11">
        <v>4.9000000000000004</v>
      </c>
      <c r="AH8" s="11">
        <v>5.07</v>
      </c>
      <c r="AI8" s="11">
        <v>5.46</v>
      </c>
      <c r="AJ8" s="11">
        <v>5.33</v>
      </c>
      <c r="AK8" s="11">
        <v>4.84</v>
      </c>
      <c r="AL8" s="11">
        <v>4.59</v>
      </c>
      <c r="AM8" s="11">
        <v>4.13</v>
      </c>
      <c r="AN8" s="11">
        <v>3.81</v>
      </c>
      <c r="AO8" s="11">
        <v>4.74</v>
      </c>
      <c r="AP8" s="11">
        <v>4.18</v>
      </c>
      <c r="AQ8" s="11">
        <v>3.94</v>
      </c>
      <c r="AR8" s="11">
        <v>4.68</v>
      </c>
      <c r="AS8" s="11">
        <v>4.78</v>
      </c>
      <c r="AT8" s="11">
        <v>5.0599999999999996</v>
      </c>
      <c r="AU8" s="11">
        <v>5.0599999999999996</v>
      </c>
      <c r="AV8" s="23">
        <v>5.03</v>
      </c>
      <c r="AW8" s="23">
        <v>4.99</v>
      </c>
      <c r="AX8" s="23">
        <v>4.8899999999999997</v>
      </c>
      <c r="AY8" s="23">
        <v>5.42</v>
      </c>
      <c r="AZ8" s="23">
        <v>5.04</v>
      </c>
      <c r="BA8" s="23">
        <v>3.57</v>
      </c>
      <c r="BB8" s="23">
        <v>5.57</v>
      </c>
      <c r="BC8" s="32">
        <f t="shared" si="0"/>
        <v>0.19</v>
      </c>
      <c r="BD8" s="20" t="s">
        <v>5</v>
      </c>
    </row>
    <row r="9" spans="1:56" x14ac:dyDescent="0.25">
      <c r="A9" s="2" t="s">
        <v>6</v>
      </c>
      <c r="B9" s="11">
        <v>0.54</v>
      </c>
      <c r="C9" s="11">
        <v>0.57999999999999996</v>
      </c>
      <c r="D9" s="11">
        <v>0.62</v>
      </c>
      <c r="E9" s="11">
        <v>0.56999999999999995</v>
      </c>
      <c r="F9" s="11">
        <v>0.52</v>
      </c>
      <c r="G9" s="11">
        <v>0.52</v>
      </c>
      <c r="H9" s="11">
        <v>0.62</v>
      </c>
      <c r="I9" s="11">
        <v>0.72</v>
      </c>
      <c r="J9" s="11">
        <v>0.74</v>
      </c>
      <c r="K9" s="11">
        <v>0.66</v>
      </c>
      <c r="L9" s="11">
        <v>0.7</v>
      </c>
      <c r="M9" s="11">
        <v>0.74</v>
      </c>
      <c r="N9" s="11">
        <v>0.87</v>
      </c>
      <c r="O9" s="11">
        <v>1</v>
      </c>
      <c r="P9" s="11">
        <v>1.01</v>
      </c>
      <c r="Q9" s="11">
        <v>1.27</v>
      </c>
      <c r="R9" s="11">
        <v>1.33</v>
      </c>
      <c r="S9" s="11">
        <v>1.36</v>
      </c>
      <c r="T9" s="11">
        <v>1.32</v>
      </c>
      <c r="U9" s="11">
        <v>1.44</v>
      </c>
      <c r="V9" s="11">
        <v>1.59</v>
      </c>
      <c r="W9" s="11">
        <v>1.66</v>
      </c>
      <c r="X9" s="11">
        <v>2.08</v>
      </c>
      <c r="Y9" s="11">
        <v>2.14</v>
      </c>
      <c r="Z9" s="11">
        <v>2.23</v>
      </c>
      <c r="AA9" s="11">
        <v>2.64</v>
      </c>
      <c r="AB9" s="11">
        <v>2.59</v>
      </c>
      <c r="AC9" s="11">
        <v>2.7</v>
      </c>
      <c r="AD9" s="11">
        <v>2.93</v>
      </c>
      <c r="AE9" s="11">
        <v>3.12</v>
      </c>
      <c r="AF9" s="11">
        <v>3.4</v>
      </c>
      <c r="AG9" s="11">
        <v>3.94</v>
      </c>
      <c r="AH9" s="11">
        <v>3.91</v>
      </c>
      <c r="AI9" s="11">
        <v>3.89</v>
      </c>
      <c r="AJ9" s="11">
        <v>4.1900000000000004</v>
      </c>
      <c r="AK9" s="11">
        <v>4.12</v>
      </c>
      <c r="AL9" s="11">
        <v>3.77</v>
      </c>
      <c r="AM9" s="11">
        <v>3.84</v>
      </c>
      <c r="AN9" s="11">
        <v>3.89</v>
      </c>
      <c r="AO9" s="11">
        <v>4.5599999999999996</v>
      </c>
      <c r="AP9" s="11">
        <v>4.2699999999999996</v>
      </c>
      <c r="AQ9" s="11">
        <v>4.1399999999999997</v>
      </c>
      <c r="AR9" s="11">
        <v>4.25</v>
      </c>
      <c r="AS9" s="11">
        <v>4.0599999999999996</v>
      </c>
      <c r="AT9" s="11">
        <v>4.5</v>
      </c>
      <c r="AU9" s="11">
        <v>4.43</v>
      </c>
      <c r="AV9" s="23">
        <v>4.79</v>
      </c>
      <c r="AW9" s="23">
        <v>4.34</v>
      </c>
      <c r="AX9" s="23">
        <v>4.5</v>
      </c>
      <c r="AY9" s="23">
        <v>4.63</v>
      </c>
      <c r="AZ9" s="23">
        <v>5.91</v>
      </c>
      <c r="BA9" s="23">
        <f>5.349+0.7155</f>
        <v>6.06</v>
      </c>
      <c r="BB9" s="23">
        <f>4.83+0.904</f>
        <v>5.73</v>
      </c>
      <c r="BC9" s="32">
        <f t="shared" si="0"/>
        <v>0.34799999999999998</v>
      </c>
      <c r="BD9" s="20" t="s">
        <v>6</v>
      </c>
    </row>
    <row r="10" spans="1:56" x14ac:dyDescent="0.25">
      <c r="A10" s="2" t="s">
        <v>7</v>
      </c>
      <c r="B10" s="11">
        <v>8.7200000000000006</v>
      </c>
      <c r="C10" s="11">
        <v>8.01</v>
      </c>
      <c r="D10" s="11">
        <v>7.47</v>
      </c>
      <c r="E10" s="11">
        <v>6.76</v>
      </c>
      <c r="F10" s="11">
        <v>7.2</v>
      </c>
      <c r="G10" s="11">
        <v>7.17</v>
      </c>
      <c r="H10" s="11">
        <v>8.07</v>
      </c>
      <c r="I10" s="11">
        <v>7.68</v>
      </c>
      <c r="J10" s="11">
        <v>8.25</v>
      </c>
      <c r="K10" s="11">
        <v>8.11</v>
      </c>
      <c r="L10" s="11">
        <v>8.2100000000000009</v>
      </c>
      <c r="M10" s="11">
        <v>8.11</v>
      </c>
      <c r="N10" s="11">
        <v>8.3699999999999992</v>
      </c>
      <c r="O10" s="11">
        <v>8.32</v>
      </c>
      <c r="P10" s="11">
        <v>8.2799999999999994</v>
      </c>
      <c r="Q10" s="11">
        <v>7.99</v>
      </c>
      <c r="R10" s="11">
        <v>8.09</v>
      </c>
      <c r="S10" s="11">
        <v>8.26</v>
      </c>
      <c r="T10" s="11">
        <v>8.1</v>
      </c>
      <c r="U10" s="11">
        <v>8.74</v>
      </c>
      <c r="V10" s="11">
        <v>8.0299999999999994</v>
      </c>
      <c r="W10" s="11">
        <v>9.06</v>
      </c>
      <c r="X10" s="11">
        <v>8.9</v>
      </c>
      <c r="Y10" s="11">
        <v>9.6199999999999992</v>
      </c>
      <c r="Z10" s="11">
        <v>9.3699999999999992</v>
      </c>
      <c r="AA10" s="11">
        <v>9.57</v>
      </c>
      <c r="AB10" s="11">
        <v>9.34</v>
      </c>
      <c r="AC10" s="11">
        <v>9.19</v>
      </c>
      <c r="AD10" s="11">
        <v>9.41</v>
      </c>
      <c r="AE10" s="11">
        <v>9.8699999999999992</v>
      </c>
      <c r="AF10" s="11">
        <v>9.8000000000000007</v>
      </c>
      <c r="AG10" s="11">
        <v>12.36</v>
      </c>
      <c r="AH10" s="11">
        <v>12.28</v>
      </c>
      <c r="AI10" s="11">
        <v>12.25</v>
      </c>
      <c r="AJ10" s="11">
        <v>12.63</v>
      </c>
      <c r="AK10" s="11">
        <v>11.81</v>
      </c>
      <c r="AL10" s="11">
        <v>11.62</v>
      </c>
      <c r="AM10" s="11">
        <v>11.72</v>
      </c>
      <c r="AN10" s="11">
        <v>11.46</v>
      </c>
      <c r="AO10" s="11">
        <v>12.98</v>
      </c>
      <c r="AP10" s="11">
        <v>13.87</v>
      </c>
      <c r="AQ10" s="11">
        <v>12.34</v>
      </c>
      <c r="AR10" s="11">
        <v>13.73</v>
      </c>
      <c r="AS10" s="11">
        <v>12.95</v>
      </c>
      <c r="AT10" s="11">
        <v>13.79</v>
      </c>
      <c r="AU10" s="11">
        <v>13.74</v>
      </c>
      <c r="AV10" s="23">
        <v>14.53</v>
      </c>
      <c r="AW10" s="23">
        <v>14.48</v>
      </c>
      <c r="AX10" s="23">
        <v>14.72</v>
      </c>
      <c r="AY10" s="23">
        <v>16.350000000000001</v>
      </c>
      <c r="AZ10" s="23">
        <v>13.22</v>
      </c>
      <c r="BA10" s="23">
        <v>13.37</v>
      </c>
      <c r="BB10" s="23">
        <v>15.5</v>
      </c>
      <c r="BC10" s="32">
        <f t="shared" si="0"/>
        <v>0.129</v>
      </c>
      <c r="BD10" s="20" t="s">
        <v>7</v>
      </c>
    </row>
    <row r="11" spans="1:56" x14ac:dyDescent="0.25">
      <c r="A11" s="2" t="s">
        <v>8</v>
      </c>
      <c r="B11" s="11">
        <v>1.2</v>
      </c>
      <c r="C11" s="11">
        <v>1.64</v>
      </c>
      <c r="D11" s="11">
        <v>1.58</v>
      </c>
      <c r="E11" s="11">
        <v>1.48</v>
      </c>
      <c r="F11" s="11">
        <v>1.35</v>
      </c>
      <c r="G11" s="11">
        <v>1.26</v>
      </c>
      <c r="H11" s="11">
        <v>1.53</v>
      </c>
      <c r="I11" s="11">
        <v>1.55</v>
      </c>
      <c r="J11" s="11">
        <v>1.67</v>
      </c>
      <c r="K11" s="11">
        <v>1.66</v>
      </c>
      <c r="L11" s="11">
        <v>1.52</v>
      </c>
      <c r="M11" s="11">
        <v>1.32</v>
      </c>
      <c r="N11" s="11">
        <v>0.95</v>
      </c>
      <c r="O11" s="11">
        <v>1.03</v>
      </c>
      <c r="P11" s="11">
        <v>1</v>
      </c>
      <c r="Q11" s="11">
        <v>1.02</v>
      </c>
      <c r="R11" s="11">
        <v>0.9</v>
      </c>
      <c r="S11" s="11">
        <v>1.02</v>
      </c>
      <c r="T11" s="11">
        <v>1</v>
      </c>
      <c r="U11" s="11">
        <v>1.08</v>
      </c>
      <c r="V11" s="11">
        <v>1.2</v>
      </c>
      <c r="W11" s="11">
        <v>1.34</v>
      </c>
      <c r="X11" s="11">
        <v>1.23</v>
      </c>
      <c r="Y11" s="11">
        <v>1.18</v>
      </c>
      <c r="Z11" s="11">
        <v>1.1100000000000001</v>
      </c>
      <c r="AA11" s="11">
        <v>1.1299999999999999</v>
      </c>
      <c r="AB11" s="11">
        <v>1.08</v>
      </c>
      <c r="AC11" s="11">
        <v>1.1200000000000001</v>
      </c>
      <c r="AD11" s="11">
        <v>1.28</v>
      </c>
      <c r="AE11" s="11">
        <v>1.35</v>
      </c>
      <c r="AF11" s="11">
        <v>1.63</v>
      </c>
      <c r="AG11" s="11">
        <v>1.52</v>
      </c>
      <c r="AH11" s="11">
        <v>1.54</v>
      </c>
      <c r="AI11" s="11">
        <v>1.5</v>
      </c>
      <c r="AJ11" s="11">
        <v>1.55</v>
      </c>
      <c r="AK11" s="11">
        <v>1.52</v>
      </c>
      <c r="AL11" s="11">
        <v>1.51</v>
      </c>
      <c r="AM11" s="11">
        <v>1.5</v>
      </c>
      <c r="AN11" s="11">
        <v>1.25</v>
      </c>
      <c r="AO11" s="11">
        <v>1.46</v>
      </c>
      <c r="AP11" s="11">
        <v>1.5</v>
      </c>
      <c r="AQ11" s="11">
        <v>1.55</v>
      </c>
      <c r="AR11" s="11">
        <v>1.36</v>
      </c>
      <c r="AS11" s="11">
        <v>1.47</v>
      </c>
      <c r="AT11" s="11">
        <v>1.67</v>
      </c>
      <c r="AU11" s="11">
        <v>1.31</v>
      </c>
      <c r="AV11" s="23">
        <v>1.39</v>
      </c>
      <c r="AW11" s="23">
        <v>1.1399999999999999</v>
      </c>
      <c r="AX11" s="23">
        <v>1.1100000000000001</v>
      </c>
      <c r="AY11" s="23">
        <v>1.24</v>
      </c>
      <c r="AZ11" s="23">
        <v>1.1399999999999999</v>
      </c>
      <c r="BA11" s="23">
        <v>1.37</v>
      </c>
      <c r="BB11" s="23">
        <v>1.92</v>
      </c>
      <c r="BC11" s="32">
        <f t="shared" si="0"/>
        <v>0.41199999999999998</v>
      </c>
      <c r="BD11" s="20" t="s">
        <v>8</v>
      </c>
    </row>
    <row r="12" spans="1:56" x14ac:dyDescent="0.25">
      <c r="A12" s="2" t="s">
        <v>12</v>
      </c>
      <c r="B12" s="11">
        <v>0.43</v>
      </c>
      <c r="C12" s="11">
        <v>0.49</v>
      </c>
      <c r="D12" s="11">
        <v>0.6</v>
      </c>
      <c r="E12" s="11">
        <v>0.95</v>
      </c>
      <c r="F12" s="11">
        <v>0.71</v>
      </c>
      <c r="G12" s="11">
        <v>0.7</v>
      </c>
      <c r="H12" s="11">
        <v>0.7</v>
      </c>
      <c r="I12" s="11">
        <v>0.65</v>
      </c>
      <c r="J12" s="11">
        <v>0.71</v>
      </c>
      <c r="K12" s="11">
        <v>0.9</v>
      </c>
      <c r="L12" s="11">
        <v>1.02</v>
      </c>
      <c r="M12" s="11">
        <v>1.01</v>
      </c>
      <c r="N12" s="11">
        <v>0.71</v>
      </c>
      <c r="O12" s="11">
        <v>0.76</v>
      </c>
      <c r="P12" s="11">
        <v>0.76</v>
      </c>
      <c r="Q12" s="11">
        <v>0.76</v>
      </c>
      <c r="R12" s="11">
        <v>0.82</v>
      </c>
      <c r="S12" s="11">
        <v>0.93</v>
      </c>
      <c r="T12" s="11">
        <v>1.08</v>
      </c>
      <c r="U12" s="11">
        <v>1.26</v>
      </c>
      <c r="V12" s="11">
        <v>1.26</v>
      </c>
      <c r="W12" s="11">
        <v>1.66</v>
      </c>
      <c r="X12" s="11">
        <v>1.44</v>
      </c>
      <c r="Y12" s="11">
        <v>1.98</v>
      </c>
      <c r="Z12" s="11">
        <v>1.81</v>
      </c>
      <c r="AA12" s="11">
        <v>1.51</v>
      </c>
      <c r="AB12" s="11">
        <v>1.35</v>
      </c>
      <c r="AC12" s="11">
        <v>1.47</v>
      </c>
      <c r="AD12" s="11">
        <v>1.54</v>
      </c>
      <c r="AE12" s="11">
        <v>1.9</v>
      </c>
      <c r="AF12" s="11">
        <v>1.79</v>
      </c>
      <c r="AG12" s="11">
        <v>1.88</v>
      </c>
      <c r="AH12" s="11">
        <v>1.89</v>
      </c>
      <c r="AI12" s="11">
        <v>1.94</v>
      </c>
      <c r="AJ12" s="11">
        <v>2.73</v>
      </c>
      <c r="AK12" s="11">
        <v>2.89</v>
      </c>
      <c r="AL12" s="11">
        <v>3.3</v>
      </c>
      <c r="AM12" s="11">
        <v>1.83</v>
      </c>
      <c r="AN12" s="11">
        <v>2.78</v>
      </c>
      <c r="AO12" s="11">
        <v>4.6900000000000004</v>
      </c>
      <c r="AP12" s="11">
        <v>3.46</v>
      </c>
      <c r="AQ12" s="11">
        <v>4.17</v>
      </c>
      <c r="AR12" s="11">
        <v>3.07</v>
      </c>
      <c r="AS12" s="11">
        <v>2.36</v>
      </c>
      <c r="AT12" s="11">
        <v>2.57</v>
      </c>
      <c r="AU12" s="11">
        <v>3.78</v>
      </c>
      <c r="AV12" s="23">
        <v>3.93</v>
      </c>
      <c r="AW12" s="23">
        <v>5.04</v>
      </c>
      <c r="AX12" s="23">
        <v>4.08</v>
      </c>
      <c r="AY12" s="23">
        <v>4.71</v>
      </c>
      <c r="AZ12" s="34">
        <v>5.7720000000000002</v>
      </c>
      <c r="BA12" s="34">
        <v>11.872999999999999</v>
      </c>
      <c r="BB12" s="34">
        <v>6.7960000000000003</v>
      </c>
      <c r="BC12" s="32">
        <f t="shared" si="0"/>
        <v>1.214</v>
      </c>
      <c r="BD12" s="2" t="s">
        <v>12</v>
      </c>
    </row>
    <row r="13" spans="1:56" ht="4.5" customHeight="1" x14ac:dyDescent="0.25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24"/>
      <c r="AW13" s="24"/>
      <c r="AX13" s="24"/>
      <c r="AY13" s="24"/>
      <c r="AZ13" s="24"/>
      <c r="BA13" s="24"/>
      <c r="BB13" s="24"/>
      <c r="BC13" s="32"/>
      <c r="BD13" s="20"/>
    </row>
    <row r="14" spans="1:56" s="1" customFormat="1" x14ac:dyDescent="0.25">
      <c r="A14" s="1" t="s">
        <v>9</v>
      </c>
      <c r="B14" s="13">
        <v>27.76</v>
      </c>
      <c r="C14" s="13">
        <v>27.62</v>
      </c>
      <c r="D14" s="13">
        <v>28.55</v>
      </c>
      <c r="E14" s="13">
        <v>27.52</v>
      </c>
      <c r="F14" s="13">
        <v>28.43</v>
      </c>
      <c r="G14" s="13">
        <v>28.08</v>
      </c>
      <c r="H14" s="13">
        <v>29.72</v>
      </c>
      <c r="I14" s="13">
        <v>30.98</v>
      </c>
      <c r="J14" s="13">
        <v>32.74</v>
      </c>
      <c r="K14" s="13">
        <v>33.22</v>
      </c>
      <c r="L14" s="13">
        <v>33.64</v>
      </c>
      <c r="M14" s="13">
        <v>32.26</v>
      </c>
      <c r="N14" s="13">
        <v>32.159999999999997</v>
      </c>
      <c r="O14" s="13">
        <v>33.729999999999997</v>
      </c>
      <c r="P14" s="13">
        <v>34.22</v>
      </c>
      <c r="Q14" s="13">
        <v>35.659999999999997</v>
      </c>
      <c r="R14" s="13">
        <v>35.68</v>
      </c>
      <c r="S14" s="13">
        <v>37.94</v>
      </c>
      <c r="T14" s="13">
        <v>38.21</v>
      </c>
      <c r="U14" s="13">
        <v>40.880000000000003</v>
      </c>
      <c r="V14" s="13">
        <v>41.07</v>
      </c>
      <c r="W14" s="14">
        <v>43.96</v>
      </c>
      <c r="X14" s="14">
        <v>43.82</v>
      </c>
      <c r="Y14" s="14">
        <v>47.02</v>
      </c>
      <c r="Z14" s="14">
        <v>46.9</v>
      </c>
      <c r="AA14" s="14">
        <v>47.64</v>
      </c>
      <c r="AB14" s="14">
        <v>46.47</v>
      </c>
      <c r="AC14" s="14">
        <v>47.44</v>
      </c>
      <c r="AD14" s="14">
        <v>49.35</v>
      </c>
      <c r="AE14" s="14">
        <v>52.83</v>
      </c>
      <c r="AF14" s="14">
        <v>59.4</v>
      </c>
      <c r="AG14" s="14">
        <v>67.44</v>
      </c>
      <c r="AH14" s="14">
        <v>71.260000000000005</v>
      </c>
      <c r="AI14" s="14">
        <v>74.45</v>
      </c>
      <c r="AJ14" s="14">
        <v>75.97</v>
      </c>
      <c r="AK14" s="14">
        <v>74.25</v>
      </c>
      <c r="AL14" s="14">
        <v>71.67</v>
      </c>
      <c r="AM14" s="14">
        <v>70.489999999999995</v>
      </c>
      <c r="AN14" s="14">
        <v>68.81</v>
      </c>
      <c r="AO14" s="14">
        <v>80.39</v>
      </c>
      <c r="AP14" s="14">
        <v>79.760000000000005</v>
      </c>
      <c r="AQ14" s="14">
        <v>71.239999999999995</v>
      </c>
      <c r="AR14" s="14">
        <v>74.59</v>
      </c>
      <c r="AS14" s="14">
        <v>70.400000000000006</v>
      </c>
      <c r="AT14" s="14">
        <v>73.31</v>
      </c>
      <c r="AU14" s="14">
        <v>73.150000000000006</v>
      </c>
      <c r="AV14" s="25">
        <v>75.94</v>
      </c>
      <c r="AW14" s="25">
        <v>77.680000000000007</v>
      </c>
      <c r="AX14" s="25">
        <v>79.81</v>
      </c>
      <c r="AY14" s="25">
        <v>86.8</v>
      </c>
      <c r="AZ14" s="25">
        <v>85.3</v>
      </c>
      <c r="BA14" s="25">
        <v>86.22</v>
      </c>
      <c r="BB14" s="25">
        <v>93.81</v>
      </c>
      <c r="BC14" s="33">
        <f>BB14/AR14-1</f>
        <v>0.25800000000000001</v>
      </c>
      <c r="BD14" s="21" t="s">
        <v>9</v>
      </c>
    </row>
    <row r="15" spans="1:56" x14ac:dyDescent="0.25">
      <c r="A15" s="9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6" x14ac:dyDescent="0.25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6" ht="12" x14ac:dyDescent="0.3">
      <c r="A17" s="6" t="s">
        <v>13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6" s="1" customFormat="1" x14ac:dyDescent="0.25">
      <c r="A18" s="7" t="s">
        <v>0</v>
      </c>
      <c r="B18" s="16">
        <v>1970</v>
      </c>
      <c r="C18" s="16">
        <v>1971</v>
      </c>
      <c r="D18" s="16">
        <v>1972</v>
      </c>
      <c r="E18" s="16">
        <v>1973</v>
      </c>
      <c r="F18" s="16">
        <v>1974</v>
      </c>
      <c r="G18" s="16">
        <v>1975</v>
      </c>
      <c r="H18" s="16">
        <v>1976</v>
      </c>
      <c r="I18" s="16">
        <v>1977</v>
      </c>
      <c r="J18" s="16">
        <v>1978</v>
      </c>
      <c r="K18" s="16">
        <v>1979</v>
      </c>
      <c r="L18" s="16">
        <v>1980</v>
      </c>
      <c r="M18" s="16">
        <v>1981</v>
      </c>
      <c r="N18" s="16">
        <v>1982</v>
      </c>
      <c r="O18" s="16">
        <v>1983</v>
      </c>
      <c r="P18" s="16">
        <v>1984</v>
      </c>
      <c r="Q18" s="16">
        <v>1985</v>
      </c>
      <c r="R18" s="16">
        <v>1986</v>
      </c>
      <c r="S18" s="16">
        <v>1987</v>
      </c>
      <c r="T18" s="16">
        <v>1988</v>
      </c>
      <c r="U18" s="16">
        <v>1989</v>
      </c>
      <c r="V18" s="16">
        <v>1990</v>
      </c>
      <c r="W18" s="16">
        <v>1991</v>
      </c>
      <c r="X18" s="16">
        <v>1992</v>
      </c>
      <c r="Y18" s="16">
        <v>1993</v>
      </c>
      <c r="Z18" s="16">
        <v>1994</v>
      </c>
      <c r="AA18" s="16">
        <v>1995</v>
      </c>
      <c r="AB18" s="16">
        <v>1996</v>
      </c>
      <c r="AC18" s="16">
        <v>1997</v>
      </c>
      <c r="AD18" s="16">
        <v>1998</v>
      </c>
      <c r="AE18" s="16">
        <v>1999</v>
      </c>
      <c r="AF18" s="16">
        <v>2000</v>
      </c>
      <c r="AG18" s="16">
        <v>2001</v>
      </c>
      <c r="AH18" s="16">
        <v>2002</v>
      </c>
      <c r="AI18" s="16">
        <v>2003</v>
      </c>
      <c r="AJ18" s="16">
        <v>2004</v>
      </c>
      <c r="AK18" s="16">
        <v>2005</v>
      </c>
      <c r="AL18" s="16">
        <v>2006</v>
      </c>
      <c r="AM18" s="16">
        <v>2007</v>
      </c>
      <c r="AN18" s="16">
        <v>2008</v>
      </c>
      <c r="AO18" s="16">
        <v>2009</v>
      </c>
      <c r="AP18" s="16">
        <v>2010</v>
      </c>
      <c r="AQ18" s="16">
        <v>2011</v>
      </c>
      <c r="AR18" s="16">
        <v>2012</v>
      </c>
      <c r="AS18" s="16">
        <v>2013</v>
      </c>
      <c r="AT18" s="16">
        <v>2014</v>
      </c>
      <c r="AU18" s="16">
        <v>2015</v>
      </c>
      <c r="AV18" s="30">
        <v>2016</v>
      </c>
      <c r="AW18" s="30">
        <v>2017</v>
      </c>
      <c r="AX18" s="29">
        <v>2018</v>
      </c>
      <c r="AY18" s="29">
        <v>2019</v>
      </c>
      <c r="AZ18" s="29">
        <v>2020</v>
      </c>
      <c r="BA18" s="29">
        <v>2021</v>
      </c>
      <c r="BB18" s="39">
        <v>2022</v>
      </c>
      <c r="BC18" s="38" t="s">
        <v>16</v>
      </c>
      <c r="BD18" s="18" t="s">
        <v>0</v>
      </c>
    </row>
    <row r="19" spans="1:56" x14ac:dyDescent="0.25">
      <c r="A19" s="2" t="s">
        <v>1</v>
      </c>
      <c r="B19" s="17">
        <v>0.14399999999999999</v>
      </c>
      <c r="C19" s="17">
        <v>0.161</v>
      </c>
      <c r="D19" s="17">
        <v>0.17899999999999999</v>
      </c>
      <c r="E19" s="17">
        <v>0.183</v>
      </c>
      <c r="F19" s="17">
        <v>0.218</v>
      </c>
      <c r="G19" s="17">
        <v>0.215</v>
      </c>
      <c r="H19" s="17">
        <v>0.21</v>
      </c>
      <c r="I19" s="17">
        <v>0.20899999999999999</v>
      </c>
      <c r="J19" s="17">
        <v>0.21</v>
      </c>
      <c r="K19" s="17">
        <v>0.214</v>
      </c>
      <c r="L19" s="17">
        <v>0.215</v>
      </c>
      <c r="M19" s="17">
        <v>0.217</v>
      </c>
      <c r="N19" s="17">
        <v>0.217</v>
      </c>
      <c r="O19" s="17">
        <v>0.22</v>
      </c>
      <c r="P19" s="17">
        <v>0.23599999999999999</v>
      </c>
      <c r="Q19" s="17">
        <v>0.248</v>
      </c>
      <c r="R19" s="17">
        <v>0.25</v>
      </c>
      <c r="S19" s="17">
        <v>0.27</v>
      </c>
      <c r="T19" s="17">
        <v>0.27200000000000002</v>
      </c>
      <c r="U19" s="17">
        <v>0.26200000000000001</v>
      </c>
      <c r="V19" s="17">
        <v>0.26400000000000001</v>
      </c>
      <c r="W19" s="17">
        <v>0.25</v>
      </c>
      <c r="X19" s="17">
        <v>0.27400000000000002</v>
      </c>
      <c r="Y19" s="17">
        <v>0.27600000000000002</v>
      </c>
      <c r="Z19" s="17">
        <v>0.28299999999999997</v>
      </c>
      <c r="AA19" s="17">
        <v>0.28199999999999997</v>
      </c>
      <c r="AB19" s="17">
        <v>0.30399999999999999</v>
      </c>
      <c r="AC19" s="17">
        <v>0.311</v>
      </c>
      <c r="AD19" s="17">
        <v>0.317</v>
      </c>
      <c r="AE19" s="17">
        <v>0.33300000000000002</v>
      </c>
      <c r="AF19" s="17">
        <v>0.34599999999999997</v>
      </c>
      <c r="AG19" s="17">
        <v>0.39200000000000002</v>
      </c>
      <c r="AH19" s="17">
        <v>0.41099999999999998</v>
      </c>
      <c r="AI19" s="17">
        <v>0.438</v>
      </c>
      <c r="AJ19" s="17">
        <v>0.41199999999999998</v>
      </c>
      <c r="AK19" s="17">
        <v>0.42</v>
      </c>
      <c r="AL19" s="17">
        <v>0.42199999999999999</v>
      </c>
      <c r="AM19" s="17">
        <v>0.439</v>
      </c>
      <c r="AN19" s="17">
        <v>0.434</v>
      </c>
      <c r="AO19" s="17">
        <v>0.42899999999999999</v>
      </c>
      <c r="AP19" s="17">
        <v>0.438</v>
      </c>
      <c r="AQ19" s="17">
        <v>0.41799999999999998</v>
      </c>
      <c r="AR19" s="17">
        <v>0.40500000000000003</v>
      </c>
      <c r="AS19" s="17">
        <v>0.39900000000000002</v>
      </c>
      <c r="AT19" s="17">
        <v>0.39200000000000002</v>
      </c>
      <c r="AU19" s="17">
        <v>0.38</v>
      </c>
      <c r="AV19" s="26">
        <v>0.38500000000000001</v>
      </c>
      <c r="AW19" s="26">
        <v>0.39100000000000001</v>
      </c>
      <c r="AX19" s="27">
        <f>AX4/AX$14</f>
        <v>0.39700000000000002</v>
      </c>
      <c r="AY19" s="27">
        <f t="shared" ref="AY19:BA19" si="1">AY4/AY$14</f>
        <v>0.378</v>
      </c>
      <c r="AZ19" s="27">
        <f t="shared" si="1"/>
        <v>0.40300000000000002</v>
      </c>
      <c r="BA19" s="26">
        <f t="shared" si="1"/>
        <v>0.33900000000000002</v>
      </c>
      <c r="BB19" s="27">
        <f t="shared" ref="BB19" si="2">BB4/BB$14</f>
        <v>0.317</v>
      </c>
      <c r="BC19" s="31">
        <f>BB19/AR19-1</f>
        <v>-0.217</v>
      </c>
      <c r="BD19" s="19" t="s">
        <v>1</v>
      </c>
    </row>
    <row r="20" spans="1:56" x14ac:dyDescent="0.25">
      <c r="A20" s="2" t="s">
        <v>2</v>
      </c>
      <c r="B20" s="17">
        <v>0.14899999999999999</v>
      </c>
      <c r="C20" s="17">
        <v>0.14799999999999999</v>
      </c>
      <c r="D20" s="17">
        <v>0.154</v>
      </c>
      <c r="E20" s="17">
        <v>0.16300000000000001</v>
      </c>
      <c r="F20" s="17">
        <v>0.14899999999999999</v>
      </c>
      <c r="G20" s="17">
        <v>0.14899999999999999</v>
      </c>
      <c r="H20" s="17">
        <v>0.13800000000000001</v>
      </c>
      <c r="I20" s="17">
        <v>0.14399999999999999</v>
      </c>
      <c r="J20" s="17">
        <v>0.14699999999999999</v>
      </c>
      <c r="K20" s="17">
        <v>0.151</v>
      </c>
      <c r="L20" s="17">
        <v>0.14699999999999999</v>
      </c>
      <c r="M20" s="17">
        <v>0.14599999999999999</v>
      </c>
      <c r="N20" s="17">
        <v>0.14799999999999999</v>
      </c>
      <c r="O20" s="17">
        <v>0.14299999999999999</v>
      </c>
      <c r="P20" s="17">
        <v>0.14000000000000001</v>
      </c>
      <c r="Q20" s="17">
        <v>0.14599999999999999</v>
      </c>
      <c r="R20" s="17">
        <v>0.14099999999999999</v>
      </c>
      <c r="S20" s="17">
        <v>0.13900000000000001</v>
      </c>
      <c r="T20" s="17">
        <v>0.14199999999999999</v>
      </c>
      <c r="U20" s="17">
        <v>0.14699999999999999</v>
      </c>
      <c r="V20" s="17">
        <v>0.14399999999999999</v>
      </c>
      <c r="W20" s="17">
        <v>0.151</v>
      </c>
      <c r="X20" s="17">
        <v>0.13100000000000001</v>
      </c>
      <c r="Y20" s="17">
        <v>0.125</v>
      </c>
      <c r="Z20" s="17">
        <v>0.128</v>
      </c>
      <c r="AA20" s="17">
        <v>0.13300000000000001</v>
      </c>
      <c r="AB20" s="17">
        <v>0.123</v>
      </c>
      <c r="AC20" s="17">
        <v>0.12</v>
      </c>
      <c r="AD20" s="17">
        <v>0.121</v>
      </c>
      <c r="AE20" s="17">
        <v>0.127</v>
      </c>
      <c r="AF20" s="17">
        <v>0.121</v>
      </c>
      <c r="AG20" s="17">
        <v>0.123</v>
      </c>
      <c r="AH20" s="17">
        <v>0.12</v>
      </c>
      <c r="AI20" s="17">
        <v>0.106</v>
      </c>
      <c r="AJ20" s="17">
        <v>0.107</v>
      </c>
      <c r="AK20" s="17">
        <v>0.104</v>
      </c>
      <c r="AL20" s="17">
        <v>9.9000000000000005E-2</v>
      </c>
      <c r="AM20" s="17">
        <v>0.105</v>
      </c>
      <c r="AN20" s="17">
        <v>0.10299999999999999</v>
      </c>
      <c r="AO20" s="17">
        <v>9.2999999999999999E-2</v>
      </c>
      <c r="AP20" s="17">
        <v>9.4E-2</v>
      </c>
      <c r="AQ20" s="17">
        <v>8.8999999999999996E-2</v>
      </c>
      <c r="AR20" s="17">
        <v>9.5000000000000001E-2</v>
      </c>
      <c r="AS20" s="17">
        <v>9.9000000000000005E-2</v>
      </c>
      <c r="AT20" s="17">
        <v>9.8000000000000004E-2</v>
      </c>
      <c r="AU20" s="17">
        <v>9.9000000000000005E-2</v>
      </c>
      <c r="AV20" s="27">
        <v>9.5000000000000001E-2</v>
      </c>
      <c r="AW20" s="27">
        <v>9.8000000000000004E-2</v>
      </c>
      <c r="AX20" s="27">
        <f t="shared" ref="AX20:BA27" si="3">AX5/AX$14</f>
        <v>9.9000000000000005E-2</v>
      </c>
      <c r="AY20" s="27">
        <f t="shared" si="3"/>
        <v>9.5000000000000001E-2</v>
      </c>
      <c r="AZ20" s="27">
        <f t="shared" si="3"/>
        <v>9.5000000000000001E-2</v>
      </c>
      <c r="BA20" s="27">
        <f t="shared" si="3"/>
        <v>0.10299999999999999</v>
      </c>
      <c r="BB20" s="27">
        <f t="shared" ref="BB20" si="4">BB5/BB$14</f>
        <v>0.127</v>
      </c>
      <c r="BC20" s="32">
        <f t="shared" ref="BC20:BC27" si="5">BB20/AR20-1</f>
        <v>0.33700000000000002</v>
      </c>
      <c r="BD20" s="20" t="s">
        <v>2</v>
      </c>
    </row>
    <row r="21" spans="1:56" x14ac:dyDescent="0.25">
      <c r="A21" s="2" t="s">
        <v>3</v>
      </c>
      <c r="B21" s="17">
        <v>2.1999999999999999E-2</v>
      </c>
      <c r="C21" s="17">
        <v>2.1000000000000001E-2</v>
      </c>
      <c r="D21" s="17">
        <v>2.1000000000000001E-2</v>
      </c>
      <c r="E21" s="17">
        <v>0.02</v>
      </c>
      <c r="F21" s="17">
        <v>2.1999999999999999E-2</v>
      </c>
      <c r="G21" s="17">
        <v>2.1000000000000001E-2</v>
      </c>
      <c r="H21" s="17">
        <v>1.9E-2</v>
      </c>
      <c r="I21" s="17">
        <v>1.7999999999999999E-2</v>
      </c>
      <c r="J21" s="17">
        <v>1.7999999999999999E-2</v>
      </c>
      <c r="K21" s="17">
        <v>1.9E-2</v>
      </c>
      <c r="L21" s="17">
        <v>1.7000000000000001E-2</v>
      </c>
      <c r="M21" s="17">
        <v>1.7000000000000001E-2</v>
      </c>
      <c r="N21" s="17">
        <v>1.7000000000000001E-2</v>
      </c>
      <c r="O21" s="17">
        <v>1.7000000000000001E-2</v>
      </c>
      <c r="P21" s="17">
        <v>1.7999999999999999E-2</v>
      </c>
      <c r="Q21" s="17">
        <v>0.02</v>
      </c>
      <c r="R21" s="17">
        <v>0.02</v>
      </c>
      <c r="S21" s="17">
        <v>2.1000000000000001E-2</v>
      </c>
      <c r="T21" s="17">
        <v>2.1000000000000001E-2</v>
      </c>
      <c r="U21" s="17">
        <v>0.02</v>
      </c>
      <c r="V21" s="17">
        <v>2.1000000000000001E-2</v>
      </c>
      <c r="W21" s="17">
        <v>0.02</v>
      </c>
      <c r="X21" s="17">
        <v>1.2E-2</v>
      </c>
      <c r="Y21" s="17">
        <v>0.02</v>
      </c>
      <c r="Z21" s="17">
        <v>0.02</v>
      </c>
      <c r="AA21" s="17">
        <v>2.1999999999999999E-2</v>
      </c>
      <c r="AB21" s="17">
        <v>1.9E-2</v>
      </c>
      <c r="AC21" s="17">
        <v>1.9E-2</v>
      </c>
      <c r="AD21" s="17">
        <v>1.9E-2</v>
      </c>
      <c r="AE21" s="17">
        <v>1.9E-2</v>
      </c>
      <c r="AF21" s="17">
        <v>4.2000000000000003E-2</v>
      </c>
      <c r="AG21" s="17">
        <v>1.7000000000000001E-2</v>
      </c>
      <c r="AH21" s="17">
        <v>1.9E-2</v>
      </c>
      <c r="AI21" s="17">
        <v>2.1999999999999999E-2</v>
      </c>
      <c r="AJ21" s="17">
        <v>3.5000000000000003E-2</v>
      </c>
      <c r="AK21" s="17">
        <v>3.5000000000000003E-2</v>
      </c>
      <c r="AL21" s="17">
        <v>3.3000000000000002E-2</v>
      </c>
      <c r="AM21" s="17">
        <v>3.4000000000000002E-2</v>
      </c>
      <c r="AN21" s="17">
        <v>3.2000000000000001E-2</v>
      </c>
      <c r="AO21" s="17">
        <v>3.3000000000000002E-2</v>
      </c>
      <c r="AP21" s="17">
        <v>3.4000000000000002E-2</v>
      </c>
      <c r="AQ21" s="17">
        <v>3.2000000000000001E-2</v>
      </c>
      <c r="AR21" s="17">
        <v>3.4000000000000002E-2</v>
      </c>
      <c r="AS21" s="17">
        <v>3.3000000000000002E-2</v>
      </c>
      <c r="AT21" s="17">
        <v>3.1E-2</v>
      </c>
      <c r="AU21" s="17">
        <v>3.1E-2</v>
      </c>
      <c r="AV21" s="27">
        <v>0.03</v>
      </c>
      <c r="AW21" s="27">
        <v>0.03</v>
      </c>
      <c r="AX21" s="27">
        <f t="shared" si="3"/>
        <v>3.1E-2</v>
      </c>
      <c r="AY21" s="27">
        <f t="shared" si="3"/>
        <v>3.4000000000000002E-2</v>
      </c>
      <c r="AZ21" s="27">
        <f t="shared" si="3"/>
        <v>3.7999999999999999E-2</v>
      </c>
      <c r="BA21" s="27">
        <f t="shared" si="3"/>
        <v>4.3999999999999997E-2</v>
      </c>
      <c r="BB21" s="27">
        <f t="shared" ref="BB21" si="6">BB6/BB$14</f>
        <v>4.9000000000000002E-2</v>
      </c>
      <c r="BC21" s="32">
        <f t="shared" si="5"/>
        <v>0.441</v>
      </c>
      <c r="BD21" s="20" t="s">
        <v>3</v>
      </c>
    </row>
    <row r="22" spans="1:56" x14ac:dyDescent="0.25">
      <c r="A22" s="2" t="s">
        <v>4</v>
      </c>
      <c r="B22" s="17">
        <v>0.193</v>
      </c>
      <c r="C22" s="17">
        <v>0.17699999999999999</v>
      </c>
      <c r="D22" s="17">
        <v>0.184</v>
      </c>
      <c r="E22" s="17">
        <v>0.17599999999999999</v>
      </c>
      <c r="F22" s="17">
        <v>0.16500000000000001</v>
      </c>
      <c r="G22" s="17">
        <v>0.16300000000000001</v>
      </c>
      <c r="H22" s="17">
        <v>0.16500000000000001</v>
      </c>
      <c r="I22" s="17">
        <v>0.18</v>
      </c>
      <c r="J22" s="17">
        <v>0.17100000000000001</v>
      </c>
      <c r="K22" s="17">
        <v>0.17</v>
      </c>
      <c r="L22" s="17">
        <v>0.17299999999999999</v>
      </c>
      <c r="M22" s="17">
        <v>0.182</v>
      </c>
      <c r="N22" s="17">
        <v>0.192</v>
      </c>
      <c r="O22" s="17">
        <v>0.20300000000000001</v>
      </c>
      <c r="P22" s="17">
        <v>0.19800000000000001</v>
      </c>
      <c r="Q22" s="17">
        <v>0.189</v>
      </c>
      <c r="R22" s="17">
        <v>0.186</v>
      </c>
      <c r="S22" s="17">
        <v>0.18099999999999999</v>
      </c>
      <c r="T22" s="17">
        <v>0.17799999999999999</v>
      </c>
      <c r="U22" s="17">
        <v>0.17799999999999999</v>
      </c>
      <c r="V22" s="17">
        <v>0.17599999999999999</v>
      </c>
      <c r="W22" s="17">
        <v>0.17699999999999999</v>
      </c>
      <c r="X22" s="17">
        <v>0.18099999999999999</v>
      </c>
      <c r="Y22" s="17">
        <v>0.16500000000000001</v>
      </c>
      <c r="Z22" s="17">
        <v>0.155</v>
      </c>
      <c r="AA22" s="17">
        <v>0.15</v>
      </c>
      <c r="AB22" s="17">
        <v>0.13900000000000001</v>
      </c>
      <c r="AC22" s="17">
        <v>0.14099999999999999</v>
      </c>
      <c r="AD22" s="17">
        <v>0.13600000000000001</v>
      </c>
      <c r="AE22" s="17">
        <v>0.121</v>
      </c>
      <c r="AF22" s="17">
        <v>0.124</v>
      </c>
      <c r="AG22" s="17">
        <v>0.10299999999999999</v>
      </c>
      <c r="AH22" s="17">
        <v>0.104</v>
      </c>
      <c r="AI22" s="17">
        <v>9.8000000000000004E-2</v>
      </c>
      <c r="AJ22" s="17">
        <v>9.8000000000000004E-2</v>
      </c>
      <c r="AK22" s="17">
        <v>0.10199999999999999</v>
      </c>
      <c r="AL22" s="17">
        <v>0.1</v>
      </c>
      <c r="AM22" s="17">
        <v>9.5000000000000001E-2</v>
      </c>
      <c r="AN22" s="17">
        <v>9.4E-2</v>
      </c>
      <c r="AO22" s="17">
        <v>9.0999999999999998E-2</v>
      </c>
      <c r="AP22" s="17">
        <v>9.1999999999999998E-2</v>
      </c>
      <c r="AQ22" s="17">
        <v>9.2999999999999999E-2</v>
      </c>
      <c r="AR22" s="17">
        <v>0.10299999999999999</v>
      </c>
      <c r="AS22" s="17">
        <v>0.106</v>
      </c>
      <c r="AT22" s="17">
        <v>0.10299999999999999</v>
      </c>
      <c r="AU22" s="17">
        <v>0.10199999999999999</v>
      </c>
      <c r="AV22" s="27">
        <v>0.1</v>
      </c>
      <c r="AW22" s="27">
        <v>9.5000000000000001E-2</v>
      </c>
      <c r="AX22" s="27">
        <f t="shared" si="3"/>
        <v>0.106</v>
      </c>
      <c r="AY22" s="27">
        <f t="shared" si="3"/>
        <v>0.121</v>
      </c>
      <c r="AZ22" s="27">
        <f t="shared" si="3"/>
        <v>9.9000000000000005E-2</v>
      </c>
      <c r="BA22" s="27">
        <f t="shared" si="3"/>
        <v>9.2999999999999999E-2</v>
      </c>
      <c r="BB22" s="27">
        <f t="shared" ref="BB22" si="7">BB7/BB$14</f>
        <v>0.129</v>
      </c>
      <c r="BC22" s="32">
        <f t="shared" si="5"/>
        <v>0.252</v>
      </c>
      <c r="BD22" s="20" t="s">
        <v>4</v>
      </c>
    </row>
    <row r="23" spans="1:56" x14ac:dyDescent="0.25">
      <c r="A23" s="2" t="s">
        <v>5</v>
      </c>
      <c r="B23" s="17">
        <v>9.9000000000000005E-2</v>
      </c>
      <c r="C23" s="17">
        <v>0.104</v>
      </c>
      <c r="D23" s="17">
        <v>0.10199999999999999</v>
      </c>
      <c r="E23" s="17">
        <v>0.104</v>
      </c>
      <c r="F23" s="17">
        <v>0.10299999999999999</v>
      </c>
      <c r="G23" s="17">
        <v>0.108</v>
      </c>
      <c r="H23" s="17">
        <v>0.10100000000000001</v>
      </c>
      <c r="I23" s="17">
        <v>0.106</v>
      </c>
      <c r="J23" s="17">
        <v>0.107</v>
      </c>
      <c r="K23" s="17">
        <v>0.105</v>
      </c>
      <c r="L23" s="17">
        <v>0.109</v>
      </c>
      <c r="M23" s="17">
        <v>9.1999999999999998E-2</v>
      </c>
      <c r="N23" s="17">
        <v>8.7999999999999995E-2</v>
      </c>
      <c r="O23" s="17">
        <v>8.7999999999999995E-2</v>
      </c>
      <c r="P23" s="17">
        <v>8.5000000000000006E-2</v>
      </c>
      <c r="Q23" s="17">
        <v>8.6999999999999994E-2</v>
      </c>
      <c r="R23" s="17">
        <v>0.09</v>
      </c>
      <c r="S23" s="17">
        <v>8.4000000000000005E-2</v>
      </c>
      <c r="T23" s="17">
        <v>8.5999999999999993E-2</v>
      </c>
      <c r="U23" s="17">
        <v>8.5000000000000006E-2</v>
      </c>
      <c r="V23" s="17">
        <v>0.10100000000000001</v>
      </c>
      <c r="W23" s="17">
        <v>0.09</v>
      </c>
      <c r="X23" s="17">
        <v>0.09</v>
      </c>
      <c r="Y23" s="17">
        <v>9.7000000000000003E-2</v>
      </c>
      <c r="Z23" s="17">
        <v>0.104</v>
      </c>
      <c r="AA23" s="17">
        <v>0.1</v>
      </c>
      <c r="AB23" s="17">
        <v>0.107</v>
      </c>
      <c r="AC23" s="17">
        <v>0.104</v>
      </c>
      <c r="AD23" s="17">
        <v>9.9000000000000005E-2</v>
      </c>
      <c r="AE23" s="17">
        <v>9.1999999999999998E-2</v>
      </c>
      <c r="AF23" s="17">
        <v>8.6999999999999994E-2</v>
      </c>
      <c r="AG23" s="17">
        <v>7.2999999999999995E-2</v>
      </c>
      <c r="AH23" s="17">
        <v>7.0999999999999994E-2</v>
      </c>
      <c r="AI23" s="17">
        <v>7.2999999999999995E-2</v>
      </c>
      <c r="AJ23" s="17">
        <v>7.0000000000000007E-2</v>
      </c>
      <c r="AK23" s="17">
        <v>6.5000000000000002E-2</v>
      </c>
      <c r="AL23" s="17">
        <v>6.4000000000000001E-2</v>
      </c>
      <c r="AM23" s="17">
        <v>5.8999999999999997E-2</v>
      </c>
      <c r="AN23" s="17">
        <v>5.5E-2</v>
      </c>
      <c r="AO23" s="17">
        <v>5.8999999999999997E-2</v>
      </c>
      <c r="AP23" s="17">
        <v>5.1999999999999998E-2</v>
      </c>
      <c r="AQ23" s="17">
        <v>5.5E-2</v>
      </c>
      <c r="AR23" s="17">
        <v>6.3E-2</v>
      </c>
      <c r="AS23" s="17">
        <v>6.8000000000000005E-2</v>
      </c>
      <c r="AT23" s="17">
        <v>6.9000000000000006E-2</v>
      </c>
      <c r="AU23" s="17">
        <v>6.9000000000000006E-2</v>
      </c>
      <c r="AV23" s="27">
        <v>6.6000000000000003E-2</v>
      </c>
      <c r="AW23" s="27">
        <v>6.4000000000000001E-2</v>
      </c>
      <c r="AX23" s="27">
        <f t="shared" si="3"/>
        <v>6.0999999999999999E-2</v>
      </c>
      <c r="AY23" s="27">
        <f t="shared" si="3"/>
        <v>6.2E-2</v>
      </c>
      <c r="AZ23" s="27">
        <f t="shared" si="3"/>
        <v>5.8999999999999997E-2</v>
      </c>
      <c r="BA23" s="27">
        <f t="shared" si="3"/>
        <v>4.1000000000000002E-2</v>
      </c>
      <c r="BB23" s="27">
        <f t="shared" ref="BB23" si="8">BB8/BB$14</f>
        <v>5.8999999999999997E-2</v>
      </c>
      <c r="BC23" s="32">
        <f t="shared" si="5"/>
        <v>-6.3E-2</v>
      </c>
      <c r="BD23" s="20" t="s">
        <v>5</v>
      </c>
    </row>
    <row r="24" spans="1:56" x14ac:dyDescent="0.25">
      <c r="A24" s="2" t="s">
        <v>6</v>
      </c>
      <c r="B24" s="17">
        <v>1.9E-2</v>
      </c>
      <c r="C24" s="17">
        <v>2.1000000000000001E-2</v>
      </c>
      <c r="D24" s="17">
        <v>2.1999999999999999E-2</v>
      </c>
      <c r="E24" s="17">
        <v>2.1000000000000001E-2</v>
      </c>
      <c r="F24" s="17">
        <v>1.9E-2</v>
      </c>
      <c r="G24" s="17">
        <v>1.9E-2</v>
      </c>
      <c r="H24" s="17">
        <v>2.1000000000000001E-2</v>
      </c>
      <c r="I24" s="17">
        <v>2.3E-2</v>
      </c>
      <c r="J24" s="17">
        <v>2.3E-2</v>
      </c>
      <c r="K24" s="17">
        <v>0.02</v>
      </c>
      <c r="L24" s="17">
        <v>2.1000000000000001E-2</v>
      </c>
      <c r="M24" s="17">
        <v>2.3E-2</v>
      </c>
      <c r="N24" s="17">
        <v>2.7E-2</v>
      </c>
      <c r="O24" s="17">
        <v>2.9000000000000001E-2</v>
      </c>
      <c r="P24" s="17">
        <v>2.9000000000000001E-2</v>
      </c>
      <c r="Q24" s="17">
        <v>3.5999999999999997E-2</v>
      </c>
      <c r="R24" s="17">
        <v>3.6999999999999998E-2</v>
      </c>
      <c r="S24" s="17">
        <v>3.5999999999999997E-2</v>
      </c>
      <c r="T24" s="17">
        <v>3.4000000000000002E-2</v>
      </c>
      <c r="U24" s="17">
        <v>3.5000000000000003E-2</v>
      </c>
      <c r="V24" s="17">
        <v>3.9E-2</v>
      </c>
      <c r="W24" s="17">
        <v>3.7999999999999999E-2</v>
      </c>
      <c r="X24" s="17">
        <v>4.7E-2</v>
      </c>
      <c r="Y24" s="17">
        <v>4.5999999999999999E-2</v>
      </c>
      <c r="Z24" s="17">
        <v>4.7E-2</v>
      </c>
      <c r="AA24" s="17">
        <v>5.6000000000000001E-2</v>
      </c>
      <c r="AB24" s="17">
        <v>5.6000000000000001E-2</v>
      </c>
      <c r="AC24" s="17">
        <v>5.7000000000000002E-2</v>
      </c>
      <c r="AD24" s="17">
        <v>5.8999999999999997E-2</v>
      </c>
      <c r="AE24" s="17">
        <v>5.8999999999999997E-2</v>
      </c>
      <c r="AF24" s="17">
        <v>5.7000000000000002E-2</v>
      </c>
      <c r="AG24" s="17">
        <v>5.8000000000000003E-2</v>
      </c>
      <c r="AH24" s="17">
        <v>5.5E-2</v>
      </c>
      <c r="AI24" s="17">
        <v>5.1999999999999998E-2</v>
      </c>
      <c r="AJ24" s="17">
        <v>5.5E-2</v>
      </c>
      <c r="AK24" s="17">
        <v>5.6000000000000001E-2</v>
      </c>
      <c r="AL24" s="17">
        <v>5.2999999999999999E-2</v>
      </c>
      <c r="AM24" s="17">
        <v>5.3999999999999999E-2</v>
      </c>
      <c r="AN24" s="17">
        <v>5.7000000000000002E-2</v>
      </c>
      <c r="AO24" s="17">
        <v>5.7000000000000002E-2</v>
      </c>
      <c r="AP24" s="17">
        <v>5.3999999999999999E-2</v>
      </c>
      <c r="AQ24" s="17">
        <v>5.8000000000000003E-2</v>
      </c>
      <c r="AR24" s="17">
        <v>5.7000000000000002E-2</v>
      </c>
      <c r="AS24" s="17">
        <v>5.8000000000000003E-2</v>
      </c>
      <c r="AT24" s="17">
        <v>6.0999999999999999E-2</v>
      </c>
      <c r="AU24" s="17">
        <v>6.0999999999999999E-2</v>
      </c>
      <c r="AV24" s="27">
        <v>6.3E-2</v>
      </c>
      <c r="AW24" s="27">
        <v>5.6000000000000001E-2</v>
      </c>
      <c r="AX24" s="27">
        <f t="shared" si="3"/>
        <v>5.6000000000000001E-2</v>
      </c>
      <c r="AY24" s="27">
        <f t="shared" si="3"/>
        <v>5.2999999999999999E-2</v>
      </c>
      <c r="AZ24" s="27">
        <f t="shared" si="3"/>
        <v>6.9000000000000006E-2</v>
      </c>
      <c r="BA24" s="27">
        <f t="shared" si="3"/>
        <v>7.0000000000000007E-2</v>
      </c>
      <c r="BB24" s="27">
        <f t="shared" ref="BB24" si="9">BB9/BB$14</f>
        <v>6.0999999999999999E-2</v>
      </c>
      <c r="BC24" s="32">
        <f t="shared" si="5"/>
        <v>7.0000000000000007E-2</v>
      </c>
      <c r="BD24" s="20" t="s">
        <v>6</v>
      </c>
    </row>
    <row r="25" spans="1:56" x14ac:dyDescent="0.25">
      <c r="A25" s="2" t="s">
        <v>7</v>
      </c>
      <c r="B25" s="17">
        <v>0.314</v>
      </c>
      <c r="C25" s="17">
        <v>0.28999999999999998</v>
      </c>
      <c r="D25" s="17">
        <v>0.26100000000000001</v>
      </c>
      <c r="E25" s="17">
        <v>0.246</v>
      </c>
      <c r="F25" s="17">
        <v>0.253</v>
      </c>
      <c r="G25" s="17">
        <v>0.255</v>
      </c>
      <c r="H25" s="17">
        <v>0.27200000000000002</v>
      </c>
      <c r="I25" s="17">
        <v>0.248</v>
      </c>
      <c r="J25" s="17">
        <v>0.252</v>
      </c>
      <c r="K25" s="17">
        <v>0.24399999999999999</v>
      </c>
      <c r="L25" s="17">
        <v>0.24399999999999999</v>
      </c>
      <c r="M25" s="17">
        <v>0.251</v>
      </c>
      <c r="N25" s="17">
        <v>0.26</v>
      </c>
      <c r="O25" s="17">
        <v>0.247</v>
      </c>
      <c r="P25" s="17">
        <v>0.24199999999999999</v>
      </c>
      <c r="Q25" s="17">
        <v>0.224</v>
      </c>
      <c r="R25" s="17">
        <v>0.22700000000000001</v>
      </c>
      <c r="S25" s="17">
        <v>0.218</v>
      </c>
      <c r="T25" s="17">
        <v>0.21199999999999999</v>
      </c>
      <c r="U25" s="17">
        <v>0.214</v>
      </c>
      <c r="V25" s="17">
        <v>0.19500000000000001</v>
      </c>
      <c r="W25" s="17">
        <v>0.20599999999999999</v>
      </c>
      <c r="X25" s="17">
        <v>0.20300000000000001</v>
      </c>
      <c r="Y25" s="17">
        <v>0.20499999999999999</v>
      </c>
      <c r="Z25" s="17">
        <v>0.2</v>
      </c>
      <c r="AA25" s="17">
        <v>0.20100000000000001</v>
      </c>
      <c r="AB25" s="17">
        <v>0.20100000000000001</v>
      </c>
      <c r="AC25" s="17">
        <v>0.19400000000000001</v>
      </c>
      <c r="AD25" s="17">
        <v>0.191</v>
      </c>
      <c r="AE25" s="17">
        <v>0.187</v>
      </c>
      <c r="AF25" s="17">
        <v>0.16500000000000001</v>
      </c>
      <c r="AG25" s="17">
        <v>0.183</v>
      </c>
      <c r="AH25" s="17">
        <v>0.17199999999999999</v>
      </c>
      <c r="AI25" s="17">
        <v>0.16500000000000001</v>
      </c>
      <c r="AJ25" s="17">
        <v>0.16600000000000001</v>
      </c>
      <c r="AK25" s="17">
        <v>0.159</v>
      </c>
      <c r="AL25" s="17">
        <v>0.16200000000000001</v>
      </c>
      <c r="AM25" s="17">
        <v>0.16600000000000001</v>
      </c>
      <c r="AN25" s="17">
        <v>0.16700000000000001</v>
      </c>
      <c r="AO25" s="17">
        <v>0.161</v>
      </c>
      <c r="AP25" s="17">
        <v>0.17399999999999999</v>
      </c>
      <c r="AQ25" s="17">
        <v>0.17299999999999999</v>
      </c>
      <c r="AR25" s="17">
        <v>0.184</v>
      </c>
      <c r="AS25" s="17">
        <v>0.184</v>
      </c>
      <c r="AT25" s="17">
        <v>0.188</v>
      </c>
      <c r="AU25" s="17">
        <v>0.188</v>
      </c>
      <c r="AV25" s="27">
        <v>0.191</v>
      </c>
      <c r="AW25" s="27">
        <v>0.186</v>
      </c>
      <c r="AX25" s="27">
        <f t="shared" si="3"/>
        <v>0.184</v>
      </c>
      <c r="AY25" s="27">
        <f t="shared" si="3"/>
        <v>0.188</v>
      </c>
      <c r="AZ25" s="27">
        <f t="shared" si="3"/>
        <v>0.155</v>
      </c>
      <c r="BA25" s="27">
        <f t="shared" si="3"/>
        <v>0.155</v>
      </c>
      <c r="BB25" s="27">
        <f t="shared" ref="BB25" si="10">BB10/BB$14</f>
        <v>0.16500000000000001</v>
      </c>
      <c r="BC25" s="32">
        <f t="shared" si="5"/>
        <v>-0.10299999999999999</v>
      </c>
      <c r="BD25" s="20" t="s">
        <v>7</v>
      </c>
    </row>
    <row r="26" spans="1:56" x14ac:dyDescent="0.25">
      <c r="A26" s="2" t="s">
        <v>8</v>
      </c>
      <c r="B26" s="17">
        <v>4.2999999999999997E-2</v>
      </c>
      <c r="C26" s="17">
        <v>5.8999999999999997E-2</v>
      </c>
      <c r="D26" s="17">
        <v>5.5E-2</v>
      </c>
      <c r="E26" s="17">
        <v>5.3999999999999999E-2</v>
      </c>
      <c r="F26" s="17">
        <v>4.7E-2</v>
      </c>
      <c r="G26" s="17">
        <v>4.4999999999999998E-2</v>
      </c>
      <c r="H26" s="17">
        <v>5.1999999999999998E-2</v>
      </c>
      <c r="I26" s="17">
        <v>0.05</v>
      </c>
      <c r="J26" s="17">
        <v>5.0999999999999997E-2</v>
      </c>
      <c r="K26" s="17">
        <v>0.05</v>
      </c>
      <c r="L26" s="17">
        <v>4.4999999999999998E-2</v>
      </c>
      <c r="M26" s="17">
        <v>4.1000000000000002E-2</v>
      </c>
      <c r="N26" s="17">
        <v>0.03</v>
      </c>
      <c r="O26" s="17">
        <v>3.1E-2</v>
      </c>
      <c r="P26" s="17">
        <v>2.9000000000000001E-2</v>
      </c>
      <c r="Q26" s="17">
        <v>2.9000000000000001E-2</v>
      </c>
      <c r="R26" s="17">
        <v>2.5000000000000001E-2</v>
      </c>
      <c r="S26" s="17">
        <v>2.7E-2</v>
      </c>
      <c r="T26" s="17">
        <v>2.5999999999999999E-2</v>
      </c>
      <c r="U26" s="17">
        <v>2.7E-2</v>
      </c>
      <c r="V26" s="17">
        <v>2.9000000000000001E-2</v>
      </c>
      <c r="W26" s="17">
        <v>0.03</v>
      </c>
      <c r="X26" s="17">
        <v>2.8000000000000001E-2</v>
      </c>
      <c r="Y26" s="17">
        <v>2.5000000000000001E-2</v>
      </c>
      <c r="Z26" s="17">
        <v>2.4E-2</v>
      </c>
      <c r="AA26" s="17">
        <v>2.4E-2</v>
      </c>
      <c r="AB26" s="17">
        <v>2.3E-2</v>
      </c>
      <c r="AC26" s="17">
        <v>2.4E-2</v>
      </c>
      <c r="AD26" s="17">
        <v>2.5999999999999999E-2</v>
      </c>
      <c r="AE26" s="17">
        <v>2.5000000000000001E-2</v>
      </c>
      <c r="AF26" s="17">
        <v>2.7E-2</v>
      </c>
      <c r="AG26" s="17">
        <v>2.3E-2</v>
      </c>
      <c r="AH26" s="17">
        <v>2.1999999999999999E-2</v>
      </c>
      <c r="AI26" s="17">
        <v>0.02</v>
      </c>
      <c r="AJ26" s="17">
        <v>0.02</v>
      </c>
      <c r="AK26" s="17">
        <v>0.02</v>
      </c>
      <c r="AL26" s="17">
        <v>2.1000000000000001E-2</v>
      </c>
      <c r="AM26" s="17">
        <v>2.1000000000000001E-2</v>
      </c>
      <c r="AN26" s="17">
        <v>1.7999999999999999E-2</v>
      </c>
      <c r="AO26" s="17">
        <v>1.7999999999999999E-2</v>
      </c>
      <c r="AP26" s="17">
        <v>1.9E-2</v>
      </c>
      <c r="AQ26" s="17">
        <v>2.1999999999999999E-2</v>
      </c>
      <c r="AR26" s="17">
        <v>1.7999999999999999E-2</v>
      </c>
      <c r="AS26" s="17">
        <v>2.1000000000000001E-2</v>
      </c>
      <c r="AT26" s="17">
        <v>2.3E-2</v>
      </c>
      <c r="AU26" s="17">
        <v>1.7999999999999999E-2</v>
      </c>
      <c r="AV26" s="27">
        <v>1.7999999999999999E-2</v>
      </c>
      <c r="AW26" s="27">
        <v>1.4999999999999999E-2</v>
      </c>
      <c r="AX26" s="27">
        <f t="shared" si="3"/>
        <v>1.4E-2</v>
      </c>
      <c r="AY26" s="27">
        <f t="shared" si="3"/>
        <v>1.4E-2</v>
      </c>
      <c r="AZ26" s="27">
        <f t="shared" si="3"/>
        <v>1.2999999999999999E-2</v>
      </c>
      <c r="BA26" s="27">
        <f t="shared" si="3"/>
        <v>1.6E-2</v>
      </c>
      <c r="BB26" s="27">
        <f t="shared" ref="BB26" si="11">BB11/BB$14</f>
        <v>0.02</v>
      </c>
      <c r="BC26" s="32">
        <f t="shared" si="5"/>
        <v>0.111</v>
      </c>
      <c r="BD26" s="20" t="s">
        <v>8</v>
      </c>
    </row>
    <row r="27" spans="1:56" x14ac:dyDescent="0.25">
      <c r="A27" s="2" t="s">
        <v>12</v>
      </c>
      <c r="B27" s="17">
        <v>1.4999999999999999E-2</v>
      </c>
      <c r="C27" s="17">
        <v>1.7999999999999999E-2</v>
      </c>
      <c r="D27" s="17">
        <v>2.1000000000000001E-2</v>
      </c>
      <c r="E27" s="17">
        <v>3.5000000000000003E-2</v>
      </c>
      <c r="F27" s="17">
        <v>2.5000000000000001E-2</v>
      </c>
      <c r="G27" s="17">
        <v>2.5000000000000001E-2</v>
      </c>
      <c r="H27" s="17">
        <v>2.3E-2</v>
      </c>
      <c r="I27" s="17">
        <v>2.1000000000000001E-2</v>
      </c>
      <c r="J27" s="17">
        <v>2.1000000000000001E-2</v>
      </c>
      <c r="K27" s="17">
        <v>2.7E-2</v>
      </c>
      <c r="L27" s="17">
        <v>0.03</v>
      </c>
      <c r="M27" s="17">
        <v>3.1E-2</v>
      </c>
      <c r="N27" s="17">
        <v>2.1999999999999999E-2</v>
      </c>
      <c r="O27" s="17">
        <v>2.1999999999999999E-2</v>
      </c>
      <c r="P27" s="17">
        <v>2.1999999999999999E-2</v>
      </c>
      <c r="Q27" s="17">
        <v>2.1000000000000001E-2</v>
      </c>
      <c r="R27" s="17">
        <v>2.3E-2</v>
      </c>
      <c r="S27" s="17">
        <v>2.4E-2</v>
      </c>
      <c r="T27" s="17">
        <v>2.8000000000000001E-2</v>
      </c>
      <c r="U27" s="17">
        <v>3.1E-2</v>
      </c>
      <c r="V27" s="17">
        <v>3.1E-2</v>
      </c>
      <c r="W27" s="17">
        <v>3.7999999999999999E-2</v>
      </c>
      <c r="X27" s="17">
        <v>3.3000000000000002E-2</v>
      </c>
      <c r="Y27" s="17">
        <v>4.2000000000000003E-2</v>
      </c>
      <c r="Z27" s="17">
        <v>3.9E-2</v>
      </c>
      <c r="AA27" s="17">
        <v>3.2000000000000001E-2</v>
      </c>
      <c r="AB27" s="17">
        <v>2.9000000000000001E-2</v>
      </c>
      <c r="AC27" s="17">
        <v>3.1E-2</v>
      </c>
      <c r="AD27" s="17">
        <v>3.1E-2</v>
      </c>
      <c r="AE27" s="17">
        <v>3.5999999999999997E-2</v>
      </c>
      <c r="AF27" s="17">
        <v>0.03</v>
      </c>
      <c r="AG27" s="17">
        <v>2.8000000000000001E-2</v>
      </c>
      <c r="AH27" s="17">
        <v>2.7E-2</v>
      </c>
      <c r="AI27" s="17">
        <v>2.5999999999999999E-2</v>
      </c>
      <c r="AJ27" s="17">
        <v>3.5999999999999997E-2</v>
      </c>
      <c r="AK27" s="17">
        <v>3.9E-2</v>
      </c>
      <c r="AL27" s="17">
        <v>4.5999999999999999E-2</v>
      </c>
      <c r="AM27" s="17">
        <v>2.5999999999999999E-2</v>
      </c>
      <c r="AN27" s="17">
        <v>0.04</v>
      </c>
      <c r="AO27" s="17">
        <v>5.8000000000000003E-2</v>
      </c>
      <c r="AP27" s="17">
        <v>4.2999999999999997E-2</v>
      </c>
      <c r="AQ27" s="17">
        <v>5.8999999999999997E-2</v>
      </c>
      <c r="AR27" s="17">
        <v>4.1000000000000002E-2</v>
      </c>
      <c r="AS27" s="17">
        <v>3.4000000000000002E-2</v>
      </c>
      <c r="AT27" s="17">
        <v>3.5000000000000003E-2</v>
      </c>
      <c r="AU27" s="17">
        <v>5.1999999999999998E-2</v>
      </c>
      <c r="AV27" s="27">
        <v>5.1999999999999998E-2</v>
      </c>
      <c r="AW27" s="27">
        <v>6.5000000000000002E-2</v>
      </c>
      <c r="AX27" s="27">
        <f t="shared" si="3"/>
        <v>5.0999999999999997E-2</v>
      </c>
      <c r="AY27" s="27">
        <f t="shared" si="3"/>
        <v>5.3999999999999999E-2</v>
      </c>
      <c r="AZ27" s="27">
        <f t="shared" si="3"/>
        <v>6.8000000000000005E-2</v>
      </c>
      <c r="BA27" s="27">
        <f t="shared" si="3"/>
        <v>0.13800000000000001</v>
      </c>
      <c r="BB27" s="27">
        <f t="shared" ref="BB27" si="12">BB12/BB$14</f>
        <v>7.1999999999999995E-2</v>
      </c>
      <c r="BC27" s="32">
        <f t="shared" si="5"/>
        <v>0.75600000000000001</v>
      </c>
      <c r="BD27" s="2" t="s">
        <v>12</v>
      </c>
    </row>
    <row r="28" spans="1:56" s="1" customFormat="1" ht="4.5" customHeight="1" x14ac:dyDescent="0.25">
      <c r="A28" s="10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28"/>
      <c r="AW28" s="28"/>
      <c r="AX28" s="28"/>
      <c r="AY28" s="28"/>
      <c r="AZ28" s="28"/>
      <c r="BA28" s="28"/>
      <c r="BB28" s="28"/>
      <c r="BC28" s="36"/>
      <c r="BD28" s="21"/>
    </row>
    <row r="29" spans="1:56" ht="11.25" customHeight="1" x14ac:dyDescent="0.25">
      <c r="A29" s="40" t="s">
        <v>17</v>
      </c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</row>
    <row r="30" spans="1:56" x14ac:dyDescent="0.25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</row>
    <row r="31" spans="1:56" x14ac:dyDescent="0.25">
      <c r="A31" s="5" t="s">
        <v>10</v>
      </c>
    </row>
    <row r="32" spans="1:56" x14ac:dyDescent="0.25">
      <c r="A32" s="5" t="s">
        <v>11</v>
      </c>
    </row>
  </sheetData>
  <mergeCells count="1">
    <mergeCell ref="A29:O30"/>
  </mergeCells>
  <pageMargins left="0.7" right="0.7" top="0.75" bottom="0.75" header="0.3" footer="0.3"/>
  <pageSetup scale="2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Hourihan</dc:creator>
  <cp:lastModifiedBy>Alessandra C. Zimmermann</cp:lastModifiedBy>
  <dcterms:created xsi:type="dcterms:W3CDTF">2013-04-05T16:28:08Z</dcterms:created>
  <dcterms:modified xsi:type="dcterms:W3CDTF">2025-02-06T19:12:24Z</dcterms:modified>
</cp:coreProperties>
</file>