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\\winshare2.ad.aaas.org\cspsp\inbox\RDBudget\Historical Tables\Hist Wesbite Files\"/>
    </mc:Choice>
  </mc:AlternateContent>
  <xr:revisionPtr revIDLastSave="0" documentId="13_ncr:1_{30AD1B60-1676-400E-A41D-FFC918ADF2C9}" xr6:coauthVersionLast="47" xr6:coauthVersionMax="47" xr10:uidLastSave="{00000000-0000-0000-0000-000000000000}"/>
  <bookViews>
    <workbookView xWindow="2160" yWindow="-15036" windowWidth="14400" windowHeight="7356" xr2:uid="{893A4C15-070F-4C4E-8681-B88727B51E39}"/>
  </bookViews>
  <sheets>
    <sheet name="Data" sheetId="1" r:id="rId1"/>
  </sheets>
  <definedNames>
    <definedName name="Defense_RD_v2" hidden="1">{"'full bas'!$A$7:$F$48"}</definedName>
    <definedName name="HTML_CodePage" hidden="1">1252</definedName>
    <definedName name="HTML_Control" hidden="1">{"'full bas'!$A$7:$F$48"}</definedName>
    <definedName name="HTML_Description" hidden="1">""</definedName>
    <definedName name="HTML_Email" hidden="1">""</definedName>
    <definedName name="HTML_Header" hidden="1">"full pg"</definedName>
    <definedName name="HTML_LastUpdate" hidden="1">"03/14/2002"</definedName>
    <definedName name="HTML_LineAfter" hidden="1">FALSE</definedName>
    <definedName name="HTML_LineBefore" hidden="1">FALSE</definedName>
    <definedName name="HTML_Name" hidden="1">"Kei Koizumi"</definedName>
    <definedName name="HTML_OBDlg2" hidden="1">TRUE</definedName>
    <definedName name="HTML_OBDlg4" hidden="1">TRUE</definedName>
    <definedName name="HTML_OS" hidden="1">0</definedName>
    <definedName name="HTML_PathFile" hidden="1">"H:\www\temp2.htm"</definedName>
    <definedName name="HTML_Title" hidden="1">"TOTAL02P"</definedName>
    <definedName name="HTML1_1" hidden="1">"'[TOTAL97C.XLS]Tbl 1'!$A$10:$H$46"</definedName>
    <definedName name="HTML1_10" hidden="1">""</definedName>
    <definedName name="HTML1_11" hidden="1">1</definedName>
    <definedName name="HTML1_12" hidden="1">"h:\spp\www\dspp\rd\congact1.htm"</definedName>
    <definedName name="HTML1_2" hidden="1">1</definedName>
    <definedName name="HTML1_3" hidden="1">"Table 1. Total R&amp;D by Agency"</definedName>
    <definedName name="HTML1_4" hidden="1">"Congressional Action on R&amp;D in the FY 1997 Budget "</definedName>
    <definedName name="HTML1_5" hidden="1">"(budget authority in millions of dollars)*"</definedName>
    <definedName name="HTML1_6" hidden="1">1</definedName>
    <definedName name="HTML1_7" hidden="1">1</definedName>
    <definedName name="HTML1_8" hidden="1">""</definedName>
    <definedName name="HTML1_9" hidden="1">" "</definedName>
    <definedName name="HTML2_1" hidden="1">"'[TOTAL97C.XLS]FY 94-97'!$A$9:$O$28"</definedName>
    <definedName name="HTML2_10" hidden="1">""</definedName>
    <definedName name="HTML2_11" hidden="1">1</definedName>
    <definedName name="HTML2_12" hidden="1">"H:\SPP\WWW\DSPP\RD\CONGACTB.HTM"</definedName>
    <definedName name="HTML2_2" hidden="1">1</definedName>
    <definedName name="HTML2_3" hidden="1">"Special Table. R&amp;D by Agency, FYs 1994-97"</definedName>
    <definedName name="HTML2_4" hidden="1">"Final - Nov. 1, 1996"</definedName>
    <definedName name="HTML2_5" hidden="1">"(budget authority in millions of dollars)"</definedName>
    <definedName name="HTML2_6" hidden="1">1</definedName>
    <definedName name="HTML2_7" hidden="1">1</definedName>
    <definedName name="HTML2_8" hidden="1">""</definedName>
    <definedName name="HTML2_9" hidden="1">" "</definedName>
    <definedName name="HTML3_1" hidden="1">"[TOTAL97C.XLS]bdgres!$A$10:$I$22"</definedName>
    <definedName name="HTML3_10" hidden="1">""</definedName>
    <definedName name="HTML3_11" hidden="1">1</definedName>
    <definedName name="HTML3_12" hidden="1">"H:\SPP\WWW\DSPP\RD\CONGACTA.HTM"</definedName>
    <definedName name="HTML3_2" hidden="1">1</definedName>
    <definedName name="HTML3_3" hidden="1">"Table A. Nondefense R&amp;D: Comparisons between Budget Resolution Projections"</definedName>
    <definedName name="HTML3_4" hidden="1">"and Appropriations, FY 1996 and 1997"</definedName>
    <definedName name="HTML3_5" hidden="1">"(budget authority in millions of dollars)"</definedName>
    <definedName name="HTML3_6" hidden="1">1</definedName>
    <definedName name="HTML3_7" hidden="1">1</definedName>
    <definedName name="HTML3_8" hidden="1">""</definedName>
    <definedName name="HTML3_9" hidden="1">" "</definedName>
    <definedName name="HTML4_1" hidden="1">"[HIST297.XLS]Sheet1!$A$1:$E$21"</definedName>
    <definedName name="HTML4_10" hidden="1">""</definedName>
    <definedName name="HTML4_11" hidden="1">1</definedName>
    <definedName name="HTML4_12" hidden="1">"H:\SPP\KKOIZUMI\98P\anlytbl2.htm"</definedName>
    <definedName name="HTML4_2" hidden="1">1</definedName>
    <definedName name="HTML4_3" hidden="1">"Table 2. Trends in R&amp;D, FY 1994-1998"</definedName>
    <definedName name="HTML4_4" hidden="1">"Table 2. Trends in R&amp;D, FY 1994-1998"</definedName>
    <definedName name="HTML4_5" hidden="1">"(budget authority in millions of dollars)"</definedName>
    <definedName name="HTML4_6" hidden="1">1</definedName>
    <definedName name="HTML4_7" hidden="1">1</definedName>
    <definedName name="HTML4_8" hidden="1">""</definedName>
    <definedName name="HTML4_9" hidden="1">""</definedName>
    <definedName name="HTML5_1" hidden="1">"[HIST297.XLS]Sheet1!$A$4:$F$23"</definedName>
    <definedName name="HTML5_10" hidden="1">""</definedName>
    <definedName name="HTML5_11" hidden="1">1</definedName>
    <definedName name="HTML5_12" hidden="1">"h:\spp\WWW\DSPP\RD\anlytbl2.htm"</definedName>
    <definedName name="HTML5_2" hidden="1">1</definedName>
    <definedName name="HTML5_3" hidden="1">"Table 2. Trends in R&amp;D, FY 1994-1998"</definedName>
    <definedName name="HTML5_4" hidden="1">"Table 2. Trends in R&amp;D, FY 1994-1998"</definedName>
    <definedName name="HTML5_5" hidden="1">"Change in constant dollars"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Count" hidden="1">5</definedName>
    <definedName name="_xlnm.Print_Area" localSheetId="0">Data!#REF!</definedName>
    <definedName name="_xlnm.Print_Titles" localSheetId="0">Data!$A:$A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14" i="1" l="1"/>
  <c r="AH14" i="1"/>
  <c r="AI14" i="1"/>
  <c r="AI13" i="1"/>
  <c r="AI12" i="1"/>
  <c r="AH13" i="1"/>
  <c r="AJ13" i="1"/>
  <c r="AJ12" i="1"/>
  <c r="AH12" i="1"/>
</calcChain>
</file>

<file path=xl/sharedStrings.xml><?xml version="1.0" encoding="utf-8"?>
<sst xmlns="http://schemas.openxmlformats.org/spreadsheetml/2006/main" count="15" uniqueCount="15">
  <si>
    <t xml:space="preserve">Fiscal Years </t>
  </si>
  <si>
    <t>Defense</t>
  </si>
  <si>
    <t>Nondefense</t>
  </si>
  <si>
    <t>Total</t>
  </si>
  <si>
    <t>Defense ARRA</t>
  </si>
  <si>
    <t>Nondefense ARRA</t>
  </si>
  <si>
    <t>Source: AAAS analyses of OMB and agency R&amp;D budget data. Includes conduct of R&amp;D and R&amp;D facilities.</t>
  </si>
  <si>
    <t>The above figures for FY 2018-2020 have been corrected to include Defense Department 6.6 spending as defense R&amp;D, in accord with OMB Circular A-11 and past practice. This spending was not included in the February 2020 R&amp;D data released by OMB.</t>
  </si>
  <si>
    <t>Beginning in FY 2017, federal agencies have revised what they consider to be R&amp;D. Late-stage development, testing, and evaluation programs, primarily within the Defense Department, are no longer counted as R&amp;D. This was reversed in FY 2019</t>
  </si>
  <si>
    <t>(budget authority in billions of constant 2022 dollars)</t>
  </si>
  <si>
    <t>NOTE: FY 2020 data does NOT contain emergency COVID-19 R&amp;D spending.</t>
  </si>
  <si>
    <t>AAAS | September 2022</t>
  </si>
  <si>
    <t>Defense, Nondefense and Total R&amp;D, FY 1976-2023</t>
  </si>
  <si>
    <t>AARA Total</t>
  </si>
  <si>
    <t>2023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</si>
</sst>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"/>
  </numFmts>
  <fonts count="7" x14ac:knownFonts="1">
    <font>
      <sz val="8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0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horizontal="left" wrapText="1"/>
    </xf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9">
    <xf numFmtId="0" fontId="0" fillId="0" borderId="0" xfId="0">
      <alignment horizontal="left" wrapText="1"/>
    </xf>
    <xf numFmtId="0" fontId="3" fillId="0" borderId="0" xfId="0" applyFont="1">
      <alignment horizontal="left" wrapText="1"/>
    </xf>
    <xf numFmtId="0" fontId="3" fillId="0" borderId="0" xfId="0" applyFont="1" applyAlignment="1"/>
    <xf numFmtId="0" fontId="2" fillId="0" borderId="0" xfId="0" applyFont="1">
      <alignment horizontal="left" wrapText="1"/>
    </xf>
    <xf numFmtId="0" fontId="3" fillId="0" borderId="4" xfId="0" applyFont="1" applyBorder="1" applyAlignment="1"/>
    <xf numFmtId="0" fontId="3" fillId="0" borderId="5" xfId="0" applyFont="1" applyBorder="1" applyAlignment="1">
      <alignment horizontal="right" wrapText="1"/>
    </xf>
    <xf numFmtId="0" fontId="3" fillId="0" borderId="5" xfId="0" applyFont="1" applyBorder="1" applyAlignment="1">
      <alignment horizontal="right"/>
    </xf>
    <xf numFmtId="0" fontId="3" fillId="0" borderId="2" xfId="0" applyFont="1" applyBorder="1" applyAlignment="1"/>
    <xf numFmtId="0" fontId="3" fillId="0" borderId="6" xfId="0" applyFont="1" applyBorder="1" applyAlignment="1">
      <alignment horizontal="right" wrapText="1"/>
    </xf>
    <xf numFmtId="0" fontId="4" fillId="0" borderId="0" xfId="0" applyFont="1" applyAlignment="1"/>
    <xf numFmtId="164" fontId="3" fillId="0" borderId="0" xfId="1" applyNumberFormat="1" applyFont="1"/>
    <xf numFmtId="0" fontId="3" fillId="0" borderId="1" xfId="0" applyFont="1" applyBorder="1">
      <alignment horizontal="left" wrapText="1"/>
    </xf>
    <xf numFmtId="0" fontId="2" fillId="0" borderId="0" xfId="0" applyFont="1" applyAlignment="1"/>
    <xf numFmtId="17" fontId="2" fillId="0" borderId="0" xfId="0" applyNumberFormat="1" applyFont="1">
      <alignment horizontal="left" wrapText="1"/>
    </xf>
    <xf numFmtId="3" fontId="3" fillId="0" borderId="0" xfId="0" applyNumberFormat="1" applyFont="1">
      <alignment horizontal="left" wrapText="1"/>
    </xf>
    <xf numFmtId="0" fontId="3" fillId="0" borderId="0" xfId="0" applyFont="1" applyBorder="1" applyAlignment="1"/>
    <xf numFmtId="165" fontId="3" fillId="0" borderId="0" xfId="1" applyNumberFormat="1" applyFont="1" applyBorder="1"/>
    <xf numFmtId="0" fontId="3" fillId="0" borderId="0" xfId="0" applyFont="1" applyFill="1">
      <alignment horizontal="left" wrapText="1"/>
    </xf>
    <xf numFmtId="165" fontId="6" fillId="0" borderId="0" xfId="1" applyNumberFormat="1" applyFont="1" applyBorder="1"/>
    <xf numFmtId="0" fontId="6" fillId="0" borderId="0" xfId="0" applyFont="1" applyFill="1" applyAlignment="1"/>
    <xf numFmtId="44" fontId="3" fillId="0" borderId="0" xfId="2" applyFont="1"/>
    <xf numFmtId="44" fontId="3" fillId="0" borderId="0" xfId="2" applyFont="1" applyBorder="1"/>
    <xf numFmtId="44" fontId="3" fillId="0" borderId="1" xfId="2" applyFont="1" applyBorder="1" applyAlignment="1">
      <alignment vertical="center"/>
    </xf>
    <xf numFmtId="44" fontId="3" fillId="0" borderId="1" xfId="2" applyFont="1" applyBorder="1" applyAlignment="1"/>
    <xf numFmtId="44" fontId="2" fillId="0" borderId="0" xfId="2" applyFont="1"/>
    <xf numFmtId="44" fontId="2" fillId="0" borderId="1" xfId="2" applyFont="1" applyBorder="1" applyAlignment="1">
      <alignment horizontal="right"/>
    </xf>
    <xf numFmtId="44" fontId="3" fillId="0" borderId="1" xfId="2" applyFont="1" applyBorder="1"/>
    <xf numFmtId="44" fontId="3" fillId="0" borderId="2" xfId="2" applyFont="1" applyBorder="1"/>
    <xf numFmtId="44" fontId="3" fillId="0" borderId="3" xfId="2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AAS Official">
      <a:dk1>
        <a:sysClr val="windowText" lastClr="000000"/>
      </a:dk1>
      <a:lt1>
        <a:srgbClr val="FFFFFF"/>
      </a:lt1>
      <a:dk2>
        <a:srgbClr val="A8D08D"/>
      </a:dk2>
      <a:lt2>
        <a:srgbClr val="F16F6F"/>
      </a:lt2>
      <a:accent1>
        <a:srgbClr val="005699"/>
      </a:accent1>
      <a:accent2>
        <a:srgbClr val="66C3C8"/>
      </a:accent2>
      <a:accent3>
        <a:srgbClr val="C00000"/>
      </a:accent3>
      <a:accent4>
        <a:srgbClr val="895C93"/>
      </a:accent4>
      <a:accent5>
        <a:srgbClr val="E7BC47"/>
      </a:accent5>
      <a:accent6>
        <a:srgbClr val="DA8451"/>
      </a:accent6>
      <a:hlink>
        <a:srgbClr val="005699"/>
      </a:hlink>
      <a:folHlink>
        <a:srgbClr val="66C3C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46EB-E0FE-4324-9F84-3B098D541206}">
  <dimension ref="A1:AY16"/>
  <sheetViews>
    <sheetView showGridLines="0" tabSelected="1" zoomScale="58" zoomScaleNormal="58" workbookViewId="0">
      <pane xSplit="1" topLeftCell="B1" activePane="topRight" state="frozen"/>
      <selection pane="topRight" activeCell="A12" sqref="A12"/>
    </sheetView>
  </sheetViews>
  <sheetFormatPr defaultColWidth="9.33203125" defaultRowHeight="13" x14ac:dyDescent="0.3"/>
  <cols>
    <col min="1" max="1" width="12.44140625" style="2" customWidth="1"/>
    <col min="2" max="48" width="12.77734375" style="1" customWidth="1"/>
    <col min="49" max="49" width="20.6640625" style="1" customWidth="1"/>
    <col min="50" max="53" width="6.6640625" style="1" customWidth="1"/>
    <col min="54" max="16384" width="9.33203125" style="1"/>
  </cols>
  <sheetData>
    <row r="1" spans="1:51" ht="14.5" x14ac:dyDescent="0.35">
      <c r="A1" s="9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O1" s="3"/>
      <c r="P1" s="13"/>
      <c r="AR1" s="17"/>
      <c r="AY1" s="17"/>
    </row>
    <row r="2" spans="1:51" x14ac:dyDescent="0.3">
      <c r="A2" s="2" t="s">
        <v>9</v>
      </c>
      <c r="P2" s="3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51" x14ac:dyDescent="0.3">
      <c r="A3" s="4" t="s">
        <v>0</v>
      </c>
      <c r="B3" s="5">
        <v>1976</v>
      </c>
      <c r="C3" s="5">
        <v>1977</v>
      </c>
      <c r="D3" s="5">
        <v>1978</v>
      </c>
      <c r="E3" s="5">
        <v>1979</v>
      </c>
      <c r="F3" s="5">
        <v>1980</v>
      </c>
      <c r="G3" s="5">
        <v>1981</v>
      </c>
      <c r="H3" s="5">
        <v>1982</v>
      </c>
      <c r="I3" s="5">
        <v>1983</v>
      </c>
      <c r="J3" s="5">
        <v>1984</v>
      </c>
      <c r="K3" s="5">
        <v>1985</v>
      </c>
      <c r="L3" s="5">
        <v>1986</v>
      </c>
      <c r="M3" s="5">
        <v>1987</v>
      </c>
      <c r="N3" s="5">
        <v>1988</v>
      </c>
      <c r="O3" s="5">
        <v>1989</v>
      </c>
      <c r="P3" s="5">
        <v>1990</v>
      </c>
      <c r="Q3" s="5">
        <v>1991</v>
      </c>
      <c r="R3" s="5">
        <v>1992</v>
      </c>
      <c r="S3" s="5">
        <v>1993</v>
      </c>
      <c r="T3" s="5">
        <v>1994</v>
      </c>
      <c r="U3" s="5">
        <v>1995</v>
      </c>
      <c r="V3" s="5">
        <v>1996</v>
      </c>
      <c r="W3" s="6">
        <v>1997</v>
      </c>
      <c r="X3" s="6">
        <v>1998</v>
      </c>
      <c r="Y3" s="6">
        <v>1999</v>
      </c>
      <c r="Z3" s="6">
        <v>2000</v>
      </c>
      <c r="AA3" s="6">
        <v>2001</v>
      </c>
      <c r="AB3" s="6">
        <v>2002</v>
      </c>
      <c r="AC3" s="6">
        <v>2003</v>
      </c>
      <c r="AD3" s="6">
        <v>2004</v>
      </c>
      <c r="AE3" s="6">
        <v>2005</v>
      </c>
      <c r="AF3" s="5">
        <v>2006</v>
      </c>
      <c r="AG3" s="5">
        <v>2007</v>
      </c>
      <c r="AH3" s="5">
        <v>2008</v>
      </c>
      <c r="AI3" s="5">
        <v>2009</v>
      </c>
      <c r="AJ3" s="5">
        <v>2010</v>
      </c>
      <c r="AK3" s="5">
        <v>2011</v>
      </c>
      <c r="AL3" s="5">
        <v>2012</v>
      </c>
      <c r="AM3" s="5">
        <v>2013</v>
      </c>
      <c r="AN3" s="5">
        <v>2014</v>
      </c>
      <c r="AO3" s="5">
        <v>2015</v>
      </c>
      <c r="AP3" s="5">
        <v>2016</v>
      </c>
      <c r="AQ3" s="5">
        <v>2017</v>
      </c>
      <c r="AR3" s="5">
        <v>2018</v>
      </c>
      <c r="AS3" s="5">
        <v>2019</v>
      </c>
      <c r="AT3" s="5">
        <v>2020</v>
      </c>
      <c r="AU3" s="5">
        <v>2021</v>
      </c>
      <c r="AV3" s="5">
        <v>2022</v>
      </c>
      <c r="AW3" s="8" t="s">
        <v>14</v>
      </c>
    </row>
    <row r="4" spans="1:51" x14ac:dyDescent="0.3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W4" s="11"/>
    </row>
    <row r="5" spans="1:51" x14ac:dyDescent="0.3">
      <c r="A5" s="2" t="s">
        <v>1</v>
      </c>
      <c r="B5" s="20">
        <v>44.025110214228377</v>
      </c>
      <c r="C5" s="20">
        <v>46.302309179797163</v>
      </c>
      <c r="D5" s="20">
        <v>46.090371968494608</v>
      </c>
      <c r="E5" s="20">
        <v>46.00295997975482</v>
      </c>
      <c r="F5" s="20">
        <v>45.656104730980999</v>
      </c>
      <c r="G5" s="20">
        <v>51.247448564475292</v>
      </c>
      <c r="H5" s="20">
        <v>57.679742176605757</v>
      </c>
      <c r="I5" s="20">
        <v>61.903014303953398</v>
      </c>
      <c r="J5" s="20">
        <v>71.065883389118468</v>
      </c>
      <c r="K5" s="20">
        <v>78.277455528109073</v>
      </c>
      <c r="L5" s="20">
        <v>83.023885853437747</v>
      </c>
      <c r="M5" s="20">
        <v>85.924000194016841</v>
      </c>
      <c r="N5" s="20">
        <v>85.613068965073296</v>
      </c>
      <c r="O5" s="20">
        <v>83.501708192858644</v>
      </c>
      <c r="P5" s="20">
        <v>79.38717408037283</v>
      </c>
      <c r="Q5" s="20">
        <v>75.52614534782029</v>
      </c>
      <c r="R5" s="20">
        <v>75.248461846850503</v>
      </c>
      <c r="S5" s="20">
        <v>75.095669321838628</v>
      </c>
      <c r="T5" s="20">
        <v>66.838234406751724</v>
      </c>
      <c r="U5" s="20">
        <v>64.646999879382264</v>
      </c>
      <c r="V5" s="20">
        <v>64.515156635905655</v>
      </c>
      <c r="W5" s="20">
        <v>65.997373944952173</v>
      </c>
      <c r="X5" s="20">
        <v>66.03722313511048</v>
      </c>
      <c r="Y5" s="20">
        <v>67.632059515680041</v>
      </c>
      <c r="Z5" s="20">
        <v>67.964059061463288</v>
      </c>
      <c r="AA5" s="20">
        <v>71.075996778756362</v>
      </c>
      <c r="AB5" s="20">
        <v>81.355397362108263</v>
      </c>
      <c r="AC5" s="20">
        <v>94.731960742440791</v>
      </c>
      <c r="AD5" s="20">
        <v>102.15108417467471</v>
      </c>
      <c r="AE5" s="20">
        <v>105.18324232864371</v>
      </c>
      <c r="AF5" s="20">
        <v>107.51397934079493</v>
      </c>
      <c r="AG5" s="20">
        <v>109.87452446812837</v>
      </c>
      <c r="AH5" s="20">
        <v>110.86835478495696</v>
      </c>
      <c r="AI5" s="20">
        <v>109.83251101163945</v>
      </c>
      <c r="AJ5" s="20">
        <v>110.74356986135258</v>
      </c>
      <c r="AK5" s="20">
        <v>104.11777558788711</v>
      </c>
      <c r="AL5" s="20">
        <v>96.684276675269956</v>
      </c>
      <c r="AM5" s="20">
        <v>84.14224283376376</v>
      </c>
      <c r="AN5" s="20">
        <v>84.568017312210642</v>
      </c>
      <c r="AO5" s="20">
        <v>85.065903591356573</v>
      </c>
      <c r="AP5" s="20">
        <v>91.725591570019873</v>
      </c>
      <c r="AQ5" s="20">
        <v>64.756871472076966</v>
      </c>
      <c r="AR5" s="20">
        <v>76.724080170584912</v>
      </c>
      <c r="AS5" s="20">
        <v>78.639928400007165</v>
      </c>
      <c r="AT5" s="20">
        <v>77.716495478886841</v>
      </c>
      <c r="AU5" s="21">
        <v>78.379183999999995</v>
      </c>
      <c r="AV5" s="21">
        <v>87.245411799627803</v>
      </c>
      <c r="AW5" s="22">
        <v>91.043268999999995</v>
      </c>
    </row>
    <row r="6" spans="1:51" x14ac:dyDescent="0.3">
      <c r="A6" s="2" t="s">
        <v>2</v>
      </c>
      <c r="B6" s="20">
        <v>43.72670232755263</v>
      </c>
      <c r="C6" s="20">
        <v>47.471184591853266</v>
      </c>
      <c r="D6" s="20">
        <v>50.434604287209829</v>
      </c>
      <c r="E6" s="20">
        <v>51.957608855455959</v>
      </c>
      <c r="F6" s="20">
        <v>52.118381641704431</v>
      </c>
      <c r="G6" s="20">
        <v>49.315768372028195</v>
      </c>
      <c r="H6" s="20">
        <v>39.899886459590704</v>
      </c>
      <c r="I6" s="20">
        <v>34.738460852363012</v>
      </c>
      <c r="J6" s="20">
        <v>36.140424063764343</v>
      </c>
      <c r="K6" s="20">
        <v>38.378260985901015</v>
      </c>
      <c r="L6" s="20">
        <v>37.442451641743858</v>
      </c>
      <c r="M6" s="20">
        <v>40.578739568396436</v>
      </c>
      <c r="N6" s="20">
        <v>41.918364478275066</v>
      </c>
      <c r="O6" s="20">
        <v>45.596556070823169</v>
      </c>
      <c r="P6" s="20">
        <v>49.337746525772879</v>
      </c>
      <c r="Q6" s="20">
        <v>53.072198953205792</v>
      </c>
      <c r="R6" s="20">
        <v>56.045652556181125</v>
      </c>
      <c r="S6" s="20">
        <v>54.947463582258379</v>
      </c>
      <c r="T6" s="20">
        <v>57.197421480776477</v>
      </c>
      <c r="U6" s="20">
        <v>56.585134697373817</v>
      </c>
      <c r="V6" s="20">
        <v>54.958302488939424</v>
      </c>
      <c r="W6" s="20">
        <v>55.844373587632681</v>
      </c>
      <c r="X6" s="20">
        <v>57.468475935603045</v>
      </c>
      <c r="Y6" s="20">
        <v>61.204962129260082</v>
      </c>
      <c r="Z6" s="20">
        <v>63.94500722673925</v>
      </c>
      <c r="AA6" s="20">
        <v>69.738716470785377</v>
      </c>
      <c r="AB6" s="20">
        <v>74.749058840280824</v>
      </c>
      <c r="AC6" s="20">
        <v>80.91099859756757</v>
      </c>
      <c r="AD6" s="20">
        <v>81.289388543681341</v>
      </c>
      <c r="AE6" s="20">
        <v>79.854131181177692</v>
      </c>
      <c r="AF6" s="20">
        <v>78.308455358713658</v>
      </c>
      <c r="AG6" s="20">
        <v>78.793346036207879</v>
      </c>
      <c r="AH6" s="20">
        <v>77.253381853238025</v>
      </c>
      <c r="AI6" s="20">
        <v>77.630055414228778</v>
      </c>
      <c r="AJ6" s="20">
        <v>80.21452790564453</v>
      </c>
      <c r="AK6" s="20">
        <v>76.562752808879893</v>
      </c>
      <c r="AL6" s="20">
        <v>78.368037982814542</v>
      </c>
      <c r="AM6" s="20">
        <v>74.433273854990119</v>
      </c>
      <c r="AN6" s="20">
        <v>77.027232387425499</v>
      </c>
      <c r="AO6" s="20">
        <v>76.744524303327111</v>
      </c>
      <c r="AP6" s="20">
        <v>81.347521924436649</v>
      </c>
      <c r="AQ6" s="20">
        <v>80.312819054835501</v>
      </c>
      <c r="AR6" s="20">
        <v>83.999299515612009</v>
      </c>
      <c r="AS6" s="20">
        <v>85.159149857115622</v>
      </c>
      <c r="AT6" s="20">
        <v>97.636717812307964</v>
      </c>
      <c r="AU6" s="21">
        <v>85.346378000000001</v>
      </c>
      <c r="AV6" s="21">
        <v>89.7168607718705</v>
      </c>
      <c r="AW6" s="23">
        <v>102.43956</v>
      </c>
    </row>
    <row r="7" spans="1:51" s="3" customFormat="1" x14ac:dyDescent="0.3">
      <c r="A7" s="12" t="s">
        <v>3</v>
      </c>
      <c r="B7" s="24">
        <v>87.751812541781007</v>
      </c>
      <c r="C7" s="24">
        <v>93.773493771650422</v>
      </c>
      <c r="D7" s="24">
        <v>96.524976255704416</v>
      </c>
      <c r="E7" s="24">
        <v>97.960568835210765</v>
      </c>
      <c r="F7" s="24">
        <v>97.774486372685445</v>
      </c>
      <c r="G7" s="24">
        <v>100.56321693650349</v>
      </c>
      <c r="H7" s="24">
        <v>97.57962863619646</v>
      </c>
      <c r="I7" s="24">
        <v>96.641475156316417</v>
      </c>
      <c r="J7" s="24">
        <v>107.20630745288281</v>
      </c>
      <c r="K7" s="24">
        <v>116.65571651401007</v>
      </c>
      <c r="L7" s="24">
        <v>120.46633749518159</v>
      </c>
      <c r="M7" s="24">
        <v>126.50273976241326</v>
      </c>
      <c r="N7" s="24">
        <v>127.53143344334836</v>
      </c>
      <c r="O7" s="24">
        <v>129.09826426368181</v>
      </c>
      <c r="P7" s="24">
        <v>128.72492060614573</v>
      </c>
      <c r="Q7" s="24">
        <v>128.59834430102609</v>
      </c>
      <c r="R7" s="24">
        <v>131.29411440303161</v>
      </c>
      <c r="S7" s="24">
        <v>130.04313290409704</v>
      </c>
      <c r="T7" s="24">
        <v>124.03565588752819</v>
      </c>
      <c r="U7" s="24">
        <v>121.23213457675607</v>
      </c>
      <c r="V7" s="24">
        <v>119.42931043890323</v>
      </c>
      <c r="W7" s="24">
        <v>121.84174753258485</v>
      </c>
      <c r="X7" s="24">
        <v>123.60971592161178</v>
      </c>
      <c r="Y7" s="24">
        <v>128.83702164494014</v>
      </c>
      <c r="Z7" s="24">
        <v>131.90906628820252</v>
      </c>
      <c r="AA7" s="24">
        <v>140.81471324954171</v>
      </c>
      <c r="AB7" s="24">
        <v>156.10445620238909</v>
      </c>
      <c r="AC7" s="24">
        <v>175.64295934000836</v>
      </c>
      <c r="AD7" s="24">
        <v>183.44047271835603</v>
      </c>
      <c r="AE7" s="24">
        <v>185.03737350982141</v>
      </c>
      <c r="AF7" s="24">
        <v>185.79118301977491</v>
      </c>
      <c r="AG7" s="24">
        <v>188.66787050433626</v>
      </c>
      <c r="AH7" s="24">
        <v>188.12173663819499</v>
      </c>
      <c r="AI7" s="24">
        <v>187.4625664258682</v>
      </c>
      <c r="AJ7" s="24">
        <v>190.95809776699713</v>
      </c>
      <c r="AK7" s="24">
        <v>180.68052839676699</v>
      </c>
      <c r="AL7" s="24">
        <v>175.0523146580845</v>
      </c>
      <c r="AM7" s="24">
        <v>158.57551668875385</v>
      </c>
      <c r="AN7" s="24">
        <v>161.59524969963613</v>
      </c>
      <c r="AO7" s="24">
        <v>161.81042789468367</v>
      </c>
      <c r="AP7" s="24">
        <v>173.07311349445652</v>
      </c>
      <c r="AQ7" s="24">
        <v>145.06969052691247</v>
      </c>
      <c r="AR7" s="24">
        <v>160.72337968619692</v>
      </c>
      <c r="AS7" s="24">
        <v>163.7990782571228</v>
      </c>
      <c r="AT7" s="24">
        <v>175.35321329119478</v>
      </c>
      <c r="AU7" s="24">
        <v>163.725562</v>
      </c>
      <c r="AV7" s="24">
        <v>176.96227257149832</v>
      </c>
      <c r="AW7" s="25">
        <v>193.48282899999998</v>
      </c>
    </row>
    <row r="8" spans="1:51" x14ac:dyDescent="0.3">
      <c r="A8" s="2" t="s">
        <v>4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>
        <v>0.3862411514331352</v>
      </c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6"/>
    </row>
    <row r="9" spans="1:51" x14ac:dyDescent="0.3">
      <c r="A9" s="7" t="s">
        <v>5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>
        <v>24.125909789018404</v>
      </c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8"/>
    </row>
    <row r="10" spans="1:51" x14ac:dyDescent="0.3">
      <c r="A10" s="15" t="s">
        <v>10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51" x14ac:dyDescent="0.3">
      <c r="A11" s="15" t="s">
        <v>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51" x14ac:dyDescent="0.3">
      <c r="A12" s="2" t="s">
        <v>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8">
        <f>AH5</f>
        <v>110.86835478495696</v>
      </c>
      <c r="AI12" s="18">
        <f>AI5+AI8</f>
        <v>110.21875216307259</v>
      </c>
      <c r="AJ12" s="18">
        <f t="shared" ref="AJ12:AJ14" si="0">AJ5</f>
        <v>110.74356986135258</v>
      </c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51" x14ac:dyDescent="0.3">
      <c r="A13" s="2" t="s">
        <v>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8">
        <f>AH6</f>
        <v>77.253381853238025</v>
      </c>
      <c r="AI13" s="18">
        <f>AI6+AI9</f>
        <v>101.75596520324719</v>
      </c>
      <c r="AJ13" s="18">
        <f t="shared" si="0"/>
        <v>80.21452790564453</v>
      </c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51" x14ac:dyDescent="0.3">
      <c r="A14" s="2" t="s">
        <v>11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8">
        <f>AH7</f>
        <v>188.12173663819499</v>
      </c>
      <c r="AI14" s="18">
        <f>AI7+AI8+AI9</f>
        <v>211.97471736631974</v>
      </c>
      <c r="AJ14" s="18">
        <f t="shared" si="0"/>
        <v>190.95809776699713</v>
      </c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6" spans="1:51" x14ac:dyDescent="0.3">
      <c r="A16" s="19" t="s">
        <v>13</v>
      </c>
    </row>
  </sheetData>
  <pageMargins left="0.7" right="0.7" top="0.75" bottom="0.75" header="0.3" footer="0.3"/>
  <pageSetup scale="110" fitToWidth="0" fitToHeight="0" orientation="landscape" r:id="rId1"/>
  <headerFooter alignWithMargins="0">
    <oddHeader>&amp;CTable. Historical Data on Federal Research and Development</oddHeader>
    <oddFooter>&amp;CAAAS - APRIL 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Hourihan</dc:creator>
  <cp:lastModifiedBy>Alessandra C. Zimmermann</cp:lastModifiedBy>
  <dcterms:created xsi:type="dcterms:W3CDTF">2019-06-25T15:43:57Z</dcterms:created>
  <dcterms:modified xsi:type="dcterms:W3CDTF">2022-09-19T12:54:49Z</dcterms:modified>
</cp:coreProperties>
</file>